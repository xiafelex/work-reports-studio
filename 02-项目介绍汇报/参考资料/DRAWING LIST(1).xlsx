
<file path=[Content_Types].xml><?xml version="1.0" encoding="utf-8"?>
<Types xmlns="http://schemas.openxmlformats.org/package/2006/content-types">
  <Default Extension="xml" ContentType="application/xml"/>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8350" windowHeight="6880" tabRatio="773" firstSheet="2" activeTab="2"/>
  </bookViews>
  <sheets>
    <sheet name="Dashboard" sheetId="14" state="hidden" r:id="rId1"/>
    <sheet name="Summary Report" sheetId="13" state="hidden" r:id="rId2"/>
    <sheet name="Vol 4 (S) (2)" sheetId="80" r:id="rId3"/>
  </sheets>
  <externalReferences>
    <externalReference r:id="rId5"/>
  </externalReferences>
  <definedNames>
    <definedName name="_xlnm._FilterDatabase" localSheetId="2" hidden="1">'Vol 4 (S) (2)'!$A$3:$H$867</definedName>
    <definedName name="__123Graph_B" hidden="1">#REF!</definedName>
    <definedName name="__123Graph_D" hidden="1">#REF!</definedName>
    <definedName name="__123Graph_F" hidden="1">#REF!</definedName>
    <definedName name="_AtRisk_SimSetting_AutomaticallyGenerateReports" hidden="1">TRUE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40</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Sort" hidden="1">#REF!</definedName>
    <definedName name="_TEST" hidden="1">#REF!</definedName>
    <definedName name="A" hidden="1">{#N/A,#N/A,FALSE,"PRO_LV1"}</definedName>
    <definedName name="aa" hidden="1">{#N/A,#N/A,FALSE,"Eng_LV1"}</definedName>
    <definedName name="AB" hidden="1">{#N/A,#N/A,FALSE,"PRO_LV1"}</definedName>
    <definedName name="ActualReceiveDate">#REF!</definedName>
    <definedName name="b" hidden="1">{#N/A,#N/A,FALSE,"PRO_LV1"}</definedName>
    <definedName name="bencore" hidden="1">{#N/A,#N/A,FALSE,"SUM_Prop";#N/A,#N/A,FALSE,"PROCESS-eng";#N/A,#N/A,FALSE,"PROCESS-com";#N/A,#N/A,FALSE,"INST-eng";#N/A,#N/A,FALSE,"INST-com"}</definedName>
    <definedName name="blendcore" hidden="1">{#N/A,#N/A,FALSE,"SUM_Prop";#N/A,#N/A,FALSE,"PROCESS-eng";#N/A,#N/A,FALSE,"PROCESS-com";#N/A,#N/A,FALSE,"INST-eng";#N/A,#N/A,FALSE,"INST-com"}</definedName>
    <definedName name="CASH" hidden="1">{#N/A,#N/A,FALSE,"SUM_Prop";#N/A,#N/A,FALSE,"PROCESS-eng";#N/A,#N/A,FALSE,"PROCESS-com";#N/A,#N/A,FALSE,"INST-eng";#N/A,#N/A,FALSE,"INST-com"}</definedName>
    <definedName name="cash1" hidden="1">{#N/A,#N/A,FALSE,"SUM_Prop";#N/A,#N/A,FALSE,"PROCESS-eng";#N/A,#N/A,FALSE,"PROCESS-com";#N/A,#N/A,FALSE,"INST-eng";#N/A,#N/A,FALSE,"INST-com"}</definedName>
    <definedName name="CommLvl1" hidden="1">{#N/A,#N/A,FALSE,"PRO_LV1"}</definedName>
    <definedName name="d" hidden="1">#REF!</definedName>
    <definedName name="DETAIL" hidden="1">{#N/A,#N/A,FALSE,"SUM_Prop";#N/A,#N/A,FALSE,"PROCESS-eng";#N/A,#N/A,FALSE,"PROCESS-com";#N/A,#N/A,FALSE,"INST-eng";#N/A,#N/A,FALSE,"INST-com"}</definedName>
    <definedName name="dgh" hidden="1">{#N/A,#N/A,FALSE,"Eng_LV1"}</definedName>
    <definedName name="DISCIPLINE">#REF!</definedName>
    <definedName name="DWPRICE" hidden="1">#REF!</definedName>
    <definedName name="epcm" hidden="1">{#N/A,#N/A,FALSE,"SUM_Prop";#N/A,#N/A,FALSE,"PROCESS-eng";#N/A,#N/A,FALSE,"PROCESS-com";#N/A,#N/A,FALSE,"INST-eng";#N/A,#N/A,FALSE,"INST-com"}</definedName>
    <definedName name="EPCM1" hidden="1">{#N/A,#N/A,FALSE,"SUM_Prop";#N/A,#N/A,FALSE,"PROCESS-eng";#N/A,#N/A,FALSE,"PROCESS-com";#N/A,#N/A,FALSE,"INST-eng";#N/A,#N/A,FALSE,"INST-com"}</definedName>
    <definedName name="fab_dsc" hidden="1">{#N/A,#N/A,FALSE,"Eng_LV1"}</definedName>
    <definedName name="fd" hidden="1">#REF!</definedName>
    <definedName name="FDFD" hidden="1">{"myview",#N/A,FALSE,"96T6"}</definedName>
    <definedName name="FDFD_1" hidden="1">{"myview",#N/A,FALSE,"96T6"}</definedName>
    <definedName name="FF" hidden="1">{#N/A,#N/A,FALSE,"PRO_LV1"}</definedName>
    <definedName name="fff" hidden="1">{#N/A,#N/A,FALSE,"SUM_Prop";#N/A,#N/A,FALSE,"PROCESS-eng";#N/A,#N/A,FALSE,"PROCESS-com";#N/A,#N/A,FALSE,"INST-eng";#N/A,#N/A,FALSE,"INST-com"}</definedName>
    <definedName name="fgt" hidden="1">#REF!</definedName>
    <definedName name="H" hidden="1">{#N/A,#N/A,FALSE,"PRO_LV1"}</definedName>
    <definedName name="I" hidden="1">{#N/A,#N/A,FALSE,"PRO_LV1"}</definedName>
    <definedName name="INST" hidden="1">{#N/A,#N/A,FALSE,"SUM_Prop";#N/A,#N/A,FALSE,"PROCESS-eng";#N/A,#N/A,FALSE,"PROCESS-com";#N/A,#N/A,FALSE,"INST-eng";#N/A,#N/A,FALSE,"INST-com"}</definedName>
    <definedName name="jklh" hidden="1">{"MYVIEW",#N/A,TRUE,"96T9"}</definedName>
    <definedName name="jklh_1" hidden="1">{"MYVIEW",#N/A,TRUE,"96T9"}</definedName>
    <definedName name="KOG" hidden="1">{#N/A,#N/A,FALSE,"SUM_Prop";#N/A,#N/A,FALSE,"PROCESS-eng";#N/A,#N/A,FALSE,"PROCESS-com";#N/A,#N/A,FALSE,"INST-eng";#N/A,#N/A,FALSE,"INST-com"}</definedName>
    <definedName name="meiling">#REF!</definedName>
    <definedName name="Method">#REF!</definedName>
    <definedName name="MODEL" hidden="1">{#N/A,#N/A,FALSE,"SUM_Prop";#N/A,#N/A,FALSE,"PROCESS-eng";#N/A,#N/A,FALSE,"PROCESS-com";#N/A,#N/A,FALSE,"INST-eng";#N/A,#N/A,FALSE,"INST-com"}</definedName>
    <definedName name="NNN" hidden="1">{#N/A,#N/A,FALSE,"SUM_Prop";#N/A,#N/A,FALSE,"PROCESS-eng";#N/A,#N/A,FALSE,"PROCESS-com";#N/A,#N/A,FALSE,"INST-eng";#N/A,#N/A,FALSE,"INST-com"}</definedName>
    <definedName name="OutputSheet">#REF!</definedName>
    <definedName name="OverDueDay">#REF!</definedName>
    <definedName name="Parameters">#REF!</definedName>
    <definedName name="PlannedReturnDate">#REF!</definedName>
    <definedName name="primCurr" hidden="1">[1]Instructions!$D$21</definedName>
    <definedName name="_xlnm.Print_Area" localSheetId="0">Dashboard!$A$1:$Y$49</definedName>
    <definedName name="q" hidden="1">#REF!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s" hidden="1">{#N/A,#N/A,FALSE,"PRO_LV1"}</definedName>
    <definedName name="site1" hidden="1">{#N/A,#N/A,FALSE,"SUM_Prop";#N/A,#N/A,FALSE,"PROCESS-eng";#N/A,#N/A,FALSE,"PROCESS-com";#N/A,#N/A,FALSE,"INST-eng";#N/A,#N/A,FALSE,"INST-com"}</definedName>
    <definedName name="skylinearea">#REF!</definedName>
    <definedName name="SS" hidden="1">{#N/A,#N/A,FALSE,"Eng_LV1"}</definedName>
    <definedName name="StartRowData">#REF!</definedName>
    <definedName name="STATUS">#REF!</definedName>
    <definedName name="SUB_SUB_SYSTEM_NO">#REF!</definedName>
    <definedName name="SUB_SYSTEM_NO">#REF!</definedName>
    <definedName name="SYSTEM_NO">#REF!</definedName>
    <definedName name="T" hidden="1">{#N/A,#N/A,FALSE,"PRO_LV1"}</definedName>
    <definedName name="unit7200" hidden="1">{#N/A,#N/A,FALSE,"SUM_Prop";#N/A,#N/A,FALSE,"PROCESS-eng";#N/A,#N/A,FALSE,"PROCESS-com";#N/A,#N/A,FALSE,"INST-eng";#N/A,#N/A,FALSE,"INST-com"}</definedName>
    <definedName name="WebDirectory">#REF!</definedName>
    <definedName name="WEEK" hidden="1">#REF!</definedName>
    <definedName name="wrn.ENG_SUM_EXP_DIS." hidden="1">{#N/A,#N/A,FALSE,"SUM_Prop";#N/A,#N/A,FALSE,"PROCESS-eng";#N/A,#N/A,FALSE,"PROCESS-com";#N/A,#N/A,FALSE,"INST-eng";#N/A,#N/A,FALSE,"INST-com"}</definedName>
    <definedName name="wrn.eng1." hidden="1">{#N/A,#N/A,FALSE,"Eng_LV1"}</definedName>
    <definedName name="wrn.eng2" hidden="1">{#N/A,#N/A,FALSE,"Eng_LV1"}</definedName>
    <definedName name="wrn.eng4" hidden="1">{#N/A,#N/A,FALSE,"Eng_LV1"}</definedName>
    <definedName name="wrn.eng5" hidden="1">{#N/A,#N/A,FALSE,"Eng_LV1"}</definedName>
    <definedName name="wrn.eng6" hidden="1">{#N/A,#N/A,FALSE,"Eng_LV1"}</definedName>
    <definedName name="wrn.Equipment._.List." hidden="1">{#N/A,#N/A,TRUE,"COVERSHEET";#N/A,#N/A,TRUE,"LEGEND";#N/A,#N/A,TRUE,"LIST"}</definedName>
    <definedName name="wrn.fend1." hidden="1">{#N/A,#N/A,FALSE,"FE_LV1"}</definedName>
    <definedName name="wrn.fend2" hidden="1">{#N/A,#N/A,FALSE,"FE_LV1"}</definedName>
    <definedName name="wrn.fend3" hidden="1">{#N/A,#N/A,FALSE,"FE_LV1"}</definedName>
    <definedName name="wrn.fend5" hidden="1">{#N/A,#N/A,FALSE,"FE_LV1"}</definedName>
    <definedName name="wrn.fend6" hidden="1">{#N/A,#N/A,FALSE,"FE_LV1"}</definedName>
    <definedName name="wrn.macview." hidden="1">{"myview",#N/A,FALSE,"96T6"}</definedName>
    <definedName name="wrn.macview._1" hidden="1">{"myview",#N/A,FALSE,"96T6"}</definedName>
    <definedName name="wrn.MINE." hidden="1">{"MYVIEW",#N/A,TRUE,"96T9"}</definedName>
    <definedName name="wrn.MINE._1" hidden="1">{"MYVIEW",#N/A,TRUE,"96T9"}</definedName>
    <definedName name="wrn.pro1." hidden="1">{#N/A,#N/A,FALSE,"PRO_LV1"}</definedName>
    <definedName name="wrn.pro2" hidden="1">{#N/A,#N/A,FALSE,"PRO_LV1"}</definedName>
    <definedName name="wrn.pro3" hidden="1">{#N/A,#N/A,FALSE,"PRO_LV1"}</definedName>
    <definedName name="wrn.pro4" hidden="1">{#N/A,#N/A,FALSE,"PRO_LV1"}</definedName>
    <definedName name="wrn.pro5" hidden="1">{#N/A,#N/A,FALSE,"PRO_LV1"}</definedName>
    <definedName name="wrn.pro6" hidden="1">{#N/A,#N/A,FALSE,"PRO_LV1"}</definedName>
    <definedName name="wrn.pro7" hidden="1">{#N/A,#N/A,FALSE,"PRO_LV1"}</definedName>
    <definedName name="wrn.pro9" hidden="1">{#N/A,#N/A,FALSE,"PRO_LV1"}</definedName>
    <definedName name="X" hidden="1">{#N/A,#N/A,FALSE,"PRO_LV1"}</definedName>
    <definedName name="xx" hidden="1">{#N/A,#N/A,TRUE,"COVERSHEET";#N/A,#N/A,TRUE,"LEGEND";#N/A,#N/A,TRUE,"LIST"}</definedName>
    <definedName name="xxx" hidden="1">{#N/A,#N/A,FALSE,"Eng_LV1"}</definedName>
    <definedName name="xxxxx" hidden="1">{#N/A,#N/A,FALSE,"SUM_Prop";#N/A,#N/A,FALSE,"PROCESS-eng";#N/A,#N/A,FALSE,"PROCESS-com";#N/A,#N/A,FALSE,"INST-eng";#N/A,#N/A,FALSE,"INST-com"}</definedName>
    <definedName name="Y" hidden="1">{#N/A,#N/A,FALSE,"PRO_LV1"}</definedName>
    <definedName name="yyy" hidden="1">{#N/A,#N/A,FALSE,"SUM_Prop";#N/A,#N/A,FALSE,"PROCESS-eng";#N/A,#N/A,FALSE,"PROCESS-com";#N/A,#N/A,FALSE,"INST-eng";#N/A,#N/A,FALSE,"INST-com"}</definedName>
    <definedName name="Z" hidden="1">{#N/A,#N/A,FALSE,"PRO_LV1"}</definedName>
    <definedName name="zzzxxx" hidden="1">{#N/A,#N/A,FALSE,"SUM_Prop";#N/A,#N/A,FALSE,"PROCESS-eng";#N/A,#N/A,FALSE,"PROCESS-com";#N/A,#N/A,FALSE,"INST-eng";#N/A,#N/A,FALSE,"INST-com"}</definedName>
    <definedName name="ActualReceiveDate" localSheetId="2">#REF!</definedName>
    <definedName name="FF" localSheetId="2">#REF!</definedName>
    <definedName name="FFF" localSheetId="2">#REF!</definedName>
    <definedName name="Method" localSheetId="2">#REF!</definedName>
    <definedName name="OutputSheet" localSheetId="2">#REF!</definedName>
    <definedName name="OverDueDay" localSheetId="2">#REF!</definedName>
    <definedName name="Parameters" localSheetId="2">#REF!</definedName>
    <definedName name="PlannedReturnDate" localSheetId="2">#REF!</definedName>
    <definedName name="_xlnm.Print_Area" localSheetId="2">'Vol 4 (S) (2)'!$A$1:$I$868</definedName>
    <definedName name="_xlnm.Print_Titles" localSheetId="2">'Vol 4 (S) (2)'!$1:$3</definedName>
    <definedName name="StartRowData" localSheetId="2">#REF!</definedName>
    <definedName name="WebDirectory" localSheetId="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5" name="ID_E9BCB82ECB4345BD961C8EECD6B85E96" descr="ncc logo"/>
        <xdr:cNvPicPr>
          <a:picLocks noChangeAspect="1"/>
        </xdr:cNvPicPr>
      </xdr:nvPicPr>
      <xdr:blipFill>
        <a:blip r:embed="rId1"/>
        <a:stretch>
          <a:fillRect/>
        </a:stretch>
      </xdr:blipFill>
      <xdr:spPr>
        <a:xfrm>
          <a:off x="8950325" y="6350"/>
          <a:ext cx="1913890" cy="558800"/>
        </a:xfrm>
        <a:prstGeom prst="rect">
          <a:avLst/>
        </a:prstGeom>
      </xdr:spPr>
    </xdr:pic>
  </etc:cellImage>
  <etc:cellImage>
    <xdr:pic>
      <xdr:nvPicPr>
        <xdr:cNvPr id="3" name="ID_3A3FE0192DA7413EA7CB64E590AF2CC6" descr="ecoceres Logo"/>
        <xdr:cNvPicPr>
          <a:picLocks noChangeAspect="1"/>
        </xdr:cNvPicPr>
      </xdr:nvPicPr>
      <xdr:blipFill>
        <a:blip r:embed="rId2"/>
        <a:stretch>
          <a:fillRect/>
        </a:stretch>
      </xdr:blipFill>
      <xdr:spPr>
        <a:xfrm>
          <a:off x="6350" y="6350"/>
          <a:ext cx="7812405" cy="1948180"/>
        </a:xfrm>
        <a:prstGeom prst="rect">
          <a:avLst/>
        </a:prstGeom>
      </xdr:spPr>
    </xdr:pic>
  </etc:cellImage>
</etc:cellImages>
</file>

<file path=xl/sharedStrings.xml><?xml version="1.0" encoding="utf-8"?>
<sst xmlns="http://schemas.openxmlformats.org/spreadsheetml/2006/main" count="5342" uniqueCount="3833">
  <si>
    <t>Vol. 1</t>
  </si>
  <si>
    <t>Contracts &amp; Commercial Documentation</t>
  </si>
  <si>
    <t>Vol. 2</t>
  </si>
  <si>
    <t>Project Implementation and Assurance</t>
  </si>
  <si>
    <t>Vol. 3</t>
  </si>
  <si>
    <t>Engineering Design Documentation</t>
  </si>
  <si>
    <t>Vol. 4</t>
  </si>
  <si>
    <t>Procurement Documentation</t>
  </si>
  <si>
    <t>It will contain contractual and commercial document e.g. change orders, project invoicing and payment summary and similar document including ITB and all participating bidder’s unpriced proposal</t>
  </si>
  <si>
    <t>1. General and Administration will have project correspondence, transmittal, minutes of meetings and similar information.
2 Project management will have project plans and procedures for all departments and disciplines.</t>
  </si>
  <si>
    <t xml:space="preserve">Design Data Book will contain complete design information of the project i.e. drawings, specification, data sheets, calculations, study reports, HAZOP Reports etc. up to IFC </t>
  </si>
  <si>
    <t xml:space="preserve">It will contain full information covering procurement cycle starting from issuance of requisition to delivery of equipment and materials to site covered under all requisitions. Each section will cover one requisition. </t>
  </si>
  <si>
    <t>Remark / Current Status Compilation</t>
  </si>
  <si>
    <t>1. Section 1.1 only 5 documents (Change Order) was found in, to confirmed with contracts department on the availability Change Orders.
2. Section 1.2 Project Invoicing/Payment Summary was not exist in the EDMS</t>
  </si>
  <si>
    <t>1.  Section 2.1 Only Softcopy will be provided
2. Section 2.2 only several documents available, need to expedite from each department on the availability documents</t>
  </si>
  <si>
    <t>1. Engineering to expedite on providing the required documents as per listed in the Vol.3, previously already sent an email &amp; informed Mr. Huang regarding to the availability of Engineering documents. 
2. Folder also has been created &amp; given to Engineering for their further action to put documents inside it.</t>
  </si>
  <si>
    <t>1. Email &amp; Link folder has been created inside EDMS for Procurement Team copying/providing all documents required for Final Documentation., but there is no action. Final Doc Team to expedite on chasing Procurement for the availability status.
2. Several Expediting Report based on by PO, did has been segregated &amp; combined, need to re-continued &amp; checking the Expediting report given by Samantha previously for the existing documents as listed in each section in Volume 4.</t>
  </si>
  <si>
    <t>Vol. 5</t>
  </si>
  <si>
    <t>Vol. 6</t>
  </si>
  <si>
    <t>Vendor Document</t>
  </si>
  <si>
    <t>Vol. 7</t>
  </si>
  <si>
    <t>Project Specific Procedure</t>
  </si>
  <si>
    <t>Vol. 8</t>
  </si>
  <si>
    <t>Commissioning &amp; Turnover Documentation</t>
  </si>
  <si>
    <t>Quality Documentation is a compilation of all the inspection and testing records for Field &amp; Shop fabrication, and Pre-Commissioning activities.</t>
  </si>
  <si>
    <t xml:space="preserve">It will consist of Manufacturing Data Report/Records from VENDORs for static equipment, rotary equipment, instrumentation, electrical, piping, HVAC, and Telecommunication </t>
  </si>
  <si>
    <t>This volume will contain compilation of all approved procedures related to the project scope of works during Engineering, Procurement, Construction or Fabrication, Commissioning and Handover</t>
  </si>
  <si>
    <t xml:space="preserve">It will contain detailed information of activities from Mechanical Completion up to Employer Taking Over which are grouped by system and or Sub-Systems and other reports </t>
  </si>
  <si>
    <t>1. in-progress collecting data document from QAQC
2. Sub-Contractor in the middle preparing their Final Documentation (kindly refer to Mr. Yoga for further completion status)
3. 84 books hardcopy submitted by Contractor &amp; has been reviewed by HQC/PMC</t>
  </si>
  <si>
    <t>1. Drawings &amp; Technical Document pending approval code 1 for the pending 11 PO's. Hardcopy for this 11 PO's are not yet been submitted.
2. Hardcopy re-compilation to be continued on the damaged files during shipping to Site Area.</t>
  </si>
  <si>
    <t>1. Softcopy Available for Vol. 7, but on section:
- 7.4 to get procedure from Procurement/Material Control
- 7.6 Specification mostly still have code 2 &amp; code 3, all Specification to be revised up revision.
- 7.7 Method Statement also still have code 2 &amp; code 3, all Method Statement to be revised up revision.
2. QAQC Procedures complete printed &amp; to continue on compiling into binders.</t>
  </si>
  <si>
    <t>1. System RFSUT &amp; RFSU Dossier preparation based on by priority system, and this will be on going based on the required Walkdown activity and Vitol Operation Team request for review the dossiers.
2. Walkdown Pack compilation has been prepared based on by System Priority, and to be continued for the others sub-system that are not in the Priority planning.</t>
  </si>
  <si>
    <t>Vol. 9</t>
  </si>
  <si>
    <t>Start-Up &amp; Operating Maintenance Manual</t>
  </si>
  <si>
    <t>Vol. 10</t>
  </si>
  <si>
    <t>Red Line Mark Up and As Built Drawing</t>
  </si>
  <si>
    <t>Vol. 11</t>
  </si>
  <si>
    <t>Project Close- Out, Handover and Warranty Documents</t>
  </si>
  <si>
    <t>Vol. 12</t>
  </si>
  <si>
    <t>Statutory Authority Approval</t>
  </si>
  <si>
    <t xml:space="preserve">It will contain operation, inspection and maintenance manuals and training manuals. In addition, it will also have information of spare parts, lubricants, chemicals and catalyst which are required to be purchased during plant operation. </t>
  </si>
  <si>
    <t xml:space="preserve">It is a compilation of Red Line Markup drawing and also As-Built drawing with their own respective revision </t>
  </si>
  <si>
    <t>during Mechanical Completion Certificate and by Taking Over Certificate and all other communication during the warranty period.</t>
  </si>
  <si>
    <t>This Volume will consist of all Local authority approval record and certificates, Certificate of Completion &amp; Compliance (CCC).</t>
  </si>
  <si>
    <t>1. Section 9.1 IOM Softcopy &amp; Hardcopy has been prepared, remaining pending to get 1 PO-133 for IOM Water Treatment System, and also the divider tab numbering are not yet prepared. DCc to continued on preparing the numbering tab for each IOM inside the binders follow as per the list in Vol.9.
2. Section 9.2 Vendor Training Manual also has been compiled but the dossier Tab numbering was not yet prepared.
3. section 9.3, 9.4, 9.5 &amp; 9.6 are not yet compiled, Dcc to expedite on getting the documents from each discipline engineers.</t>
  </si>
  <si>
    <t xml:space="preserve">1.  List of As-Builts has been given to Engineering &amp; also to Mr. Huang for their further information reference.
2. As-built drawings from Engineering only some of it received, DCC to expedite on getting the status of As-builting from Engineering (Ofhnir, DBS) </t>
  </si>
  <si>
    <t>1. Close-out Report not yet started prepared, Manager from each department to expedite on preparing the draft project close-out report. DCC to expedite on getting the status and compiled it based on the list in Vol. 11.
2. Warranty Documents - not yet prepared (no document available for compiling)</t>
  </si>
  <si>
    <t>1.Waitting submission from 3rd party Local Authority
2. Hardcopy compilation not yet started. This will be done after received all documents from Mr. Erwin.</t>
  </si>
  <si>
    <t>As of Date:</t>
  </si>
  <si>
    <t>ATB-PU PROJECT</t>
  </si>
  <si>
    <t>FINAL DOCUMENTATION COMPILATION PROGRESS STATUS READINESS</t>
  </si>
  <si>
    <t>Volume</t>
  </si>
  <si>
    <t>Description</t>
  </si>
  <si>
    <t xml:space="preserve">Percentage % Compilation of </t>
  </si>
  <si>
    <t>Remarks</t>
  </si>
  <si>
    <t>Softcopy</t>
  </si>
  <si>
    <t>Hardcopy</t>
  </si>
  <si>
    <t>Collecting data in-progress</t>
  </si>
  <si>
    <t>Change Order</t>
  </si>
  <si>
    <t>Payment Invoice</t>
  </si>
  <si>
    <t xml:space="preserve">General &amp; Administration </t>
  </si>
  <si>
    <t>Project Management</t>
  </si>
  <si>
    <t>General</t>
  </si>
  <si>
    <t>3.1.1</t>
  </si>
  <si>
    <t>Technical Queries</t>
  </si>
  <si>
    <t>3.1.2</t>
  </si>
  <si>
    <t>Deliverable list</t>
  </si>
  <si>
    <t>3.1.3</t>
  </si>
  <si>
    <t>List of subcontracted engineering activities</t>
  </si>
  <si>
    <t>3.1.4</t>
  </si>
  <si>
    <t>List of engineering studies and reviews</t>
  </si>
  <si>
    <t>3.1.5</t>
  </si>
  <si>
    <t xml:space="preserve">Engineering studies and reviews reports </t>
  </si>
  <si>
    <t>3.1.6</t>
  </si>
  <si>
    <t>General Design basis</t>
  </si>
  <si>
    <t>3.1.7</t>
  </si>
  <si>
    <t>General specifications</t>
  </si>
  <si>
    <t>3.1.8</t>
  </si>
  <si>
    <t>Design guides, philosophies and criteria</t>
  </si>
  <si>
    <t>3.1.9</t>
  </si>
  <si>
    <t>General Design Calculations</t>
  </si>
  <si>
    <t>3.1.10</t>
  </si>
  <si>
    <t>Document and Drawings Register</t>
  </si>
  <si>
    <t>3.1.11</t>
  </si>
  <si>
    <t>EQUIPMENT lists</t>
  </si>
  <si>
    <t>3.1.12</t>
  </si>
  <si>
    <t xml:space="preserve">Design basis for plant layout </t>
  </si>
  <si>
    <t>3.1.13</t>
  </si>
  <si>
    <t>Specifications and procedures for plant layout</t>
  </si>
  <si>
    <t>3.1.14</t>
  </si>
  <si>
    <t xml:space="preserve">General plot plans </t>
  </si>
  <si>
    <t>3.1.15</t>
  </si>
  <si>
    <t>Interface Battery Limits and tie-in drawings</t>
  </si>
  <si>
    <t>3.1.16</t>
  </si>
  <si>
    <t>List of Special Tools, consumables, chemicals, catalyst &amp; lubrication</t>
  </si>
  <si>
    <t>3.1.17</t>
  </si>
  <si>
    <t>List of SPARE PARTS and SPIR forms</t>
  </si>
  <si>
    <t>Process Engineering</t>
  </si>
  <si>
    <t>3.2.1</t>
  </si>
  <si>
    <t>Design basis</t>
  </si>
  <si>
    <t>3.2.2</t>
  </si>
  <si>
    <t>Mass Heat and Utility Balances</t>
  </si>
  <si>
    <t>3.2.2.1</t>
  </si>
  <si>
    <t>Software for Heat &amp; Mass Balance</t>
  </si>
  <si>
    <t>3.2.2.2</t>
  </si>
  <si>
    <t>Assessment &amp; Calculation Software (i.e Aspen II)</t>
  </si>
  <si>
    <t>3.2.3</t>
  </si>
  <si>
    <t>Process Flow Diagrams (PFDs)</t>
  </si>
  <si>
    <t>3.2.4</t>
  </si>
  <si>
    <t>Piping &amp; Instrument Diagrams (P&amp;IDs)</t>
  </si>
  <si>
    <t>3.2.5</t>
  </si>
  <si>
    <t>Process Data Sheets for EQUIPMENT, Instruments and Systems</t>
  </si>
  <si>
    <t>3.2.6</t>
  </si>
  <si>
    <t>Process Utility Design Summary  (Not Applicable)</t>
  </si>
  <si>
    <t>3.2.7</t>
  </si>
  <si>
    <t>Utility consumption summary</t>
  </si>
  <si>
    <t>3.2.8</t>
  </si>
  <si>
    <t>Cooling Water network flow distribution</t>
  </si>
  <si>
    <t>3.2.9</t>
  </si>
  <si>
    <t>Flare load summary</t>
  </si>
  <si>
    <t>3.2.10</t>
  </si>
  <si>
    <t>Relief Valve Data sheets / calculations</t>
  </si>
  <si>
    <t>3.2.11</t>
  </si>
  <si>
    <t>Chemicals, Catalyst Characteristics and Consumption specification</t>
  </si>
  <si>
    <t>3.2.12</t>
  </si>
  <si>
    <t>Lines List (Process and Utilities)</t>
  </si>
  <si>
    <t>3.2.13</t>
  </si>
  <si>
    <t xml:space="preserve">Dynamic Simulation calculations including models </t>
  </si>
  <si>
    <t>3.2.14</t>
  </si>
  <si>
    <t>Surge analysis report</t>
  </si>
  <si>
    <t>3.2.15</t>
  </si>
  <si>
    <t>Material Selection Diagrams</t>
  </si>
  <si>
    <t>3.2.16</t>
  </si>
  <si>
    <t>Hydraulic calculation notes</t>
  </si>
  <si>
    <t>3.2.17</t>
  </si>
  <si>
    <t>Operating Philosophies</t>
  </si>
  <si>
    <t>3.2.18</t>
  </si>
  <si>
    <t>Process Descriptions</t>
  </si>
  <si>
    <t>3.2.19</t>
  </si>
  <si>
    <t>Process control narratives</t>
  </si>
  <si>
    <t>3.2.20</t>
  </si>
  <si>
    <t>Safeguarding Memorandum</t>
  </si>
  <si>
    <t>3.2.21</t>
  </si>
  <si>
    <t>Cause and Effect Matrix</t>
  </si>
  <si>
    <t>3.2.22</t>
  </si>
  <si>
    <t>Shutdown Logic and Sequence</t>
  </si>
  <si>
    <t>3.2.23</t>
  </si>
  <si>
    <t>3D Final Model Software</t>
  </si>
  <si>
    <t>Fire, Safety And Environment Engineering</t>
  </si>
  <si>
    <t>3.3.1</t>
  </si>
  <si>
    <t>Safety Philosophy</t>
  </si>
  <si>
    <t>3.3.2</t>
  </si>
  <si>
    <t>Fire Protection &amp; Personnel Protection Philosophy</t>
  </si>
  <si>
    <t>3.3.3</t>
  </si>
  <si>
    <t>Fire and Gas Detection Philosophy</t>
  </si>
  <si>
    <t>3.3.4</t>
  </si>
  <si>
    <t>Hazardous area classification review procedure, reports and actions close-out report</t>
  </si>
  <si>
    <t>3.3.5</t>
  </si>
  <si>
    <t>Hazardous area drawings</t>
  </si>
  <si>
    <t>3.3.6</t>
  </si>
  <si>
    <t>Hazardous equipment table</t>
  </si>
  <si>
    <t>3.3.7</t>
  </si>
  <si>
    <t>Fire Protection and personnel protection drawings</t>
  </si>
  <si>
    <t>3.3.8</t>
  </si>
  <si>
    <t>Fire and Gas Detection and alarming devices drawings</t>
  </si>
  <si>
    <t>3.3.9</t>
  </si>
  <si>
    <t>Fire proofing zones drawings</t>
  </si>
  <si>
    <t>3.3.10</t>
  </si>
  <si>
    <t>List of proofed items</t>
  </si>
  <si>
    <t>3.3.11</t>
  </si>
  <si>
    <t>Fire Protection and Fire and Gas detection layout for buildings</t>
  </si>
  <si>
    <t>3.3.12</t>
  </si>
  <si>
    <t>PID for Fire Water Pump Station</t>
  </si>
  <si>
    <t>3.3.13</t>
  </si>
  <si>
    <t>Fire water  and foam demand calculation note</t>
  </si>
  <si>
    <t>3.3.14</t>
  </si>
  <si>
    <t>Fire water and fixed water spray UFDs and P&amp;IDs</t>
  </si>
  <si>
    <t>3.3.15</t>
  </si>
  <si>
    <t>Fire water System Line List</t>
  </si>
  <si>
    <t>3.3.16</t>
  </si>
  <si>
    <t>Safety Equipment Specifications and datasheets</t>
  </si>
  <si>
    <t>3.3.17</t>
  </si>
  <si>
    <t>Data sheets (Fire water pumps and fire water tanks, deluge valves)</t>
  </si>
  <si>
    <t>3.3.18</t>
  </si>
  <si>
    <t>Fire and gas Cause and effect charts</t>
  </si>
  <si>
    <t>3.3.19</t>
  </si>
  <si>
    <t xml:space="preserve">Fixed water spray system and fire water lines hydraulic calculation note </t>
  </si>
  <si>
    <t>3.3.20</t>
  </si>
  <si>
    <t>Fire and Gas mapping study scope of work and report</t>
  </si>
  <si>
    <t>3.3.21</t>
  </si>
  <si>
    <t>Personnel protection, fire-fighting and fire and gas equipment list</t>
  </si>
  <si>
    <t>3.3.22</t>
  </si>
  <si>
    <t>Stack height calculation note</t>
  </si>
  <si>
    <t>3.3.23</t>
  </si>
  <si>
    <t>Effluent emission inventory</t>
  </si>
  <si>
    <t>3.3.24</t>
  </si>
  <si>
    <t>Hazardous waste storage area specification</t>
  </si>
  <si>
    <t>3.3.25</t>
  </si>
  <si>
    <t>Noise restricted area report &amp; drawings</t>
  </si>
  <si>
    <t>3.3.26</t>
  </si>
  <si>
    <t>Equipment Noise Requirements</t>
  </si>
  <si>
    <t>3.3.27</t>
  </si>
  <si>
    <t>Noisy equipment list</t>
  </si>
  <si>
    <t>3.3.28</t>
  </si>
  <si>
    <t>Plant Noise requirements</t>
  </si>
  <si>
    <t>3.3.29</t>
  </si>
  <si>
    <t>Noise study report</t>
  </si>
  <si>
    <t>3.3.30</t>
  </si>
  <si>
    <t>HAZOP review procedure, reports and actions close-out report</t>
  </si>
  <si>
    <t>3.3.31</t>
  </si>
  <si>
    <t>IPF (SIL) review procedure, reports and actions close-out report (using P-IPF software)</t>
  </si>
  <si>
    <t>3.3.32</t>
  </si>
  <si>
    <t>HAZID review procedure, reports and actions close-out report</t>
  </si>
  <si>
    <t>3.3.33</t>
  </si>
  <si>
    <t>ENVID review procedure, reports and actions close-out report</t>
  </si>
  <si>
    <t>3.3.34</t>
  </si>
  <si>
    <t>HRA review procedure, reports and actions close-out report</t>
  </si>
  <si>
    <t>3.3.35</t>
  </si>
  <si>
    <t>EIA report update (if necessary)</t>
  </si>
  <si>
    <t>3.3.36</t>
  </si>
  <si>
    <t>Fire  proofing zones layouts</t>
  </si>
  <si>
    <t>3.3.37</t>
  </si>
  <si>
    <t>Escape routes layouts</t>
  </si>
  <si>
    <t>3.3.38</t>
  </si>
  <si>
    <t>Effluents inventory (gaseous, liquid, solid  waste)</t>
  </si>
  <si>
    <t>3.3.39</t>
  </si>
  <si>
    <t>Effluent data for OWNER study</t>
  </si>
  <si>
    <t>3.3.40</t>
  </si>
  <si>
    <t>Environmental monitoring layouts</t>
  </si>
  <si>
    <t>3.3.41</t>
  </si>
  <si>
    <t>Spillage area report</t>
  </si>
  <si>
    <t>3.3.42</t>
  </si>
  <si>
    <t>Hazard &amp; effect register</t>
  </si>
  <si>
    <t>3.3.43</t>
  </si>
  <si>
    <t>Fire safety assessment review reports and actions close-out report</t>
  </si>
  <si>
    <t>3.3.44</t>
  </si>
  <si>
    <t>Area classification review report</t>
  </si>
  <si>
    <t>3.3.45</t>
  </si>
  <si>
    <t>Fire protection and fire detection 3D model review report and actions close-out report</t>
  </si>
  <si>
    <t>3.3.46</t>
  </si>
  <si>
    <t>Flare radiation isopleth and flare noise map</t>
  </si>
  <si>
    <t>3.3.47</t>
  </si>
  <si>
    <t>Firewater surge/transient analysis</t>
  </si>
  <si>
    <t>3.3.48</t>
  </si>
  <si>
    <t>Others</t>
  </si>
  <si>
    <t>Civil Engineering Deliverables</t>
  </si>
  <si>
    <t>3.4.1</t>
  </si>
  <si>
    <t>Detailed Soil Investigation Report</t>
  </si>
  <si>
    <t>3.4.2</t>
  </si>
  <si>
    <t>HSE Plan for Buildings, Structures &amp; Civil Works (incl. excavation &amp; fire-proofing)</t>
  </si>
  <si>
    <t>3.4.3</t>
  </si>
  <si>
    <t>Quality Plan for Buildings, Structures &amp; Civil Works</t>
  </si>
  <si>
    <t>3.4.4</t>
  </si>
  <si>
    <t>Construction Specification for Buildings, Structures &amp; Civil Works</t>
  </si>
  <si>
    <t>3.4.5</t>
  </si>
  <si>
    <t>Earthworks Calculations (incl. topography &amp; slope stability)</t>
  </si>
  <si>
    <t>3.4.6</t>
  </si>
  <si>
    <t>Design Basis for Buildings, Structures &amp; Civil Works</t>
  </si>
  <si>
    <t>3.4.7</t>
  </si>
  <si>
    <t>Calculation for Buildings Works (incl. foundations)</t>
  </si>
  <si>
    <t>3.4.8</t>
  </si>
  <si>
    <t>Calculation for Underground Gravity Network (AOC, ACC, FW, FWR, SWW, etc.)</t>
  </si>
  <si>
    <t>3.4.9</t>
  </si>
  <si>
    <t>Calculation for Road, Fencing and Surfacing</t>
  </si>
  <si>
    <t>3.4.10</t>
  </si>
  <si>
    <t>Calculation for Foundation Works (equipment support, sleepers, etc.)</t>
  </si>
  <si>
    <t>3.4.11</t>
  </si>
  <si>
    <t>Calculations for Structural works  (incl. foundations)</t>
  </si>
  <si>
    <t>3.4.12</t>
  </si>
  <si>
    <t>Design Drawings for Road, Fencing and Surfacing</t>
  </si>
  <si>
    <t>3.4.13</t>
  </si>
  <si>
    <t>Design Drawings for Buildings Works (incl. foundations)</t>
  </si>
  <si>
    <t>3.4.14</t>
  </si>
  <si>
    <t>Design Drawings for Foundation Works (equipment support, sleepers, etc.)</t>
  </si>
  <si>
    <t>3.4.15</t>
  </si>
  <si>
    <t>Design Drawings for Structural works  (incl. foundations)</t>
  </si>
  <si>
    <t>3.4.16</t>
  </si>
  <si>
    <t>Specification for Marine Structures and Coastal Protection (if any)</t>
  </si>
  <si>
    <t>3.4.17</t>
  </si>
  <si>
    <t>Calculation for Marine Structures and Coastal Protection (if any)</t>
  </si>
  <si>
    <t>3.4.18</t>
  </si>
  <si>
    <t>Design Drawing for Marine Structures and Coastal Protection (if any)</t>
  </si>
  <si>
    <t>3.4.19</t>
  </si>
  <si>
    <t>Survey Report</t>
  </si>
  <si>
    <t>3.4.20</t>
  </si>
  <si>
    <t>Piping Engineering</t>
  </si>
  <si>
    <t>3.5.1</t>
  </si>
  <si>
    <t>3.5.2</t>
  </si>
  <si>
    <t>Piping project procedures</t>
  </si>
  <si>
    <t>3.5.3</t>
  </si>
  <si>
    <t>Materials Selection for Pipes and Components</t>
  </si>
  <si>
    <t>3.5.4</t>
  </si>
  <si>
    <t>Weld Testing Procedures</t>
  </si>
  <si>
    <t>3.5.5</t>
  </si>
  <si>
    <t>Drawings Index</t>
  </si>
  <si>
    <t>3.5.6</t>
  </si>
  <si>
    <t>Piping Routing Studies</t>
  </si>
  <si>
    <t>3.5.7</t>
  </si>
  <si>
    <t>General Arrangement Drawings</t>
  </si>
  <si>
    <t>3.5.8</t>
  </si>
  <si>
    <t>Plot Plans and Equipment Layouts</t>
  </si>
  <si>
    <t>3.5.9</t>
  </si>
  <si>
    <t>Piping Isometric Drawings (Materials Take-off) and list</t>
  </si>
  <si>
    <t>3.5.10</t>
  </si>
  <si>
    <t>Piping Stress Calculations and analysis report</t>
  </si>
  <si>
    <t>3.5.11</t>
  </si>
  <si>
    <t>Line list</t>
  </si>
  <si>
    <t>3.5.12</t>
  </si>
  <si>
    <t>Piping MATERIAL list</t>
  </si>
  <si>
    <t>3.5.13</t>
  </si>
  <si>
    <t>Pipe support lists</t>
  </si>
  <si>
    <t>3.5.14</t>
  </si>
  <si>
    <t>Special Pipe Support Drawing</t>
  </si>
  <si>
    <t>3.5.15</t>
  </si>
  <si>
    <t>Piping tie-in and connection Drawings</t>
  </si>
  <si>
    <t>3.5.16</t>
  </si>
  <si>
    <t xml:space="preserve">Data Sheets for Special Materiel </t>
  </si>
  <si>
    <t>3.5.17</t>
  </si>
  <si>
    <t>VENDOR/CONTRACTOR Drawings and list</t>
  </si>
  <si>
    <t>3.5.18</t>
  </si>
  <si>
    <t>Piping Specifications and Classes</t>
  </si>
  <si>
    <t>3.5.19</t>
  </si>
  <si>
    <t>Underground piping specification</t>
  </si>
  <si>
    <t>3.5.20</t>
  </si>
  <si>
    <t>Positive piping marking procedure</t>
  </si>
  <si>
    <t>3.5.21</t>
  </si>
  <si>
    <t>Piping Standards/Support Standards</t>
  </si>
  <si>
    <t>3.5.22</t>
  </si>
  <si>
    <t>Pipeline Thickness Calculation Notes</t>
  </si>
  <si>
    <t>3.5.23</t>
  </si>
  <si>
    <t>Pipelines Coating and wrapping</t>
  </si>
  <si>
    <t>3.5.24</t>
  </si>
  <si>
    <t>Piping Hydraulic Testing, Cleaning and Flushing Procedures</t>
  </si>
  <si>
    <t>3.5.25</t>
  </si>
  <si>
    <t>Critical Line Stress calculation and analysis report</t>
  </si>
  <si>
    <t>3.5.26</t>
  </si>
  <si>
    <t>Utility System Location Plan</t>
  </si>
  <si>
    <t>Pressure Vessels Engineering</t>
  </si>
  <si>
    <t>3.6.1</t>
  </si>
  <si>
    <t>Vessel Type and Material Selection</t>
  </si>
  <si>
    <t>3.6.2</t>
  </si>
  <si>
    <t>Sizing Mechanical Design Calculations</t>
  </si>
  <si>
    <t>3.6.3</t>
  </si>
  <si>
    <t>Data Sheets</t>
  </si>
  <si>
    <t>3.6.4</t>
  </si>
  <si>
    <t>3.6.5</t>
  </si>
  <si>
    <t>Technical Bid Evaluation Criteria and Report</t>
  </si>
  <si>
    <t>Heat Transfer Equipment Engineering</t>
  </si>
  <si>
    <t>3.7.1</t>
  </si>
  <si>
    <t>Equipment Type and Material Selection</t>
  </si>
  <si>
    <t>3.7.2</t>
  </si>
  <si>
    <t>Sizing, Thermal and Mechanical Design Calculations</t>
  </si>
  <si>
    <t>3.7.3</t>
  </si>
  <si>
    <t>Thermal analysis of shell and tube heat exchangers</t>
  </si>
  <si>
    <t>3.7.4</t>
  </si>
  <si>
    <t>3.7.5</t>
  </si>
  <si>
    <t>Standard Drawings</t>
  </si>
  <si>
    <t>3.7.6</t>
  </si>
  <si>
    <t>3.7.7</t>
  </si>
  <si>
    <t>Nozzle Orientation and Support Clips</t>
  </si>
  <si>
    <t>3.7.8</t>
  </si>
  <si>
    <t>Flanges and Internals</t>
  </si>
  <si>
    <t>3.7.9</t>
  </si>
  <si>
    <t>Hydraulic Testing Procedures</t>
  </si>
  <si>
    <t>Tank</t>
  </si>
  <si>
    <t>3.8.1</t>
  </si>
  <si>
    <t>Process Design Criteria, Design Philosophy and Design Basis</t>
  </si>
  <si>
    <t>3.8.2</t>
  </si>
  <si>
    <t>Engineering Report and Study</t>
  </si>
  <si>
    <t>3.8.3</t>
  </si>
  <si>
    <t>Specification</t>
  </si>
  <si>
    <t>3.8.4</t>
  </si>
  <si>
    <t>Technical Data Sheets</t>
  </si>
  <si>
    <t>3.8.5</t>
  </si>
  <si>
    <t>Calculation Report</t>
  </si>
  <si>
    <t>3.8.6</t>
  </si>
  <si>
    <t>List and Schedule</t>
  </si>
  <si>
    <t>3.8.7</t>
  </si>
  <si>
    <t>General arrangement drawings</t>
  </si>
  <si>
    <t>3.8.8</t>
  </si>
  <si>
    <t>Technical bid evaluation criteria and report</t>
  </si>
  <si>
    <t>Rotating Machinery Engineering</t>
  </si>
  <si>
    <t>3.9.1</t>
  </si>
  <si>
    <t>Sizing thermal and Mechanical Design Calculations</t>
  </si>
  <si>
    <t>3.9.2</t>
  </si>
  <si>
    <t>3.9.3</t>
  </si>
  <si>
    <t>Specifications</t>
  </si>
  <si>
    <t>3.9.4</t>
  </si>
  <si>
    <t>Development of Operational, Safety and Control System</t>
  </si>
  <si>
    <t>3.9.5</t>
  </si>
  <si>
    <t>Dynamic Simulations</t>
  </si>
  <si>
    <t>3.9.6</t>
  </si>
  <si>
    <t>Inspection and Testing Procedures at Vendor Works</t>
  </si>
  <si>
    <t>Fired Equipment</t>
  </si>
  <si>
    <t>3.10.1</t>
  </si>
  <si>
    <t>Equipment type and material selection</t>
  </si>
  <si>
    <t>3.10.2</t>
  </si>
  <si>
    <t>3.10.3</t>
  </si>
  <si>
    <t>3.10.4</t>
  </si>
  <si>
    <t>Developments of operational, safety and control system</t>
  </si>
  <si>
    <t>3.10.5</t>
  </si>
  <si>
    <t>Inspection and test Procedures at Vendors Works</t>
  </si>
  <si>
    <t>3.10.6</t>
  </si>
  <si>
    <t>Vendor data and drawings</t>
  </si>
  <si>
    <t>3.10.7</t>
  </si>
  <si>
    <t>Equipment lifting drawing</t>
  </si>
  <si>
    <t>3.10.8</t>
  </si>
  <si>
    <t>Sizing thermal and mechanical design calculation</t>
  </si>
  <si>
    <t>3.10.9</t>
  </si>
  <si>
    <t>3.10.10</t>
  </si>
  <si>
    <t>Interlock and safety descriptions and cause &amp; effect diagrams</t>
  </si>
  <si>
    <t>Electrical Engineering</t>
  </si>
  <si>
    <t>3.11.1</t>
  </si>
  <si>
    <t>Electrical dynamic studies and report</t>
  </si>
  <si>
    <t>3.11.2</t>
  </si>
  <si>
    <t>Basis of Electrical System Design</t>
  </si>
  <si>
    <t>3.11.3</t>
  </si>
  <si>
    <t>Substations location plans and overall power distribution layout</t>
  </si>
  <si>
    <t>3.11.4</t>
  </si>
  <si>
    <t>Substation EQUIPMENT, floor cut-outs, cable room layouts</t>
  </si>
  <si>
    <t>3.11.5</t>
  </si>
  <si>
    <t>Wiring / interconnection diagrams</t>
  </si>
  <si>
    <t>3.11.6</t>
  </si>
  <si>
    <t>Electrical EQUIPMENT List</t>
  </si>
  <si>
    <t>3.11.7</t>
  </si>
  <si>
    <t>Equipment Specification for detail design (If required)</t>
  </si>
  <si>
    <t>3.11.8</t>
  </si>
  <si>
    <t>Data Sheets for Equipment</t>
  </si>
  <si>
    <t>3.11.9</t>
  </si>
  <si>
    <t>Load Schedule / Power balance</t>
  </si>
  <si>
    <t>3.11.10</t>
  </si>
  <si>
    <t>Electrical Consumers list</t>
  </si>
  <si>
    <t>3.11.11</t>
  </si>
  <si>
    <t>Overall Single Line Diagram</t>
  </si>
  <si>
    <t>3.11.12</t>
  </si>
  <si>
    <t>Substation One Line Diagram</t>
  </si>
  <si>
    <t>3.11.13</t>
  </si>
  <si>
    <t>Cable and conduit Sizing Calculations</t>
  </si>
  <si>
    <t>3.11.14</t>
  </si>
  <si>
    <t>Transformers sizing calculations</t>
  </si>
  <si>
    <t>3.11.15</t>
  </si>
  <si>
    <t>Protective / Schematics / Logic Diagrams</t>
  </si>
  <si>
    <t>3.11.16</t>
  </si>
  <si>
    <t>Electrical Network Studies and reports</t>
  </si>
  <si>
    <t>3.11.17</t>
  </si>
  <si>
    <t>Relay coordination studies and reports including setting tables</t>
  </si>
  <si>
    <t>3.11.18</t>
  </si>
  <si>
    <t>Definition and sizing of Electrical Network Monitoring Control System (ENMCS)</t>
  </si>
  <si>
    <t>3.11.19</t>
  </si>
  <si>
    <t>Data sheet for EQUIPMENT</t>
  </si>
  <si>
    <t>3.11.20</t>
  </si>
  <si>
    <t>General and detail Power Cables Routing (with trench cross section)</t>
  </si>
  <si>
    <t>3.11.21</t>
  </si>
  <si>
    <t>Cables Schedule (power and control)</t>
  </si>
  <si>
    <t>3.11.22</t>
  </si>
  <si>
    <t>Switchgear schedules</t>
  </si>
  <si>
    <t>3.11.23</t>
  </si>
  <si>
    <t>Lighting schedules</t>
  </si>
  <si>
    <t>3.11.24</t>
  </si>
  <si>
    <t>Lighting / UPS Batteries Calculations</t>
  </si>
  <si>
    <t>3.11.25</t>
  </si>
  <si>
    <t>Lighting illumination calculation note</t>
  </si>
  <si>
    <t>3.11.26</t>
  </si>
  <si>
    <t>Earthing calculations and diagrams</t>
  </si>
  <si>
    <t>3.11.27</t>
  </si>
  <si>
    <t>Earthing and Lightning layouts</t>
  </si>
  <si>
    <t>3.11.28</t>
  </si>
  <si>
    <t>Specification and Sizing of the Diesel Generator</t>
  </si>
  <si>
    <t>3.11.29</t>
  </si>
  <si>
    <t>Smart Plant Electrical electronic completed data-base</t>
  </si>
  <si>
    <t>3.11.30</t>
  </si>
  <si>
    <t>List of EQUIPMENT heat dissipation for HVAC sizing</t>
  </si>
  <si>
    <t>3.11.31</t>
  </si>
  <si>
    <t>Energy saving audit report</t>
  </si>
  <si>
    <t>3.11.32</t>
  </si>
  <si>
    <t>Electrical Safety and Operability review and reports (ESRS)</t>
  </si>
  <si>
    <t>Instrumentation &amp; Control Deliverables Index</t>
  </si>
  <si>
    <t>3.12.1</t>
  </si>
  <si>
    <t>Architecture diagrams</t>
  </si>
  <si>
    <t>3.12.2</t>
  </si>
  <si>
    <t>Instrument List or Instrument Index</t>
  </si>
  <si>
    <t>3.12.3</t>
  </si>
  <si>
    <t>Complex Control Loop narratives</t>
  </si>
  <si>
    <t>3.12.4</t>
  </si>
  <si>
    <t>Intrinsically safe loop calculation sheets</t>
  </si>
  <si>
    <t>3.12.5</t>
  </si>
  <si>
    <t>Instrument, Control and Safeguarding general Philosophy</t>
  </si>
  <si>
    <t>3.12.6</t>
  </si>
  <si>
    <t>Instrument and Control Block Diagrams</t>
  </si>
  <si>
    <t>3.12.7</t>
  </si>
  <si>
    <t>Instrumentation Interface Philosophy</t>
  </si>
  <si>
    <t>3.12.8</t>
  </si>
  <si>
    <t>Instrumentation Material selection philosophy</t>
  </si>
  <si>
    <t>3.12.9</t>
  </si>
  <si>
    <t>Instrument Numbering Specification</t>
  </si>
  <si>
    <t>3.12.10</t>
  </si>
  <si>
    <t>Instrument Earthing Philosophy</t>
  </si>
  <si>
    <t>3.12.11</t>
  </si>
  <si>
    <t>Instrument Earthing Layouts</t>
  </si>
  <si>
    <t>3.12.12</t>
  </si>
  <si>
    <t>Instrument calibration data sheets, curves and procedures</t>
  </si>
  <si>
    <t>3.12.13</t>
  </si>
  <si>
    <t>I/O assignment and segregation philosophy</t>
  </si>
  <si>
    <t>3.12.14</t>
  </si>
  <si>
    <t>DCS Functional Specification</t>
  </si>
  <si>
    <t>3.12.15</t>
  </si>
  <si>
    <t>Metering System Functional Specification</t>
  </si>
  <si>
    <t>3.12.16</t>
  </si>
  <si>
    <t>CIS Functional Specification</t>
  </si>
  <si>
    <t>3.12.17</t>
  </si>
  <si>
    <t>ESD Functional Specification</t>
  </si>
  <si>
    <t>3.12.18</t>
  </si>
  <si>
    <t>Machine Monitoring System Functional Specification</t>
  </si>
  <si>
    <t>3.12.19</t>
  </si>
  <si>
    <t>MOV Control System Functional Specification</t>
  </si>
  <si>
    <t>3.12.20</t>
  </si>
  <si>
    <t>AMS Functional Specification</t>
  </si>
  <si>
    <t>3.12.21</t>
  </si>
  <si>
    <t>ON/OFF Actuated Valves Functional Specification</t>
  </si>
  <si>
    <t>3.12.22</t>
  </si>
  <si>
    <t>Control Valve Specification.</t>
  </si>
  <si>
    <t>3.12.23</t>
  </si>
  <si>
    <t>Analyzer requirements, specification and Layout</t>
  </si>
  <si>
    <t>3.12.24</t>
  </si>
  <si>
    <t>Tank Gauging System Functional Specification</t>
  </si>
  <si>
    <t>3.12.25</t>
  </si>
  <si>
    <t>Cabinet Specifications</t>
  </si>
  <si>
    <t>3.12.26</t>
  </si>
  <si>
    <t>Sizing and selection of Field Instruments</t>
  </si>
  <si>
    <t>3.12.27</t>
  </si>
  <si>
    <t>Instrument Detailed Specification</t>
  </si>
  <si>
    <t>3.12.28</t>
  </si>
  <si>
    <t>Instrument Data Sheets</t>
  </si>
  <si>
    <t>3.12.29</t>
  </si>
  <si>
    <t>Fire and Gas devices datasheets</t>
  </si>
  <si>
    <t>3.12.30</t>
  </si>
  <si>
    <t>Instrument schedules including I/O schedules</t>
  </si>
  <si>
    <t>3.12.31</t>
  </si>
  <si>
    <t>Cable schedules, layout and block diagrams.</t>
  </si>
  <si>
    <t>3.12.32</t>
  </si>
  <si>
    <t>Instrument name plate schedule</t>
  </si>
  <si>
    <t>3.12.33</t>
  </si>
  <si>
    <t>Cable routings</t>
  </si>
  <si>
    <t>3.12.34</t>
  </si>
  <si>
    <t>Instrument Piping and Cabling specifications</t>
  </si>
  <si>
    <t>3.12.35</t>
  </si>
  <si>
    <t>Instrument Installation Drawings</t>
  </si>
  <si>
    <t>3.12.36</t>
  </si>
  <si>
    <t>Loop diagrams</t>
  </si>
  <si>
    <t>3.12.37</t>
  </si>
  <si>
    <t>Wiring diagrams</t>
  </si>
  <si>
    <t>3.12.38</t>
  </si>
  <si>
    <t>Shutdown and logic diagrams</t>
  </si>
  <si>
    <t>3.12.39</t>
  </si>
  <si>
    <t>Control room layout</t>
  </si>
  <si>
    <t>3.12.40</t>
  </si>
  <si>
    <t>SER / Technical room layout</t>
  </si>
  <si>
    <t>3.12.41</t>
  </si>
  <si>
    <t>Instrument location layouts</t>
  </si>
  <si>
    <t>3.12.42</t>
  </si>
  <si>
    <t>Instrument air distribution layouts</t>
  </si>
  <si>
    <t>3.12.43</t>
  </si>
  <si>
    <t>Control panel drawings</t>
  </si>
  <si>
    <t>3.12.44</t>
  </si>
  <si>
    <t>3.12.45</t>
  </si>
  <si>
    <t>Instrument / System Testing procedures</t>
  </si>
  <si>
    <t>3.12.46</t>
  </si>
  <si>
    <t>MMI graphics Functional design specifications</t>
  </si>
  <si>
    <t>3.12.47</t>
  </si>
  <si>
    <t>Smart Plant Instrumentation electronic completed data-base</t>
  </si>
  <si>
    <t>3.12.48</t>
  </si>
  <si>
    <t>IPF studies and reports</t>
  </si>
  <si>
    <t>3.12.49</t>
  </si>
  <si>
    <t>Telecommunication Engineering</t>
  </si>
  <si>
    <t>3.13.1</t>
  </si>
  <si>
    <t>System Optimization Studies (if any)</t>
  </si>
  <si>
    <t>3.13.2</t>
  </si>
  <si>
    <t>Definition of Functional Requirements and Configuration</t>
  </si>
  <si>
    <t>3.13.3</t>
  </si>
  <si>
    <t>Sizing and Selection of System</t>
  </si>
  <si>
    <t>3.13.4</t>
  </si>
  <si>
    <t>Telecom Earthing Philosophy</t>
  </si>
  <si>
    <t>3.13.5</t>
  </si>
  <si>
    <t>Technical specifications of system for Procurement</t>
  </si>
  <si>
    <t>3.13.6</t>
  </si>
  <si>
    <t>3.13.7</t>
  </si>
  <si>
    <t>Wiring Sheets</t>
  </si>
  <si>
    <t>3.13.8</t>
  </si>
  <si>
    <t>Equipment Location, Installation and Interconnection Drawings</t>
  </si>
  <si>
    <t>3.13.9</t>
  </si>
  <si>
    <t>Telecom EQUIPMENT list</t>
  </si>
  <si>
    <t>3.13.10</t>
  </si>
  <si>
    <t>3.13.11</t>
  </si>
  <si>
    <t>Software, Configuration, Displays and Report Formats</t>
  </si>
  <si>
    <t>3.13.12</t>
  </si>
  <si>
    <t>Construction/Installation Specifications</t>
  </si>
  <si>
    <t>3.13.13</t>
  </si>
  <si>
    <t>Telecom name plate schedule</t>
  </si>
  <si>
    <t>3.13.14</t>
  </si>
  <si>
    <t>Telecommunication Interfacing Philosophy</t>
  </si>
  <si>
    <t>3.13.15</t>
  </si>
  <si>
    <t>Wireless HART coverage study and report</t>
  </si>
  <si>
    <t>Corrosion Protection</t>
  </si>
  <si>
    <t>3.14.1</t>
  </si>
  <si>
    <t>Corrosion Control Engineering</t>
  </si>
  <si>
    <t>3.14.2</t>
  </si>
  <si>
    <t>Optimization and Technical Studies on Corrosion Control and Monitoring</t>
  </si>
  <si>
    <t>3.14.3</t>
  </si>
  <si>
    <t>Cathodic Protection System design</t>
  </si>
  <si>
    <t>3.14.4</t>
  </si>
  <si>
    <t>Material selection guide</t>
  </si>
  <si>
    <t>3.14.5</t>
  </si>
  <si>
    <t>Sizing and Selection of Cathodic Protection Requirement</t>
  </si>
  <si>
    <t>3.14.6</t>
  </si>
  <si>
    <t>Cathodic Protection Equipment Specifications</t>
  </si>
  <si>
    <t>3.14.7</t>
  </si>
  <si>
    <t>3.14.8</t>
  </si>
  <si>
    <t>Detailed Drawings for Cathodic Protection</t>
  </si>
  <si>
    <t>3.14.9</t>
  </si>
  <si>
    <t>Site survey and associated report for cathodic protection</t>
  </si>
  <si>
    <t>3.14.10</t>
  </si>
  <si>
    <t>Specifications for Protective Coatings and Listings</t>
  </si>
  <si>
    <t>3.14.11</t>
  </si>
  <si>
    <t>Soil Resistivity Survey Reports</t>
  </si>
  <si>
    <t>3.14.12</t>
  </si>
  <si>
    <t>Painting detailed specification</t>
  </si>
  <si>
    <t>3.14.13</t>
  </si>
  <si>
    <t>Insulation detailed specification</t>
  </si>
  <si>
    <t>3.14.14</t>
  </si>
  <si>
    <t>Corrosion design basis memorandum</t>
  </si>
  <si>
    <t>3.14.15</t>
  </si>
  <si>
    <t>Corrosion Management Plan</t>
  </si>
  <si>
    <t>3.14.16</t>
  </si>
  <si>
    <t>Corrosion Study Report</t>
  </si>
  <si>
    <t>3.14.17</t>
  </si>
  <si>
    <t>Corrosion Prevention Program</t>
  </si>
  <si>
    <t>3.14.18</t>
  </si>
  <si>
    <t>Corrosion Monitoring Program</t>
  </si>
  <si>
    <t>HVAC Engineering</t>
  </si>
  <si>
    <t>3.15.1</t>
  </si>
  <si>
    <t>Design Criteria for HVAC System Design</t>
  </si>
  <si>
    <t>3.15.2</t>
  </si>
  <si>
    <t>Design Load Calculations</t>
  </si>
  <si>
    <t>3.15.3</t>
  </si>
  <si>
    <t>Optimization And Selection Of HVAC</t>
  </si>
  <si>
    <t>3.15.4</t>
  </si>
  <si>
    <t>Sizing of Equipment</t>
  </si>
  <si>
    <t>3.15.5</t>
  </si>
  <si>
    <t>Project Specification For HVAC System</t>
  </si>
  <si>
    <t>3.15.6</t>
  </si>
  <si>
    <t>3.15.7</t>
  </si>
  <si>
    <t>Specification For HVAC Equipment</t>
  </si>
  <si>
    <t>3.15.8</t>
  </si>
  <si>
    <t>Air induced vibration analysis for air coolers</t>
  </si>
  <si>
    <t>3.15.9</t>
  </si>
  <si>
    <t>Specification For Performance Testing</t>
  </si>
  <si>
    <t>3.15.10</t>
  </si>
  <si>
    <t>HVAC Control System Drawings &amp; Specification</t>
  </si>
  <si>
    <t xml:space="preserve">HQSM10B-50-PO-002-Column </t>
  </si>
  <si>
    <t>HQSM10B-50-PO-003-Column Tower Internal</t>
  </si>
  <si>
    <t>HQSM10B-50-PO-004-Vessel</t>
  </si>
  <si>
    <t>HQSM10B-50-PO-005-Desalter Package</t>
  </si>
  <si>
    <t>HQSM10B-50-PO-006-Enclosed Ground Flare</t>
  </si>
  <si>
    <t>HQSM10B-50-PO-007-Air Compressor and Micro-heat Regeneration Dryer</t>
  </si>
  <si>
    <t xml:space="preserve">HQSM10B-50-PO-008-Steam boiler  </t>
  </si>
  <si>
    <t>HQSM10B-50-PO-009-Demin Water System</t>
  </si>
  <si>
    <t>HQSM10B-50-PO-010-Air Coolers</t>
  </si>
  <si>
    <t>HQSM10B-50-PO-011-Heat Exchanger</t>
  </si>
  <si>
    <t>HQSM10B-50-PO-012-Crude Heater (F-5101)</t>
  </si>
  <si>
    <t>HQSM10B-50-PO-013-Fuel Gas Desulfurization Package</t>
  </si>
  <si>
    <t>HQSM10B-50-PO-014-Centrifugal Pump</t>
  </si>
  <si>
    <t>HQSM10B-50-PO-015- Earthing Materials</t>
  </si>
  <si>
    <t>HQSM10B-50-PO-016- Transformer</t>
  </si>
  <si>
    <t>HQSM10B-50-PO-018-Water Ring Compressor Package</t>
  </si>
  <si>
    <t>HQSM10B-50-PO-019-Desulfurizer and Ceramic Ball</t>
  </si>
  <si>
    <t>HQSM10B-50-PO-020-33kV Gas Insulated Switchgear (U58)</t>
  </si>
  <si>
    <t>HQSM10B-50-PO-021-Pressure Relief Valve</t>
  </si>
  <si>
    <t>HQSM10B-50-PO-025-Emergency Diesel Generator</t>
  </si>
  <si>
    <t>HQSM10B-50-PO-026-LV switchgear</t>
  </si>
  <si>
    <t xml:space="preserve">HQSM10B-50-PO-029-Coalescencer  </t>
  </si>
  <si>
    <t>HQSM10B-50-PO-030-Flame Arrestor, Silencer, Sampler, Strainers</t>
  </si>
  <si>
    <t>HQSM10B-50-PO-033-Displacer Level Instrument</t>
  </si>
  <si>
    <t>HQSM10B-50-PO-038- AC Uninterruptible Power supplies (UPS)</t>
  </si>
  <si>
    <t>HQSM10B-50-PO-039-Control Valves</t>
  </si>
  <si>
    <t>HQSM10B-50-PO-042-Cooling Water Plant</t>
  </si>
  <si>
    <t>HQSM10B-50-PO-043-MAV</t>
  </si>
  <si>
    <t>HQSM10B-50-PO-045-Analyzer package</t>
  </si>
  <si>
    <t>HQSM10B-50-PO-047- Self Regulator and On-off Valve (butterfly)</t>
  </si>
  <si>
    <t>HQSM10B-50-PO-048-CCTV</t>
  </si>
  <si>
    <t>HQSM10B-50-PO-049-Effluent Treatment Pplant (IETS)</t>
  </si>
  <si>
    <t>HQSM10B-50-PO-051-IG-541 Gas Suppression System Package</t>
  </si>
  <si>
    <t>HQSM10B-50-PO-052-Foam Pump</t>
  </si>
  <si>
    <t>HQSM10B-50-PO-053-Fire Fighting Equipment</t>
  </si>
  <si>
    <t>HQSM10B-50-PO-054- Fire Alarm System</t>
  </si>
  <si>
    <t>HQSM10B-50-PO-055-VOIP IP</t>
  </si>
  <si>
    <t>HQSM10B-50-PO-056-Foam &amp; Foam Tank</t>
  </si>
  <si>
    <t>HQSM10B-50-PO-058-Spring Support &amp; Snubber</t>
  </si>
  <si>
    <t>HQSM10B-50-PO-060-Gas Detection System (GDS)</t>
  </si>
  <si>
    <t>HQSM10B-50-PO-077-Sluice Gate &amp; Machinery Grating</t>
  </si>
  <si>
    <t>HQSM10B-50-PO-074-Toxic &amp; Combustible Gas Detector</t>
  </si>
  <si>
    <t>HQSM10B-50-PO-093-HVAC Package</t>
  </si>
  <si>
    <t>HQSM10B-50-PO-099-PLC Demin Water</t>
  </si>
  <si>
    <t>HQSM10B-50-PO-100 PLC IETS</t>
  </si>
  <si>
    <t>HQSM10B-50-PO-108-ETP Sludge Treatment</t>
  </si>
  <si>
    <t>HQSM10B-50-PO-128-Desalted Water Tank</t>
  </si>
  <si>
    <t>HQSM10B-50-PO-133-Demin Water</t>
  </si>
  <si>
    <t>HQSM10B-50-PO-142-Pressure Safety Valves</t>
  </si>
  <si>
    <t>Quality Documentation</t>
  </si>
  <si>
    <t>Piling</t>
  </si>
  <si>
    <t>5.1.1</t>
  </si>
  <si>
    <t>Reference Drawing</t>
  </si>
  <si>
    <t>5.1.2</t>
  </si>
  <si>
    <t>Material Verification Summary</t>
  </si>
  <si>
    <t>5.1.3</t>
  </si>
  <si>
    <t>Material Verification Record</t>
  </si>
  <si>
    <t>5.1.5</t>
  </si>
  <si>
    <t>Pile Driving</t>
  </si>
  <si>
    <t>5.1.6</t>
  </si>
  <si>
    <t>Piling Integrity Test (PIT)</t>
  </si>
  <si>
    <t>5.1.7</t>
  </si>
  <si>
    <t>Load Test</t>
  </si>
  <si>
    <t>5.1.8</t>
  </si>
  <si>
    <t>Punch List</t>
  </si>
  <si>
    <t>Civil</t>
  </si>
  <si>
    <t>5.2.1</t>
  </si>
  <si>
    <t>5.2.2</t>
  </si>
  <si>
    <t>5.2.3</t>
  </si>
  <si>
    <t>5.2.4</t>
  </si>
  <si>
    <t>5.2.5</t>
  </si>
  <si>
    <t>Excavation</t>
  </si>
  <si>
    <t>5.2.6</t>
  </si>
  <si>
    <t>Backfilling</t>
  </si>
  <si>
    <t>5.2.7</t>
  </si>
  <si>
    <t>Compaction</t>
  </si>
  <si>
    <t>5.2.8</t>
  </si>
  <si>
    <t>Concrete Pour</t>
  </si>
  <si>
    <t>5.2.9</t>
  </si>
  <si>
    <t>Laboratory Test Report</t>
  </si>
  <si>
    <t>5.2.9.1</t>
  </si>
  <si>
    <t>Soil Test</t>
  </si>
  <si>
    <t>5.2.9.2</t>
  </si>
  <si>
    <t>Slump Test</t>
  </si>
  <si>
    <t>5.2.9.3</t>
  </si>
  <si>
    <t>Compacted Soil Test</t>
  </si>
  <si>
    <t>5.2.9.4</t>
  </si>
  <si>
    <t>Concrete Strength Test</t>
  </si>
  <si>
    <t>5.2.10</t>
  </si>
  <si>
    <t>Building</t>
  </si>
  <si>
    <t>5.3.1</t>
  </si>
  <si>
    <t>5.3.2</t>
  </si>
  <si>
    <t>5.3.3</t>
  </si>
  <si>
    <t>5.3.4</t>
  </si>
  <si>
    <t>5.3.5</t>
  </si>
  <si>
    <t>5.3.6</t>
  </si>
  <si>
    <t>Hardware &amp; Accessories Installation</t>
  </si>
  <si>
    <t>5.3.7</t>
  </si>
  <si>
    <t>Electrical Installation</t>
  </si>
  <si>
    <t>5.3.8</t>
  </si>
  <si>
    <t>PAGA</t>
  </si>
  <si>
    <t>5.3.9</t>
  </si>
  <si>
    <t>Fire &amp; Gas Work</t>
  </si>
  <si>
    <t>5.3.10</t>
  </si>
  <si>
    <t>Telecom Work</t>
  </si>
  <si>
    <t>5.3.11</t>
  </si>
  <si>
    <t>HVAC</t>
  </si>
  <si>
    <t>5.3.12</t>
  </si>
  <si>
    <t>Painting</t>
  </si>
  <si>
    <t>5.3.13</t>
  </si>
  <si>
    <t>Structural</t>
  </si>
  <si>
    <t>5.4.1</t>
  </si>
  <si>
    <t>5.4.2</t>
  </si>
  <si>
    <t>5.4.3</t>
  </si>
  <si>
    <t>5.4.4</t>
  </si>
  <si>
    <t>Weld Summary</t>
  </si>
  <si>
    <t>5.4.5</t>
  </si>
  <si>
    <t>Fit-Up Report</t>
  </si>
  <si>
    <t>5.4.6</t>
  </si>
  <si>
    <t>Visual Inspection Report</t>
  </si>
  <si>
    <t>5.4.7</t>
  </si>
  <si>
    <t>Dimensional, Levelling and Straightness Inspection Record</t>
  </si>
  <si>
    <t>5.4.8</t>
  </si>
  <si>
    <t>Grouting</t>
  </si>
  <si>
    <t>5.4.9</t>
  </si>
  <si>
    <t>Fire Proofing (Please refer to 5.11)</t>
  </si>
  <si>
    <t>5.4.10</t>
  </si>
  <si>
    <t>NDT Report</t>
  </si>
  <si>
    <t>5.4.10.1</t>
  </si>
  <si>
    <t>Radiographic Testing Report (RT)</t>
  </si>
  <si>
    <t>5.4.10.2</t>
  </si>
  <si>
    <t>NDT Radiographic Films</t>
  </si>
  <si>
    <t>5.4.10.3</t>
  </si>
  <si>
    <t>Ultrasonic Testing Report (UT)</t>
  </si>
  <si>
    <t>5.4.10.4</t>
  </si>
  <si>
    <t>Magnetic Particle Inspection Report (MPI)</t>
  </si>
  <si>
    <t>5.4.10.5</t>
  </si>
  <si>
    <t>Dye Penetrating Testing Report (DPI)</t>
  </si>
  <si>
    <t>5.4.11</t>
  </si>
  <si>
    <t>Welding Procedure Specification (WPS)</t>
  </si>
  <si>
    <t>5.4.12</t>
  </si>
  <si>
    <t>Welder’s Qualification Test (WQT) Record</t>
  </si>
  <si>
    <t>5.4.13</t>
  </si>
  <si>
    <t>Piping</t>
  </si>
  <si>
    <t>5.5.1</t>
  </si>
  <si>
    <t>5.5.2</t>
  </si>
  <si>
    <t>5.5.3</t>
  </si>
  <si>
    <t>5.5.4</t>
  </si>
  <si>
    <t>5.5.5</t>
  </si>
  <si>
    <t>5.5.6</t>
  </si>
  <si>
    <t>5.5.7</t>
  </si>
  <si>
    <t>5.5.8</t>
  </si>
  <si>
    <t>Flange Connection &amp; Tightening Report</t>
  </si>
  <si>
    <t>5.5.9</t>
  </si>
  <si>
    <t>5.5.9.1</t>
  </si>
  <si>
    <t>5.5.9.1.1</t>
  </si>
  <si>
    <t>5.5.9.1.2</t>
  </si>
  <si>
    <t>Advance UT (PAUT)</t>
  </si>
  <si>
    <t>5.5.9.1.3</t>
  </si>
  <si>
    <t>5.5.9.1.4</t>
  </si>
  <si>
    <t>5.5.9.1.5</t>
  </si>
  <si>
    <t>Dye Penetrant Test (DPI)</t>
  </si>
  <si>
    <t>5.5.9.1.6</t>
  </si>
  <si>
    <t>Positive Material Identification (PMI)</t>
  </si>
  <si>
    <t>5.5.10</t>
  </si>
  <si>
    <t>Hardness Test</t>
  </si>
  <si>
    <t>5.5.11</t>
  </si>
  <si>
    <t>Hydrotest Record</t>
  </si>
  <si>
    <t>5.5.12</t>
  </si>
  <si>
    <t>Valve Leak Test Record</t>
  </si>
  <si>
    <t>5.5.13</t>
  </si>
  <si>
    <t>Post Weld Heat Treatment Record (PWHT)</t>
  </si>
  <si>
    <t>5.5.14</t>
  </si>
  <si>
    <t>Acid Cleaning Record</t>
  </si>
  <si>
    <t>5.5.15</t>
  </si>
  <si>
    <t>Reinstatement Test Record</t>
  </si>
  <si>
    <t>5.5.16</t>
  </si>
  <si>
    <t>5.5.17</t>
  </si>
  <si>
    <t>5.5.18</t>
  </si>
  <si>
    <t>Mechanical</t>
  </si>
  <si>
    <t>5.6.1</t>
  </si>
  <si>
    <t>5.6.2</t>
  </si>
  <si>
    <t>5.6.3</t>
  </si>
  <si>
    <t>Fit-Up, Installation, Pipe Stress and Alignment Record</t>
  </si>
  <si>
    <t>5.6.4</t>
  </si>
  <si>
    <t>5.6.5</t>
  </si>
  <si>
    <t>Site Acceptance Test (SAT) Record</t>
  </si>
  <si>
    <t>5.6.6</t>
  </si>
  <si>
    <t>5.7.1</t>
  </si>
  <si>
    <t>5.7.2</t>
  </si>
  <si>
    <t>5.7.3</t>
  </si>
  <si>
    <t>5.7.4</t>
  </si>
  <si>
    <t>5.7.5</t>
  </si>
  <si>
    <t>5.7.6</t>
  </si>
  <si>
    <t>5.7.7</t>
  </si>
  <si>
    <t>Dimensional, Levelling, Peaking, Banding, Plumpness Inspection Record</t>
  </si>
  <si>
    <t>5.7.8</t>
  </si>
  <si>
    <t>5.7.9</t>
  </si>
  <si>
    <t>5.7.9.1</t>
  </si>
  <si>
    <t>5.7.9.2</t>
  </si>
  <si>
    <t>Radiographic Testing Films</t>
  </si>
  <si>
    <t>5.7.9.3</t>
  </si>
  <si>
    <t>5.7.9.4</t>
  </si>
  <si>
    <t>5.7.9.5</t>
  </si>
  <si>
    <t>5.7.9.6</t>
  </si>
  <si>
    <t>Oil Test</t>
  </si>
  <si>
    <t>5.7.10</t>
  </si>
  <si>
    <t>Weld Repair</t>
  </si>
  <si>
    <t>5.7.11</t>
  </si>
  <si>
    <t>5.7.12</t>
  </si>
  <si>
    <t>Vacuum Test</t>
  </si>
  <si>
    <t>5.7.13</t>
  </si>
  <si>
    <t>5.7.14</t>
  </si>
  <si>
    <t>Hydro Test</t>
  </si>
  <si>
    <t>5.7.15</t>
  </si>
  <si>
    <t>Final Box-up Report</t>
  </si>
  <si>
    <t>5.7.16</t>
  </si>
  <si>
    <t>5.7.17</t>
  </si>
  <si>
    <t>5.7.18</t>
  </si>
  <si>
    <t>Electrical</t>
  </si>
  <si>
    <t>5.8.1</t>
  </si>
  <si>
    <t>5.8.2</t>
  </si>
  <si>
    <t>5.8.3</t>
  </si>
  <si>
    <t>5.8.4</t>
  </si>
  <si>
    <t>Installation &amp; Visual Report</t>
  </si>
  <si>
    <t>5.8.5</t>
  </si>
  <si>
    <t>Factory Acceptance Test (FAT) Record</t>
  </si>
  <si>
    <t>5.8.6</t>
  </si>
  <si>
    <t>5.8.7</t>
  </si>
  <si>
    <t>Instrumentation</t>
  </si>
  <si>
    <t>5.9.1</t>
  </si>
  <si>
    <t>5.9.2</t>
  </si>
  <si>
    <t>5.9.3</t>
  </si>
  <si>
    <t>Installation and Visual Report</t>
  </si>
  <si>
    <t>5.9.4</t>
  </si>
  <si>
    <t>Calibration Report</t>
  </si>
  <si>
    <t>5.9.5</t>
  </si>
  <si>
    <t>5.9.6</t>
  </si>
  <si>
    <t>Telecommunication</t>
  </si>
  <si>
    <t>5.10.1</t>
  </si>
  <si>
    <t>5.10.2</t>
  </si>
  <si>
    <t>5.10.3</t>
  </si>
  <si>
    <t>5.10.4</t>
  </si>
  <si>
    <t>5.10.5</t>
  </si>
  <si>
    <t>Blasting &amp; Painting, Insulation and Fire Proofing</t>
  </si>
  <si>
    <t>5.11.1</t>
  </si>
  <si>
    <t>5.11.1.1</t>
  </si>
  <si>
    <t>MIR – Garnet</t>
  </si>
  <si>
    <t>5.11.1.2</t>
  </si>
  <si>
    <t>MIR – Paint</t>
  </si>
  <si>
    <t>5.11.2</t>
  </si>
  <si>
    <t>Paint Matrix</t>
  </si>
  <si>
    <t>5.11.3</t>
  </si>
  <si>
    <t>Paint Test Panel</t>
  </si>
  <si>
    <t>5.11.4</t>
  </si>
  <si>
    <t>Inspection &amp; Testing Record &amp; Summary</t>
  </si>
  <si>
    <t>5.11.4.1</t>
  </si>
  <si>
    <t>5.11.4.2</t>
  </si>
  <si>
    <t>5.11.4.3</t>
  </si>
  <si>
    <t>Steel Structure</t>
  </si>
  <si>
    <t>5.11.4.4</t>
  </si>
  <si>
    <t>5.11.4.5</t>
  </si>
  <si>
    <t>5.11.5</t>
  </si>
  <si>
    <t>Testing Report</t>
  </si>
  <si>
    <t>5.11.5.1</t>
  </si>
  <si>
    <t>Holiday Detection Test Report</t>
  </si>
  <si>
    <t>5.11.5.2</t>
  </si>
  <si>
    <t>Chloride Test Report</t>
  </si>
  <si>
    <t>5.11.6</t>
  </si>
  <si>
    <t>Hot &amp; PP Insulation</t>
  </si>
  <si>
    <t>5.11.6.1</t>
  </si>
  <si>
    <t>MIR – Insulation</t>
  </si>
  <si>
    <t>5.11.6.2</t>
  </si>
  <si>
    <t>Insulation Inspection Report</t>
  </si>
  <si>
    <t>5.11.7</t>
  </si>
  <si>
    <t>Surface Preparation Record</t>
  </si>
  <si>
    <t>5.11.8</t>
  </si>
  <si>
    <t>Test Record (Humidity &amp; Temperature)</t>
  </si>
  <si>
    <t>5.11.9</t>
  </si>
  <si>
    <t>Dry Film Test Record</t>
  </si>
  <si>
    <t>5.11.10</t>
  </si>
  <si>
    <t>Visual Inspection Record</t>
  </si>
  <si>
    <t>5.11.11</t>
  </si>
  <si>
    <t>5.12.1</t>
  </si>
  <si>
    <t>Non-Conformance Record (NCR)</t>
  </si>
  <si>
    <t>5.12.2</t>
  </si>
  <si>
    <t>Quality Observation Report (QOR)</t>
  </si>
  <si>
    <t>5.12.3</t>
  </si>
  <si>
    <t>Welder’s Qualification Test Record (WQT)</t>
  </si>
  <si>
    <t>Pre-Commissioning Activities</t>
  </si>
  <si>
    <t>5.13.1</t>
  </si>
  <si>
    <t>110-1 51-5 ATM DISTILLATION</t>
  </si>
  <si>
    <t>5.13.2</t>
  </si>
  <si>
    <t>110-2 51-5 CRUDE DESALTER</t>
  </si>
  <si>
    <t>5.13.3</t>
  </si>
  <si>
    <t>110-3 51-5 CRUDE PREFLASH</t>
  </si>
  <si>
    <t>5.13.4</t>
  </si>
  <si>
    <t>110-4 51-5 CRUDE PRE-HEAT</t>
  </si>
  <si>
    <t>5.13.5</t>
  </si>
  <si>
    <t>110-4 54-2 CRUDE PRE-HEAT</t>
  </si>
  <si>
    <t>5.13.6</t>
  </si>
  <si>
    <t>110-5 51-5 CRUDE HEATING</t>
  </si>
  <si>
    <t>5.13.7</t>
  </si>
  <si>
    <t>110-6 51-5 HEAVY DIESEL</t>
  </si>
  <si>
    <t>5.13.8</t>
  </si>
  <si>
    <t>110-6 54-2 HEAVY DIESEL</t>
  </si>
  <si>
    <t>5.13.9</t>
  </si>
  <si>
    <t>110-7 51-5 KEROSENE</t>
  </si>
  <si>
    <t>5.13.10</t>
  </si>
  <si>
    <t>110-8 51-5 LIGHT DIESEL</t>
  </si>
  <si>
    <t>5.13.11</t>
  </si>
  <si>
    <t>110-9 51-5 NAPTHA</t>
  </si>
  <si>
    <t>5.13.12</t>
  </si>
  <si>
    <t>110-9 54-2 NAPTHA</t>
  </si>
  <si>
    <t>5.13.13</t>
  </si>
  <si>
    <t>110-10 51-5 ATM RESIDUE</t>
  </si>
  <si>
    <t>5.13.14</t>
  </si>
  <si>
    <t>110-10 54-2 ATM RESIDUE</t>
  </si>
  <si>
    <t>5.13.15</t>
  </si>
  <si>
    <t>210-1 51-2 FUEL GAS</t>
  </si>
  <si>
    <t>5.13.16</t>
  </si>
  <si>
    <t>210-1 56-1 FUEL GAS</t>
  </si>
  <si>
    <t>5.13.17</t>
  </si>
  <si>
    <t>210-2 51-2 NITROGEN</t>
  </si>
  <si>
    <t>5.13.18</t>
  </si>
  <si>
    <t>210-2 52-3 NITROGEN</t>
  </si>
  <si>
    <t>5.13.19</t>
  </si>
  <si>
    <t>210-2 54-3 NITROGEN</t>
  </si>
  <si>
    <t>5.13.20</t>
  </si>
  <si>
    <t>210-2 56-1 NITROGEN</t>
  </si>
  <si>
    <t>5.13.21</t>
  </si>
  <si>
    <t>210-3 51-2 SOUR GAS</t>
  </si>
  <si>
    <t>5.13.22</t>
  </si>
  <si>
    <t>210-4 51-2 WASTE GAS</t>
  </si>
  <si>
    <t>5.13.23</t>
  </si>
  <si>
    <t>210-4 59-1 WASTE GAS</t>
  </si>
  <si>
    <t>5.13.24</t>
  </si>
  <si>
    <t>220-1 51-3 LOW LOW PRESSURE STEAM</t>
  </si>
  <si>
    <t>5.13.25</t>
  </si>
  <si>
    <t>220-2 51-3 LOW PRESSURE STEAM</t>
  </si>
  <si>
    <t>5.13.26</t>
  </si>
  <si>
    <t>220-2 52-5 LOW PRESSURE STEAM</t>
  </si>
  <si>
    <t>5.13.27</t>
  </si>
  <si>
    <t>220-2 54-1 LOW PRESSURE STEAM</t>
  </si>
  <si>
    <t>5.13.28</t>
  </si>
  <si>
    <t>220-2 56-4 LOW PRESSURE STEAM</t>
  </si>
  <si>
    <t>5.13.29</t>
  </si>
  <si>
    <t>220-3 51-3 LOW PRESSURE CONDENSATE</t>
  </si>
  <si>
    <t>5.13.30</t>
  </si>
  <si>
    <t>220-3 54-1 LOW PRESSURE CONDENSATE</t>
  </si>
  <si>
    <t>5.13.31</t>
  </si>
  <si>
    <t>230-1 51-6 CAUSTIC</t>
  </si>
  <si>
    <t>5.13.32</t>
  </si>
  <si>
    <t>230-1 52-1 CAUSTIC</t>
  </si>
  <si>
    <t>5.13.33</t>
  </si>
  <si>
    <t>230-2 51-6 CHEMICAL INJECTION</t>
  </si>
  <si>
    <t>5.13.34</t>
  </si>
  <si>
    <t>230-3 51-6 UNLOADING CAUSTIC</t>
  </si>
  <si>
    <t>5.13.35</t>
  </si>
  <si>
    <t>240-1 51-8 HEAVY SLOPS</t>
  </si>
  <si>
    <t>5.13.36</t>
  </si>
  <si>
    <t>240-1 54-2 HEAVY SLOPS</t>
  </si>
  <si>
    <t>5.13.37</t>
  </si>
  <si>
    <t>240-2 51-8 LIGHT SLOPS</t>
  </si>
  <si>
    <t>5.13.38</t>
  </si>
  <si>
    <t>240-2 54-2 LIGHT SLOPS</t>
  </si>
  <si>
    <t>5.13.39</t>
  </si>
  <si>
    <t>240-2 56-2 LIGHT SLOPS</t>
  </si>
  <si>
    <t>5.13.40</t>
  </si>
  <si>
    <t>240-3 51-8 ATM VENT</t>
  </si>
  <si>
    <t>5.13.41</t>
  </si>
  <si>
    <t>240-3 52-4 ATM VENT</t>
  </si>
  <si>
    <t>5.13.42</t>
  </si>
  <si>
    <t>240-5 55-1 COOLING WATER DRAIN</t>
  </si>
  <si>
    <t>5.13.43</t>
  </si>
  <si>
    <t>240-6 55-4 RAINWATER DRAIN</t>
  </si>
  <si>
    <t>5.13.44</t>
  </si>
  <si>
    <t>250-1 51-8 VENT TO PRESSURE SYSTEM</t>
  </si>
  <si>
    <t>5.13.45</t>
  </si>
  <si>
    <t>250-1 56-2 VENT TO PRESSURE SYSTEM</t>
  </si>
  <si>
    <t>5.13.46</t>
  </si>
  <si>
    <t>260-1 59-1 CRUDE DEWATERING WASTE WATER</t>
  </si>
  <si>
    <t>5.13.47</t>
  </si>
  <si>
    <t>260-2 59-1 BACKWASH WATER</t>
  </si>
  <si>
    <t>5.13.48</t>
  </si>
  <si>
    <t>260-3 59-1 BLOWER AIR</t>
  </si>
  <si>
    <t>5.13.49</t>
  </si>
  <si>
    <t>260-4 59-1 OILY SLUDGE</t>
  </si>
  <si>
    <t>5.13.50</t>
  </si>
  <si>
    <t>260-5 59-1 SCUM</t>
  </si>
  <si>
    <t>5.13.51</t>
  </si>
  <si>
    <t>260-6 59-1 WASTE OIL</t>
  </si>
  <si>
    <t>5.13.52</t>
  </si>
  <si>
    <t>260-7 59-1 EXCESS ACTIVATED SLUDGE</t>
  </si>
  <si>
    <t>5.13.53</t>
  </si>
  <si>
    <t>260-8 59-1 SODIUM HYDROXITE</t>
  </si>
  <si>
    <t>5.13.54</t>
  </si>
  <si>
    <t>260-9 59-1 H2SO4</t>
  </si>
  <si>
    <t>5.13.55</t>
  </si>
  <si>
    <t>260-10 59-1 SODIUM PHOSPORIC</t>
  </si>
  <si>
    <t>5.13.56</t>
  </si>
  <si>
    <t>260-11 59-1 POLYMER</t>
  </si>
  <si>
    <t>5.13.57</t>
  </si>
  <si>
    <t>260-12 59-1 POLYELECTROLYTE ALU CHLORIDE</t>
  </si>
  <si>
    <t>5.13.58</t>
  </si>
  <si>
    <t>260-13 59-1 OZONE</t>
  </si>
  <si>
    <t>5.13.59</t>
  </si>
  <si>
    <t>310-1 51-1 ALKALINE DRAINAGE</t>
  </si>
  <si>
    <t>5.13.60</t>
  </si>
  <si>
    <t>310-1 54-2 ALKALINE DRAINAGE</t>
  </si>
  <si>
    <t>5.13.61</t>
  </si>
  <si>
    <t>310-1 59-1 ALKALINE DRAINAGE</t>
  </si>
  <si>
    <t>5.13.62</t>
  </si>
  <si>
    <t>310-2 51-1 SOUR WASTE WATER</t>
  </si>
  <si>
    <t>5.13.63</t>
  </si>
  <si>
    <t>310-3 51-1 COOLING WATER RETURN</t>
  </si>
  <si>
    <t>5.13.64</t>
  </si>
  <si>
    <t>310-3 52-1 COOLING WATER RETURN</t>
  </si>
  <si>
    <t>5.13.65</t>
  </si>
  <si>
    <t>310-3 55-1 COOLING WATER RETURN</t>
  </si>
  <si>
    <t>5.13.66</t>
  </si>
  <si>
    <t>310-4 55-1 COOLING WATER SUPPLY</t>
  </si>
  <si>
    <t>5.13.67</t>
  </si>
  <si>
    <t>310-4 52-1 COOLING WATER SUPPLY</t>
  </si>
  <si>
    <t>5.13.68</t>
  </si>
  <si>
    <t>5.13.69</t>
  </si>
  <si>
    <t>310-5 51-1 OILY WASTE WATER</t>
  </si>
  <si>
    <t>5.13.70</t>
  </si>
  <si>
    <t>310-5 52-1 OILY WASTE WATER</t>
  </si>
  <si>
    <t>5.13.71</t>
  </si>
  <si>
    <t>310-5 54-1 OILY WASTE WATER</t>
  </si>
  <si>
    <t>5.13.72</t>
  </si>
  <si>
    <t>310-5 56-3 OILY WASTE WATER</t>
  </si>
  <si>
    <t>5.13.73</t>
  </si>
  <si>
    <t>310-5 59-1 OILY WASTE WATER</t>
  </si>
  <si>
    <t>5.13.74</t>
  </si>
  <si>
    <t>310-6 51-1 PROCESS WATER</t>
  </si>
  <si>
    <t>5.13.75</t>
  </si>
  <si>
    <t>310-6 52-1 PROCESS WATER</t>
  </si>
  <si>
    <t>5.13.76</t>
  </si>
  <si>
    <t>310-6 54-1 PROCESS WATER</t>
  </si>
  <si>
    <t>5.13.77</t>
  </si>
  <si>
    <t>310-6 55-2 PROCESS WATER</t>
  </si>
  <si>
    <t>5.13.78</t>
  </si>
  <si>
    <t>310-6 56-3 PROCESS WATER</t>
  </si>
  <si>
    <t>5.13.79</t>
  </si>
  <si>
    <t>310-6 59-1 PROCESS WATER</t>
  </si>
  <si>
    <t>5.13.80</t>
  </si>
  <si>
    <t>310-7 51-1 SALINE WASTE WATER</t>
  </si>
  <si>
    <t>5.13.81</t>
  </si>
  <si>
    <t>310-7 54-1 SALINE WASTE WATER</t>
  </si>
  <si>
    <t>5.13.82</t>
  </si>
  <si>
    <t>310-7 59-1 SALINE WASTE WATER</t>
  </si>
  <si>
    <t>5.13.83</t>
  </si>
  <si>
    <t>310-8 51-1 TREATED WATER DEMIN</t>
  </si>
  <si>
    <t>5.13.84</t>
  </si>
  <si>
    <t>310-8 52-1 TREATED WATER DEMIN</t>
  </si>
  <si>
    <t>5.13.85</t>
  </si>
  <si>
    <t>310-8 59-1 TREATED WATER DEMIN</t>
  </si>
  <si>
    <t>5.13.86</t>
  </si>
  <si>
    <t>310-9 51-1 BOILED FEED WATER</t>
  </si>
  <si>
    <t>5.13.87</t>
  </si>
  <si>
    <t>310-9 52-1 BOILED FEED WATER</t>
  </si>
  <si>
    <t>5.13.88</t>
  </si>
  <si>
    <t>310-10 51-1 BOILER DRAIN WATER</t>
  </si>
  <si>
    <t>5.13.89</t>
  </si>
  <si>
    <t>310-11 54-1 ACCIDENT WATER</t>
  </si>
  <si>
    <t>5.13.90</t>
  </si>
  <si>
    <t>310-11 59-1 ACCIDENT WATER</t>
  </si>
  <si>
    <t>5.13.91</t>
  </si>
  <si>
    <t>320-1 51-4 INSTRUMENT AIR</t>
  </si>
  <si>
    <t>5.13.92</t>
  </si>
  <si>
    <t>320-1 52-2 INSTRUMENT AIR</t>
  </si>
  <si>
    <t>5.13.93</t>
  </si>
  <si>
    <t>320-1 54-3 INSTRUMENT AIR</t>
  </si>
  <si>
    <t>5.13.94</t>
  </si>
  <si>
    <t>320-1 56-5 INSTRUMENT AIR</t>
  </si>
  <si>
    <t>5.13.95</t>
  </si>
  <si>
    <t>320-1 59-1 INSTRUMENT AIR</t>
  </si>
  <si>
    <t>5.13.96</t>
  </si>
  <si>
    <t>320-2 52-2 PLANT AIR (PA/PL)</t>
  </si>
  <si>
    <t>5.13.97</t>
  </si>
  <si>
    <t>330-1 51-7 FUEL OIL</t>
  </si>
  <si>
    <t>5.13.98</t>
  </si>
  <si>
    <t>330-1 54-2 FUEL OIL</t>
  </si>
  <si>
    <t>5.13.99</t>
  </si>
  <si>
    <t>350-1 51-9 TO ETP UNDERGROUND PIPING</t>
  </si>
  <si>
    <t>5.13.100</t>
  </si>
  <si>
    <t xml:space="preserve">350-1 59-1 </t>
  </si>
  <si>
    <t>5.13.101</t>
  </si>
  <si>
    <t>350-2 51-9 TO ETP UNDERGROUND PIPING</t>
  </si>
  <si>
    <t>5.13.102</t>
  </si>
  <si>
    <t>350-2 59-1 TO ETP UNDERGROUND PIPING</t>
  </si>
  <si>
    <t>5.13.103</t>
  </si>
  <si>
    <t>410-1 EL10 EMERGENCY DIESEL GENERATOR 1</t>
  </si>
  <si>
    <t>5.13.104</t>
  </si>
  <si>
    <t>420-1 - HV SWITCHGEAR / MCC</t>
  </si>
  <si>
    <t>5.13.105</t>
  </si>
  <si>
    <t>420-2 51-E LV SWITCHGEAR / MCC</t>
  </si>
  <si>
    <t>5.13.106</t>
  </si>
  <si>
    <t>420-2 52-E LV SWITCHGEAR / MCC</t>
  </si>
  <si>
    <t>5.13.107</t>
  </si>
  <si>
    <t>420-2 55-E LV SWITCHGEAR / MCC</t>
  </si>
  <si>
    <t>5.13.108</t>
  </si>
  <si>
    <t>420-2 56-E LV SWITCHGEAR / MCC</t>
  </si>
  <si>
    <t>5.13.109</t>
  </si>
  <si>
    <t>420-2 57-E LV SWITCHGEAR / MCC</t>
  </si>
  <si>
    <t>5.13.110</t>
  </si>
  <si>
    <t>420-2 58-E LV SWITCHGEAR / MCC</t>
  </si>
  <si>
    <t>5.13.111</t>
  </si>
  <si>
    <t>420-2 59-E LV SWITCHGEAR / MCC</t>
  </si>
  <si>
    <t>5.13.112</t>
  </si>
  <si>
    <t>420-3 EL-1 TRANSFORMER</t>
  </si>
  <si>
    <t>5.13.113</t>
  </si>
  <si>
    <t>430-1 EL10 DC UPS</t>
  </si>
  <si>
    <t>5.13.114</t>
  </si>
  <si>
    <t>430-2 EL10 AC UPS</t>
  </si>
  <si>
    <t>5.13.115</t>
  </si>
  <si>
    <t>430-3 EL10 BATTERY</t>
  </si>
  <si>
    <t>5.13.116</t>
  </si>
  <si>
    <t>440-1 EL10 ELECTRICAL POWER &amp; DISTRIBUTION</t>
  </si>
  <si>
    <t>5.13.117</t>
  </si>
  <si>
    <t>440-2 EL10 LIGHTING &amp; SMALL POWER</t>
  </si>
  <si>
    <t>5.13.118</t>
  </si>
  <si>
    <t>440-2 51-E LIGHTING &amp; SMALL POWER</t>
  </si>
  <si>
    <t>5.13.119</t>
  </si>
  <si>
    <t>440-2 52-E LIGHTING &amp; SMALL POWER</t>
  </si>
  <si>
    <t>5.13.120</t>
  </si>
  <si>
    <t>440-2 53-E LIGHTING &amp; SMALL POWER</t>
  </si>
  <si>
    <t>5.13.121</t>
  </si>
  <si>
    <t>440-2 54-E LIGHTING &amp; SMALL POWER</t>
  </si>
  <si>
    <t>5.13.122</t>
  </si>
  <si>
    <t>440-2 55-E LIGHTING &amp; SMALL POWER</t>
  </si>
  <si>
    <t>5.13.123</t>
  </si>
  <si>
    <t>440-2 56-E LIGHTING &amp; SMALL POWER</t>
  </si>
  <si>
    <t>5.13.124</t>
  </si>
  <si>
    <t>440-2 57-E LIGHTING &amp; SMALL POWER</t>
  </si>
  <si>
    <t>5.13.125</t>
  </si>
  <si>
    <t>440-2 58-E LIGHTING &amp; SMALL POWER</t>
  </si>
  <si>
    <t>5.13.126</t>
  </si>
  <si>
    <t>440-2 59-E LIGHTING &amp; SMALL POWER</t>
  </si>
  <si>
    <t>5.13.127</t>
  </si>
  <si>
    <t>440-3 EL10 EARTHING &amp; LIGHTNING PROTECTION</t>
  </si>
  <si>
    <t>5.13.128</t>
  </si>
  <si>
    <t>440-3 51-E EARTHING &amp; LIGHTNING PROTECTION</t>
  </si>
  <si>
    <t>5.13.129</t>
  </si>
  <si>
    <t>440-3 52-E EARTHING &amp; LIGHTNING PROTECTION</t>
  </si>
  <si>
    <t>5.13.130</t>
  </si>
  <si>
    <t>5.13.131</t>
  </si>
  <si>
    <t>440-3 54-E EARTHING &amp; LIGHTNING PROTECTION</t>
  </si>
  <si>
    <t>5.13.132</t>
  </si>
  <si>
    <t>440-3 55-E EARTHING &amp; LIGHTNING PROTECTION</t>
  </si>
  <si>
    <t>5.13.133</t>
  </si>
  <si>
    <t>440-3 56-E EARTHING &amp; LIGHTNING PROTECTION</t>
  </si>
  <si>
    <t>5.13.134</t>
  </si>
  <si>
    <t>440-3 57-E EARTHING &amp; LIGHTNING PROTECTION</t>
  </si>
  <si>
    <t>5.13.135</t>
  </si>
  <si>
    <t>440-3 58-E EARTHING &amp; LIGHTNING PROTECTION</t>
  </si>
  <si>
    <t>5.13.136</t>
  </si>
  <si>
    <t>440-3 59-E EARTHING &amp; LIGHTNING PROTECTION</t>
  </si>
  <si>
    <t>5.13.137</t>
  </si>
  <si>
    <t>510-1 DCS PROCES MONITORING &amp; CONTROL SYSTEM (PMCS/DCS)</t>
  </si>
  <si>
    <t>5.13.138</t>
  </si>
  <si>
    <t>520-1 SIS SAFETY INSTRUMENTED SYSTEM (SIS)</t>
  </si>
  <si>
    <t>5.13.139</t>
  </si>
  <si>
    <t>520-2 FAS FIRE ALARM  SYSTEM (FAS)</t>
  </si>
  <si>
    <t>5.13.140</t>
  </si>
  <si>
    <t>520-2 GDS GAS DETECTION SYSTEM (GDS)</t>
  </si>
  <si>
    <t>5.13.141</t>
  </si>
  <si>
    <t>610-1 - VOIP (VOICE OVER INTERNET PROTOCOL)</t>
  </si>
  <si>
    <t>5.13.142</t>
  </si>
  <si>
    <t>610-2 - GENERAL ALARM</t>
  </si>
  <si>
    <t>5.13.143</t>
  </si>
  <si>
    <t>610-3 - PAGING</t>
  </si>
  <si>
    <t>5.13.144</t>
  </si>
  <si>
    <t>610-4 - CCTV</t>
  </si>
  <si>
    <t>5.13.145</t>
  </si>
  <si>
    <t>610-5 - PABX</t>
  </si>
  <si>
    <t>5.13.146</t>
  </si>
  <si>
    <t>710-1 - BUILDING - CENTERED CONTROL CENTER (CCR)</t>
  </si>
  <si>
    <t>5.13.147</t>
  </si>
  <si>
    <t>710-2 - BUILDING - SUBSTATION</t>
  </si>
  <si>
    <t>5.13.148</t>
  </si>
  <si>
    <t>720-1 - CIVIL AREA 1</t>
  </si>
  <si>
    <t>5.13.149</t>
  </si>
  <si>
    <t>710-2 - CIVIL AREA 2</t>
  </si>
  <si>
    <t>5.13.150</t>
  </si>
  <si>
    <t>720-3 - CIVIL AREA 3</t>
  </si>
  <si>
    <t>5.13.151</t>
  </si>
  <si>
    <t>720-4 - CIVIL AREA 4</t>
  </si>
  <si>
    <t>5.13.152</t>
  </si>
  <si>
    <t>710-5 - CIVIL AREA 5</t>
  </si>
  <si>
    <t>5.13.153</t>
  </si>
  <si>
    <t>720-6 - CIVIL AREA 6</t>
  </si>
  <si>
    <t>5.13.154</t>
  </si>
  <si>
    <t>720-7 - CIVIL AREA 7</t>
  </si>
  <si>
    <t>5.13.155</t>
  </si>
  <si>
    <t>710-8 - CIVIL AREA 8</t>
  </si>
  <si>
    <t>5.13.156</t>
  </si>
  <si>
    <t>720-9 - CIVIL AREA 9</t>
  </si>
  <si>
    <t>5.13.157</t>
  </si>
  <si>
    <t>730-1 - PIPE RACK</t>
  </si>
  <si>
    <t>5.13.158</t>
  </si>
  <si>
    <t>730-2 - PIPE NETWORK 1</t>
  </si>
  <si>
    <t>5.13.159</t>
  </si>
  <si>
    <t>730-3 -  PIPE NETWORK 2</t>
  </si>
  <si>
    <t>5.13.160</t>
  </si>
  <si>
    <t>730-4 - PIPE NETWORK 3</t>
  </si>
  <si>
    <t>5.13.161</t>
  </si>
  <si>
    <t>730-5 - SS FRAME WORK 1</t>
  </si>
  <si>
    <t>5.13.162</t>
  </si>
  <si>
    <t>730-6 56-1 SS FRAME WORK 2</t>
  </si>
  <si>
    <t>5.13.163</t>
  </si>
  <si>
    <t>740-1 - -</t>
  </si>
  <si>
    <t>5.13.164</t>
  </si>
  <si>
    <t>810-1 55-3 FIREWATER</t>
  </si>
  <si>
    <t>5.13.165</t>
  </si>
  <si>
    <t>5.13.166</t>
  </si>
  <si>
    <t>5.13.167</t>
  </si>
  <si>
    <t>5.13.168</t>
  </si>
  <si>
    <t>5.13.169</t>
  </si>
  <si>
    <t>810-2 - FOAM</t>
  </si>
  <si>
    <t>5.13.170</t>
  </si>
  <si>
    <t>810-3 - FIRE EXTINGUISHER</t>
  </si>
  <si>
    <t>5.13.171</t>
  </si>
  <si>
    <t>810-4 - DELUGE</t>
  </si>
  <si>
    <t>5.13.172</t>
  </si>
  <si>
    <t>810-5 - SPRINKLER</t>
  </si>
  <si>
    <t>Collecting data &amp; Hardcopy compilation in-progress</t>
  </si>
  <si>
    <t>HQSM10B-50-PO-038-AC Uninterruptible Power supplies (UPS)</t>
  </si>
  <si>
    <t>HQSM10B-50-PO-068-E&amp;I Cable Tray</t>
  </si>
  <si>
    <t>HQSM10B-50-PO-142 Pressure Safety Valve</t>
  </si>
  <si>
    <t>Administration</t>
  </si>
  <si>
    <t>Quality Assurance</t>
  </si>
  <si>
    <t>HSE Procedure</t>
  </si>
  <si>
    <t>Procurement / Material Control</t>
  </si>
  <si>
    <t>Testing, Pre-Commissioning &amp; Commissioning Procedure</t>
  </si>
  <si>
    <t>Specification Procedure</t>
  </si>
  <si>
    <t>Method of Statement Procedure</t>
  </si>
  <si>
    <t>ATB-PU Project System Definition Objective</t>
  </si>
  <si>
    <t>Ready For Start-up Test Dossier</t>
  </si>
  <si>
    <t>8.2.1</t>
  </si>
  <si>
    <t>Sub-System 110 Process Fluid</t>
  </si>
  <si>
    <t>8.2.2</t>
  </si>
  <si>
    <t>Sub-System 210 Gas System</t>
  </si>
  <si>
    <t>8.2.3</t>
  </si>
  <si>
    <t>Sub-System 220 Steam &amp; Condensate Water</t>
  </si>
  <si>
    <t>8.2.4</t>
  </si>
  <si>
    <t>Sub-System 230 Special Liquid</t>
  </si>
  <si>
    <t>8.2.5</t>
  </si>
  <si>
    <t>Sub-System 240 Drainage &amp; Vent</t>
  </si>
  <si>
    <t>8.2.6</t>
  </si>
  <si>
    <t>Sub-System 250 Flare</t>
  </si>
  <si>
    <t>8.2.7</t>
  </si>
  <si>
    <t>Sub-System 260 Effluent Treatment</t>
  </si>
  <si>
    <t>8.2.8</t>
  </si>
  <si>
    <t>Sub-System 310 Water System</t>
  </si>
  <si>
    <t>8.2.9</t>
  </si>
  <si>
    <t>Sub-System 320 Air System</t>
  </si>
  <si>
    <t>8.2.10</t>
  </si>
  <si>
    <t>Sub-System 330 Fuel &amp; Lubricator</t>
  </si>
  <si>
    <t>8.2.11</t>
  </si>
  <si>
    <t>Sub-System 350 Piping &amp; Network</t>
  </si>
  <si>
    <t>8.2.12</t>
  </si>
  <si>
    <t>Sub-System 410 Generation</t>
  </si>
  <si>
    <t>8.2.13</t>
  </si>
  <si>
    <t>Sub-System 420 Distribution</t>
  </si>
  <si>
    <t>8.2.14</t>
  </si>
  <si>
    <t>Sub-System 430 UPS</t>
  </si>
  <si>
    <t>8.2.15</t>
  </si>
  <si>
    <t>Sub-System 440 Electrical System</t>
  </si>
  <si>
    <t>8.2.16</t>
  </si>
  <si>
    <t>Sub-System 510 Process Control</t>
  </si>
  <si>
    <t>8.2.17</t>
  </si>
  <si>
    <t>Sub-System 520 Alarm &amp; Shutdown</t>
  </si>
  <si>
    <t>8.2.18</t>
  </si>
  <si>
    <t>Sub-System 610 Voice Communication</t>
  </si>
  <si>
    <t>8.2.19</t>
  </si>
  <si>
    <t>Sub-System 710 Building</t>
  </si>
  <si>
    <t>8.2.20</t>
  </si>
  <si>
    <t>Sub-System 720 Civil</t>
  </si>
  <si>
    <t>8.2.21</t>
  </si>
  <si>
    <t>Sub-System 730 Steel Structure</t>
  </si>
  <si>
    <t>8.2.22</t>
  </si>
  <si>
    <t>Sub-System 740 HVAC</t>
  </si>
  <si>
    <t>8.2.23</t>
  </si>
  <si>
    <t>Sub-System 810 Fire Fighting</t>
  </si>
  <si>
    <t>Ready For Start-Up Dossier</t>
  </si>
  <si>
    <t>8.3.1</t>
  </si>
  <si>
    <t>System 100 Process</t>
  </si>
  <si>
    <t>8.3.2</t>
  </si>
  <si>
    <t>System 200 Process Utilities</t>
  </si>
  <si>
    <t>8.3.3</t>
  </si>
  <si>
    <t>System 300 General Utilities</t>
  </si>
  <si>
    <t>8.3.4</t>
  </si>
  <si>
    <t>System 400 Power</t>
  </si>
  <si>
    <t>8.3.5</t>
  </si>
  <si>
    <t>System 500 Control</t>
  </si>
  <si>
    <t>8.3.6</t>
  </si>
  <si>
    <t>System 600 Telecommunication</t>
  </si>
  <si>
    <t>8.3.7</t>
  </si>
  <si>
    <t>System 700 Miscellaneous</t>
  </si>
  <si>
    <t>8.3.8</t>
  </si>
  <si>
    <t>System 800 Safety</t>
  </si>
  <si>
    <t>Operation, Inspection &amp; Maintenance Manuals</t>
  </si>
  <si>
    <t>HQC Training Manuals / Vendor Training Manuals</t>
  </si>
  <si>
    <t>Consolidated Summary of Spare Parts</t>
  </si>
  <si>
    <t>Consolidated Summary of Lubricants</t>
  </si>
  <si>
    <t>Chemical &amp; Catalyst Summary</t>
  </si>
  <si>
    <t>Tag Register</t>
  </si>
  <si>
    <t>As-builting from Engineering in-progress</t>
  </si>
  <si>
    <t>Red line Mark Up Drawing</t>
  </si>
  <si>
    <t>As-built Drawing</t>
  </si>
  <si>
    <t>10.2.1</t>
  </si>
  <si>
    <t>General –By Unit</t>
  </si>
  <si>
    <t>10.2.1.1</t>
  </si>
  <si>
    <t>General plot plans</t>
  </si>
  <si>
    <t>10.2.1.2</t>
  </si>
  <si>
    <t>10.2.2</t>
  </si>
  <si>
    <t>10.2.2.1</t>
  </si>
  <si>
    <t>10.2.2.2</t>
  </si>
  <si>
    <t>Utility Flow Diagrams (UFDs)</t>
  </si>
  <si>
    <t>10.2.2.3</t>
  </si>
  <si>
    <t>P&amp;I diagrams (P&amp;IDs)</t>
  </si>
  <si>
    <t>10.2.2.4</t>
  </si>
  <si>
    <t>10.2.3</t>
  </si>
  <si>
    <t>10.2.3.1</t>
  </si>
  <si>
    <t>10.2.3.2</t>
  </si>
  <si>
    <t>10.2.3.3</t>
  </si>
  <si>
    <t>10.2.3.4</t>
  </si>
  <si>
    <t>10.2.3.5</t>
  </si>
  <si>
    <t>10.2.3.6</t>
  </si>
  <si>
    <t>10.2.3.7</t>
  </si>
  <si>
    <t>10.2.3.8</t>
  </si>
  <si>
    <t>10.2.3.9</t>
  </si>
  <si>
    <t>10.2.3.10</t>
  </si>
  <si>
    <t>10.2.4</t>
  </si>
  <si>
    <t>10.2.4.1</t>
  </si>
  <si>
    <t>Design Drawings for Underground Gravity Network (AOC, ACC, FW , FWR, SWW, etc.)</t>
  </si>
  <si>
    <t>10.2.4.2</t>
  </si>
  <si>
    <t>10.2.4.3</t>
  </si>
  <si>
    <t>Design Drawings for Storm water Drainage Network</t>
  </si>
  <si>
    <t>10.2.4.4</t>
  </si>
  <si>
    <t>10.2.4.5</t>
  </si>
  <si>
    <t>10.2.4.6</t>
  </si>
  <si>
    <t>10.2.4.7</t>
  </si>
  <si>
    <t>Design Drawings for Temporary Works</t>
  </si>
  <si>
    <t>10.2.4.8</t>
  </si>
  <si>
    <t>10.2.5</t>
  </si>
  <si>
    <t>10.2.5.1</t>
  </si>
  <si>
    <t>10.2.5.2</t>
  </si>
  <si>
    <t>10.2.5.3</t>
  </si>
  <si>
    <t>10.2.5.4</t>
  </si>
  <si>
    <t>10.2.5.5</t>
  </si>
  <si>
    <t>10.2.6</t>
  </si>
  <si>
    <t>10.2.6.1</t>
  </si>
  <si>
    <t>10.2.7</t>
  </si>
  <si>
    <t>10.2.7.1</t>
  </si>
  <si>
    <t>10.2.7.2</t>
  </si>
  <si>
    <t>10.2.7.3</t>
  </si>
  <si>
    <t>10.2.7.4</t>
  </si>
  <si>
    <t>10.2.8</t>
  </si>
  <si>
    <t>10.2.9</t>
  </si>
  <si>
    <t>10.2.9.1</t>
  </si>
  <si>
    <t>Burners capacity curves</t>
  </si>
  <si>
    <t>10.2.9.2</t>
  </si>
  <si>
    <t>10.2.9.3</t>
  </si>
  <si>
    <t>10.2.9.4</t>
  </si>
  <si>
    <t>10.2.9.5</t>
  </si>
  <si>
    <t>10.2.10</t>
  </si>
  <si>
    <t>10.2.10.1</t>
  </si>
  <si>
    <t>10.2.10.2</t>
  </si>
  <si>
    <t>10.2.10.3</t>
  </si>
  <si>
    <t>10.2.10.4</t>
  </si>
  <si>
    <t>10.2.10.5</t>
  </si>
  <si>
    <t>10.2.10.6</t>
  </si>
  <si>
    <t>10.2.10.7</t>
  </si>
  <si>
    <t>10.2.10.8</t>
  </si>
  <si>
    <t>10.2.10.9</t>
  </si>
  <si>
    <t>10.2.10.10</t>
  </si>
  <si>
    <t>10.2.10.11</t>
  </si>
  <si>
    <t>10.2.10.12</t>
  </si>
  <si>
    <t>10.2.11</t>
  </si>
  <si>
    <t>10.2.11.1</t>
  </si>
  <si>
    <t>10.2.11.2</t>
  </si>
  <si>
    <t>10.2.11.3</t>
  </si>
  <si>
    <t>10.2.11.4</t>
  </si>
  <si>
    <t>Analyser requirements, specification and Layout</t>
  </si>
  <si>
    <t>10.2.11.5</t>
  </si>
  <si>
    <t>10.2.11.6</t>
  </si>
  <si>
    <t>10.2.11.7</t>
  </si>
  <si>
    <t>10.2.11.8</t>
  </si>
  <si>
    <t>10.2.11.9</t>
  </si>
  <si>
    <t>10.2.11.10</t>
  </si>
  <si>
    <t>10.2.11.11</t>
  </si>
  <si>
    <t>10.2.11.12</t>
  </si>
  <si>
    <t>10.2.11.13</t>
  </si>
  <si>
    <t>10.2.11.14</t>
  </si>
  <si>
    <t>10.2.11.15</t>
  </si>
  <si>
    <t>10.2.11.16</t>
  </si>
  <si>
    <t>10.2.13</t>
  </si>
  <si>
    <t>10.2.13.1</t>
  </si>
  <si>
    <t>10.2.13.2</t>
  </si>
  <si>
    <t>10.2.13.3</t>
  </si>
  <si>
    <t>10.2.14</t>
  </si>
  <si>
    <t>10.2.15</t>
  </si>
  <si>
    <t>10.15.1</t>
  </si>
  <si>
    <t>HVAC Control System Drawings</t>
  </si>
  <si>
    <t>Close Out Report And Handover</t>
  </si>
  <si>
    <t>Warranty Documents</t>
  </si>
  <si>
    <t>Board of Architects / Board of Engineers Malaysia (LAM/BEM)</t>
  </si>
  <si>
    <t>12.1.1</t>
  </si>
  <si>
    <t>Issuance of Form F (CCC Form)</t>
  </si>
  <si>
    <t>12.1.1.1</t>
  </si>
  <si>
    <t>Submission Documents (Correspondences, Drawings, Calculations, Reports, Form, etc.)</t>
  </si>
  <si>
    <t>12.1.1.2</t>
  </si>
  <si>
    <t>Approval Documents (Correspondences, Endorsed Drawings, Permits, Licenses, Certificate, etc.)</t>
  </si>
  <si>
    <t>12.1.2</t>
  </si>
  <si>
    <t>Other Correspondences</t>
  </si>
  <si>
    <t>Construction Industry Development Board (CIDB)</t>
  </si>
  <si>
    <t>12.2.1</t>
  </si>
  <si>
    <t>Contractor Registration</t>
  </si>
  <si>
    <t>12.2.1.1</t>
  </si>
  <si>
    <t>12.2.1.2</t>
  </si>
  <si>
    <t>12.2.2</t>
  </si>
  <si>
    <t>Declaration of Construction Works &amp; Levy Imposition</t>
  </si>
  <si>
    <t>12.2.2.1</t>
  </si>
  <si>
    <t>12.2.2.2</t>
  </si>
  <si>
    <t>12.2.3</t>
  </si>
  <si>
    <t>Civil Aviation Authority of Malaysia (CAAM)</t>
  </si>
  <si>
    <t>12.3.1</t>
  </si>
  <si>
    <t>Application for Structure Erection Approval (Form DCA.OCL1)</t>
  </si>
  <si>
    <t>12.3.1.1</t>
  </si>
  <si>
    <t>12.3.1.2</t>
  </si>
  <si>
    <t>12.3.2</t>
  </si>
  <si>
    <t>Application for Obstacle Light Installation Approval (Form OL/APL1)</t>
  </si>
  <si>
    <t>12.3.2.1</t>
  </si>
  <si>
    <t>12.3.2.2</t>
  </si>
  <si>
    <t>12.3.3</t>
  </si>
  <si>
    <t>Letter of Compliance to Regulation</t>
  </si>
  <si>
    <t>12.3.3.1</t>
  </si>
  <si>
    <t>12.3.3.2</t>
  </si>
  <si>
    <t>12.3.4</t>
  </si>
  <si>
    <t>Department of Environment  (DOE)</t>
  </si>
  <si>
    <t>12.4.1</t>
  </si>
  <si>
    <t>Detailed Environment Impact Assessment (DEIA) report</t>
  </si>
  <si>
    <t>12.4.1.1</t>
  </si>
  <si>
    <t>12.4.1.2</t>
  </si>
  <si>
    <t>12.4.2</t>
  </si>
  <si>
    <t>Notification of the construction of Effluent Treatment Plant (ETP)</t>
  </si>
  <si>
    <t>12.4.2.1</t>
  </si>
  <si>
    <t>12.4.2.2</t>
  </si>
  <si>
    <t>12.4.3</t>
  </si>
  <si>
    <t>Notification of Air Pollution Control System (APCS)</t>
  </si>
  <si>
    <t>12.4.3.1</t>
  </si>
  <si>
    <t>12.4.3.2</t>
  </si>
  <si>
    <t>12.4.4</t>
  </si>
  <si>
    <t>Notification of Chimney (Flare, vents, stack, etc.)</t>
  </si>
  <si>
    <t>12.4.4.1</t>
  </si>
  <si>
    <t>12.4.4.2</t>
  </si>
  <si>
    <t>12.4.5</t>
  </si>
  <si>
    <t>Notification of Continuous Emission Control System (CEMS)</t>
  </si>
  <si>
    <t>12.4.5.1</t>
  </si>
  <si>
    <t>12.4.5.2</t>
  </si>
  <si>
    <t>Approval Documents (Correspondences, Endorsed Drawings, Permits, Licenses, Certificates, etc.)</t>
  </si>
  <si>
    <t>12.4.6</t>
  </si>
  <si>
    <t>Declaration of FBE, APCS and Incinerator/Thermal Oxidizer</t>
  </si>
  <si>
    <t>12.4.6.1</t>
  </si>
  <si>
    <t>12.4.6.2</t>
  </si>
  <si>
    <t>12.4.7</t>
  </si>
  <si>
    <t>Declaration of  ETP</t>
  </si>
  <si>
    <t>12.4.7.1</t>
  </si>
  <si>
    <t>12.4.7.2</t>
  </si>
  <si>
    <t>12.4.8</t>
  </si>
  <si>
    <t>Department of Occupational Safety and Health (DOSH)</t>
  </si>
  <si>
    <t>12.5.1</t>
  </si>
  <si>
    <t>Notification in respect of works of engineering construction (form JKJ 103)</t>
  </si>
  <si>
    <t>12.5.1.1</t>
  </si>
  <si>
    <t>12.5.1.2</t>
  </si>
  <si>
    <t>12.5.2</t>
  </si>
  <si>
    <t>Notification of  Commencement of Work</t>
  </si>
  <si>
    <t>12.5.2.1</t>
  </si>
  <si>
    <t>12.5.2.2</t>
  </si>
  <si>
    <t>12.5.3</t>
  </si>
  <si>
    <t>UPV – Submission of Design Approval</t>
  </si>
  <si>
    <t>12.5.3.1</t>
  </si>
  <si>
    <t>12.5.3.2</t>
  </si>
  <si>
    <t>12.5.4</t>
  </si>
  <si>
    <t>UPV-Hydrostatic Test (Form JKJ 127)</t>
  </si>
  <si>
    <t>12.5.4.1</t>
  </si>
  <si>
    <t>12.5.4.2</t>
  </si>
  <si>
    <t>12.5.5</t>
  </si>
  <si>
    <t>UPV- (Imported) – Application for Hydrostatic Test Exemption</t>
  </si>
  <si>
    <t>12.5.5.1</t>
  </si>
  <si>
    <t>12.5.5.2</t>
  </si>
  <si>
    <t>12.5.6</t>
  </si>
  <si>
    <t>UPV- Certificates of Fitness (CF) - PMT</t>
  </si>
  <si>
    <t>12.5.6.1</t>
  </si>
  <si>
    <t>12.5.6.2</t>
  </si>
  <si>
    <t>12.5.7</t>
  </si>
  <si>
    <t>Boiler – Submission of Design Approval</t>
  </si>
  <si>
    <t>12.5.7.1</t>
  </si>
  <si>
    <t>12.5.7.2</t>
  </si>
  <si>
    <t>12.5.8</t>
  </si>
  <si>
    <t>Boiler – Hydrostatic Test (Form JKJ 127)</t>
  </si>
  <si>
    <t>12.5.8.1</t>
  </si>
  <si>
    <t>12.5.8.2</t>
  </si>
  <si>
    <t>12.5.9</t>
  </si>
  <si>
    <t>Boiler (Imported) – Application for Hydrostatic Test Exemption</t>
  </si>
  <si>
    <t>12.5.9.1</t>
  </si>
  <si>
    <t>12.5.9.2</t>
  </si>
  <si>
    <t>12.5.10</t>
  </si>
  <si>
    <t>Boiler – Certificates of Fitness (CF) - PMT</t>
  </si>
  <si>
    <t>12.5.10.1</t>
  </si>
  <si>
    <t>12.5.10.2</t>
  </si>
  <si>
    <t>12.5.11</t>
  </si>
  <si>
    <t>Equipment Permit to Install and Plant Registration (JKJ105KJ)</t>
  </si>
  <si>
    <t>12.5.11.1</t>
  </si>
  <si>
    <t>12.5.11.2</t>
  </si>
  <si>
    <t>12.5.12</t>
  </si>
  <si>
    <t>CIMAH – Notification of Industrial Activity Form (Schedule5)</t>
  </si>
  <si>
    <t>12.5.12.1</t>
  </si>
  <si>
    <t>12.5.12.2</t>
  </si>
  <si>
    <t>12.5.13</t>
  </si>
  <si>
    <t>CIMAH – CIMAH Report  &amp; Emergency Response Plan for Operation</t>
  </si>
  <si>
    <t>12.5.13.1</t>
  </si>
  <si>
    <t>12.5.13.2</t>
  </si>
  <si>
    <t>12.5.14</t>
  </si>
  <si>
    <t>Energy Commission (EC)</t>
  </si>
  <si>
    <t>12.6.1</t>
  </si>
  <si>
    <t>Substation (Transformers) Registration</t>
  </si>
  <si>
    <t>12.6.1.1</t>
  </si>
  <si>
    <t>12.6.1.2</t>
  </si>
  <si>
    <t>12.6.2</t>
  </si>
  <si>
    <t>License for generator sets (for capacity ≥ 5 kW only)</t>
  </si>
  <si>
    <t>12.6.2.1</t>
  </si>
  <si>
    <t>12.6.2.2</t>
  </si>
  <si>
    <t>12.6.3</t>
  </si>
  <si>
    <t>Fire and Rescue Department (BOMBA)</t>
  </si>
  <si>
    <t>12.7.1</t>
  </si>
  <si>
    <t>Fire Safety Design Dossier (FSDDD)</t>
  </si>
  <si>
    <t>12.7.1.1</t>
  </si>
  <si>
    <t>12.7.1.2</t>
  </si>
  <si>
    <t>12.7.2</t>
  </si>
  <si>
    <t>Architectural plan approval</t>
  </si>
  <si>
    <t>12.7.2.1</t>
  </si>
  <si>
    <t>12.7.2.2</t>
  </si>
  <si>
    <t>12.7.3</t>
  </si>
  <si>
    <t>Mechanical and Electrical (M&amp;E) plan approval</t>
  </si>
  <si>
    <t>12.7.3.1</t>
  </si>
  <si>
    <t>12.7.3.2</t>
  </si>
  <si>
    <t>12.7.4</t>
  </si>
  <si>
    <t>Sijil Pengilang Membekal/Memasang/Sijil pembekal/Sijil Pengawasan (C1/C2/C3)</t>
  </si>
  <si>
    <t>12.7.4.1</t>
  </si>
  <si>
    <t>12.7.4.2</t>
  </si>
  <si>
    <t>12.7.5</t>
  </si>
  <si>
    <t>Surat Pelepasan Perakuan Berperingkat - Pasif</t>
  </si>
  <si>
    <t>12.7.5.1</t>
  </si>
  <si>
    <t>12.7.5.2</t>
  </si>
  <si>
    <t>12.7.6</t>
  </si>
  <si>
    <t>Surat Pelepasan Perakuan Berperingkat – Aktif</t>
  </si>
  <si>
    <t>12.7.6.1</t>
  </si>
  <si>
    <t>12.7.6.2</t>
  </si>
  <si>
    <t>12.7.7</t>
  </si>
  <si>
    <t>Fire Certificate</t>
  </si>
  <si>
    <t>12.7.7.1</t>
  </si>
  <si>
    <t>12.7.7.2</t>
  </si>
  <si>
    <t>12.7.8</t>
  </si>
  <si>
    <t>Buku Operasi</t>
  </si>
  <si>
    <t>12.7.9</t>
  </si>
  <si>
    <t>Indahwater Consortium Sdn. Bhd. (IWK)</t>
  </si>
  <si>
    <t>12.8.1</t>
  </si>
  <si>
    <t>Sewerage Works Application for Septic Tank – Form SWA</t>
  </si>
  <si>
    <t>12.8.1.1</t>
  </si>
  <si>
    <t>12.8.1.2</t>
  </si>
  <si>
    <t>12.8.2</t>
  </si>
  <si>
    <t>Notice for Sewerage Works Completion (Septic Tank) – Form SWC</t>
  </si>
  <si>
    <t>12.8.2.1</t>
  </si>
  <si>
    <t>12.8.2.2</t>
  </si>
  <si>
    <t>12.8.3</t>
  </si>
  <si>
    <t>Majlis Daerah Pontian</t>
  </si>
  <si>
    <t>12.9.1</t>
  </si>
  <si>
    <t>Development Order</t>
  </si>
  <si>
    <t>12.9.1.1</t>
  </si>
  <si>
    <t>12.9.1.2</t>
  </si>
  <si>
    <t>12.9.2</t>
  </si>
  <si>
    <t>Earthworks, Roadwork’s and Drainage Submission</t>
  </si>
  <si>
    <t>12.9.2.1</t>
  </si>
  <si>
    <t>12.9.2.2</t>
  </si>
  <si>
    <t>12.9.3</t>
  </si>
  <si>
    <t>Building Plan</t>
  </si>
  <si>
    <t>12.9.3.1</t>
  </si>
  <si>
    <t>Submission Documents (Correspondences, Drawings, Calculations, Reports Form, etc.)</t>
  </si>
  <si>
    <t>12.9.3.2</t>
  </si>
  <si>
    <t>12.9.4</t>
  </si>
  <si>
    <t>Landscape and Public Park (if applicable)</t>
  </si>
  <si>
    <t>12.9.4.1</t>
  </si>
  <si>
    <t>12.9.4.2</t>
  </si>
  <si>
    <t>12.9.5</t>
  </si>
  <si>
    <t>Street lighting (if applicable)</t>
  </si>
  <si>
    <t>12.9.5.1</t>
  </si>
  <si>
    <t>12.9.5.2</t>
  </si>
  <si>
    <t>12.9.6</t>
  </si>
  <si>
    <t>Permit Test Pile</t>
  </si>
  <si>
    <t>12.9.6.1</t>
  </si>
  <si>
    <t>12.9.6.2</t>
  </si>
  <si>
    <t>12.9.7</t>
  </si>
  <si>
    <t>Notification – Early Commencement Work</t>
  </si>
  <si>
    <t>12.9.7.1</t>
  </si>
  <si>
    <t>12.9.7.2</t>
  </si>
  <si>
    <t>12.9.8</t>
  </si>
  <si>
    <t>G1-G21 Forms</t>
  </si>
  <si>
    <t>12.9.8.1</t>
  </si>
  <si>
    <t>12.9.8.2</t>
  </si>
  <si>
    <t>12.9.9</t>
  </si>
  <si>
    <t>Application for Certificate of Completion &amp; Compliance (CCC)</t>
  </si>
  <si>
    <t>12.9.9.1</t>
  </si>
  <si>
    <t>12.9.9.2</t>
  </si>
  <si>
    <t>12.9.10</t>
  </si>
  <si>
    <t>Application for Street name, Building and Road</t>
  </si>
  <si>
    <t>12.9.10.1</t>
  </si>
  <si>
    <t>12.9.10.2</t>
  </si>
  <si>
    <t>12.9.11</t>
  </si>
  <si>
    <t>ISF – Improvement Service Fund</t>
  </si>
  <si>
    <t>12.9.11.1</t>
  </si>
  <si>
    <t>12.9.11.2</t>
  </si>
  <si>
    <t>12.9.12</t>
  </si>
  <si>
    <t>Business license (license to operate)</t>
  </si>
  <si>
    <t>12.9.12.1</t>
  </si>
  <si>
    <t>12.9.12.2</t>
  </si>
  <si>
    <t>12.9.13</t>
  </si>
  <si>
    <t>Telekom Malaysia Berhad (TM)</t>
  </si>
  <si>
    <t>12.10.1</t>
  </si>
  <si>
    <t>Application for telecommunication / information management, infrastructure and system</t>
  </si>
  <si>
    <t>12.10.1.1</t>
  </si>
  <si>
    <t>12.10.1.2</t>
  </si>
  <si>
    <t>12.10.2</t>
  </si>
  <si>
    <t>Tenaga Nasional Berhad (TNB)</t>
  </si>
  <si>
    <t>12.11.1</t>
  </si>
  <si>
    <t>Electricity Supply Application</t>
  </si>
  <si>
    <t>12.11.1.1</t>
  </si>
  <si>
    <t>12.11.1.2</t>
  </si>
  <si>
    <t>12.11.2</t>
  </si>
  <si>
    <t>Overall % ATB-PU Document Compilation</t>
  </si>
  <si>
    <t>Weekly</t>
  </si>
  <si>
    <t>31.01.2022</t>
  </si>
  <si>
    <t>07.02.2022</t>
  </si>
  <si>
    <t>14.02.2022</t>
  </si>
  <si>
    <t>21.02.2022</t>
  </si>
  <si>
    <t>28.02.2022</t>
  </si>
  <si>
    <t>07.03.2022</t>
  </si>
  <si>
    <t>14.03.2022</t>
  </si>
  <si>
    <t>21.03.2022</t>
  </si>
  <si>
    <t>28.03.2022</t>
  </si>
  <si>
    <t>04.04.2022</t>
  </si>
  <si>
    <t>11.04.2022</t>
  </si>
  <si>
    <t>18.04.2022</t>
  </si>
  <si>
    <t>25.04.2022</t>
  </si>
  <si>
    <t>02.05.2022</t>
  </si>
  <si>
    <t>09.05.2022</t>
  </si>
  <si>
    <t>16.05.2022</t>
  </si>
  <si>
    <t>23.05.2022</t>
  </si>
  <si>
    <t>30.05.2022</t>
  </si>
  <si>
    <t>06.06.2022</t>
  </si>
  <si>
    <t xml:space="preserve">DRAWING LIST </t>
  </si>
  <si>
    <t>SHOP DRAWING</t>
  </si>
  <si>
    <t>ENGINEERING DRAWING</t>
  </si>
  <si>
    <t>DISCIPLINE</t>
  </si>
  <si>
    <t>UNIT</t>
  </si>
  <si>
    <t>DRAWING NO.</t>
  </si>
  <si>
    <t>DRAWING TITLE</t>
  </si>
  <si>
    <t xml:space="preserve">AFC REV </t>
  </si>
  <si>
    <t>REMARKS</t>
  </si>
  <si>
    <t>FIFI</t>
  </si>
  <si>
    <t>EC-MY-CON-PCC-FF-DWG-100-24001</t>
  </si>
  <si>
    <t>LAYOUT PLAN DRAWINGS FOR REMOTE FIRE MONITOR, HYDRANT,DELUGE VALVE AND FIRE EXTINGUISHER</t>
  </si>
  <si>
    <t>EC-MY-DED-AA-FIFI-DWG-100-23001</t>
  </si>
  <si>
    <t>SITE ESTABLISHMENT
SITE ZONING
LAYOUT PLAN FOR FIRE RING MAIN WITH FIRE HYDRANT/MONITOR</t>
  </si>
  <si>
    <t>EC-MY-DED-AA-FIFI-DWG-100-23002</t>
  </si>
  <si>
    <t>SITE ESTABLISHMENT
SITE ZONE 1 - GRID SETTING OUT
LAYOUT PLAN FOR FIRE RING MAIN WITH FIRE HYDRANT/MONITOR</t>
  </si>
  <si>
    <t>EC-MY-DED-AA-FIFI-DWG-100-23003</t>
  </si>
  <si>
    <t>SITE ESTABLISHMENT
SITE ZONE 2 - GRID SETTING OUT
LAYOUT PLAN FOR FIRE RING MAIN WITH FIRE HYDRANT/MONITOR</t>
  </si>
  <si>
    <t>EC-MY-DED-AA-FIFI-DWG-100-23004</t>
  </si>
  <si>
    <t>SITE ESTABLISHMENT
SITE ZONE 3 - GRID SETTING OUT
LAYOUT PLAN FOR FIRE RING MAIN WITH FIRE HYDRANT/MONITOR</t>
  </si>
  <si>
    <t>EC-MY-DED-AA-FIFI-DWG-100-23005</t>
  </si>
  <si>
    <t>SITE ESTABLISHMENT
SITE ZONE 4 - GRID SETTING OUT
LAYOUT PLAN FOR FIRE RING MAIN WITH FIRE HYDRANT/MONITOR</t>
  </si>
  <si>
    <t>EC-MY-CON-PCC-FF-DWG-100-24002</t>
  </si>
  <si>
    <t>LAYOUT PLAN FOR FIRE ALARM AND DETECTION ZONING</t>
  </si>
  <si>
    <t>EC-MY-DED-AA-FIFI-DWG-100-23007</t>
  </si>
  <si>
    <t>SITE ESTABLISHMENT
SITE ZONING
LAYOUT PLAN FOR FIRE ALARM AND DETECTION ZONING</t>
  </si>
  <si>
    <t>EC-MY-CON-PCC-FF-DWG-100-24003</t>
  </si>
  <si>
    <t>OVERALL CABLE BLOCK DIAGRAM OF ADDRESSABLE FIRE AND GAS SYSTEM</t>
  </si>
  <si>
    <t>EC-MY-CON-PCC-FF-DWG-100-24004</t>
  </si>
  <si>
    <t>WAREHOUSE BULDING - FIRE AND GAS CABLE ROUTING LAYOUT</t>
  </si>
  <si>
    <t>EC-MY-CON-PCC-FF-DWG-100-24005</t>
  </si>
  <si>
    <t>OVERALL COMMMUNCATION SYSTEM BLOCK DIAGRAM FOR ADDRESSABLE FIRE AND GAS SYSTEM (AFGS)</t>
  </si>
  <si>
    <t>EC-MY-CON-PCC-FF-DWG-100-24006</t>
  </si>
  <si>
    <t>OVERALL CABLE ROUTING OF FIRE AND GAS DETECTION SYSTEM</t>
  </si>
  <si>
    <t>EC-MY-DED-AA-FIFI-DWG-100-23017</t>
  </si>
  <si>
    <t>FIRE ALARM AND DETECTION SYSTEM
DIAGRAMMATIC OF FIRE ALARM AND DETECTION SYSTEM (1 OF 4)</t>
  </si>
  <si>
    <t>EC-MY-DED-AA-FIFI-DWG-100-23018</t>
  </si>
  <si>
    <t>FIRE ALARM AND DETECTION SYSTEM
DIAGRAMMATIC OF FIRE ALARM AND DETECTION SYSTEM (2 OF 4)</t>
  </si>
  <si>
    <t>EC-MY-DED-AA-FIFI-DWG-100-23019</t>
  </si>
  <si>
    <t>FIRE ALARM AND DETECTION SYSTEM
DIAGRAMMATIC OF FIRE ALARM AND DETECTION SYSTEM (3 OF 4)</t>
  </si>
  <si>
    <t>EC-MY-DED-AA-FIFI-DWG-100-23020</t>
  </si>
  <si>
    <t>FIRE ALARM AND DETECTION SYSTEM
DIAGRAMMATIC OF FIRE ALARM AND DETECTION SYSTEM (4 OF 4)</t>
  </si>
  <si>
    <t>EC-MY-CON-PCC-FF-DWG-100-24007</t>
  </si>
  <si>
    <t>OVERALL CABLE BLOCK DIAGRAM OF PUBLIC ADDRESS AND VOICE ALARM (PAVA) SYSTEM</t>
  </si>
  <si>
    <t>EC-MY-CON-PCC-FF-DWG-100-24008</t>
  </si>
  <si>
    <t>TYPICAL INSTALLATION DETAILS DRAWINGS 1</t>
  </si>
  <si>
    <t>EC-MY-DED-AA-FIFI-DWG-100-23023</t>
  </si>
  <si>
    <t>TYPICAL DETAILS 1</t>
  </si>
  <si>
    <t>EC-MY-CON-PCC-FF-DWG-100-24009</t>
  </si>
  <si>
    <t>TYPICAL INSTALLATION DETAILS DRAWINGS 2</t>
  </si>
  <si>
    <t>EC-MY-DED-AA-FIFI-DWG-100-23024</t>
  </si>
  <si>
    <t>TYPICAL DETAILS 2</t>
  </si>
  <si>
    <t>EC-MY-CON-PCC-FF-DWG-100-24010</t>
  </si>
  <si>
    <t>TYPICAL INSTALLATION DETAILS DRAWINGS 3</t>
  </si>
  <si>
    <t>EC-MY-DED-AA-FIFI-DWG-100-23025</t>
  </si>
  <si>
    <t>TYPICAL DETAILS 3</t>
  </si>
  <si>
    <t>EC-MY-CON-PCC-FF-DWG-100-24011</t>
  </si>
  <si>
    <t>OVERALL SITE PLAN:
- OVERALL CABLE ROUTING FOR PAVA SYSTEM</t>
  </si>
  <si>
    <t>EC-MY-CON-PCC-FF-DWG-100-24012</t>
  </si>
  <si>
    <t>OFFICE BUILDING CONTROL ROOM
- LAYOUT PLAN FOR PAVA SYSTEM</t>
  </si>
  <si>
    <t>EC-MY-CON-PCC-FF-DWG-100-24013</t>
  </si>
  <si>
    <t>OFFICE BUILDING CONTROL ROOM
- CABLE ROUTING FOR PAVA SYSTEM</t>
  </si>
  <si>
    <t>EC-MY-CON-PCC-FF-DWG-100-24014</t>
  </si>
  <si>
    <t>MAINTENANCE ROOM &amp; SUBSTATION 4 - LAYOUT PLAN FOR PAVA SYSTEM</t>
  </si>
  <si>
    <t>EC-MY-CON-PCC-FF-DWG-100-24015</t>
  </si>
  <si>
    <t>MAINTENANCE ROOM &amp; SUBSTATION 4 - CABLE ROUTING FOR PAVA SYSTEM</t>
  </si>
  <si>
    <t>EC-MY-CON-PCC-FF-DWG-100-24016</t>
  </si>
  <si>
    <t>GUARD HOUSE &amp; SUCTION PUMP ROOM: GROUND FLOOR PLAN - LAYOUT PLAN FOR PAVA SYSTEM</t>
  </si>
  <si>
    <t>EC-MY-CON-PCC-FF-DWG-100-24017</t>
  </si>
  <si>
    <t>GUARD HOUSE &amp; SUCTION PUMP ROOM: GROUND FLOOR PLAN - CABLE ROUTING FOR PAVA SYSTEM</t>
  </si>
  <si>
    <t>EC-MY-CON-PCC-FF-DWG-100-24018</t>
  </si>
  <si>
    <t>LEGENDS (FOR LAYOUT PLAN)</t>
  </si>
  <si>
    <t>EC-MY-CON-PCC-FF-DWG-100-24019</t>
  </si>
  <si>
    <t>LEGENDS (P&amp;ID) &amp; LEGENDS (FIRE AND GAS SCHEMATIC)</t>
  </si>
  <si>
    <t>EC-MY-CON-PCC-FF-DWG-100-24020</t>
  </si>
  <si>
    <t>GENERAL ARRANGEMENT DRAWING REMOTE FIRE MONITOR</t>
  </si>
  <si>
    <t>A</t>
  </si>
  <si>
    <t>EC-MY-DED-AA-FIFI-SPC-000-23011</t>
  </si>
  <si>
    <t>EC-MY-CON-PCC-FF-DWG-100-24021</t>
  </si>
  <si>
    <t>GENERAL ARRANGEMENT DRAWING FOR HYDRANT HOSE CABINET</t>
  </si>
  <si>
    <t>EC-MY-CON-PCC-FF-DWG-100-24022</t>
  </si>
  <si>
    <t>GENERAL ARRANGEMENT DRAWING FOR HYDRANT C/W SELF REGULATING VALVE</t>
  </si>
  <si>
    <t>EC-MY-CON-PCC-FF-DWG-100-24024</t>
  </si>
  <si>
    <t>GENERAL ARRANGEMENT DRAWING FOR INDUSTRIAL FIRE MONITOR</t>
  </si>
  <si>
    <t>EC-MY-CON-PCC-FF-DWG-100-24025</t>
  </si>
  <si>
    <t>GENERAL ARRANGEMENT DRAWING FOR MOBILE FOAM UNIT</t>
  </si>
  <si>
    <t>EC-MY-DED-AA-FIFI-SPC-000-23043</t>
  </si>
  <si>
    <t>MOBILE FOAM UNIT</t>
  </si>
  <si>
    <t>EC-MY-CON-PCC-FF-DWG-100-24026</t>
  </si>
  <si>
    <t>GENERAL ARRANGEMENT DRAWING FOR DELUGE VALVE</t>
  </si>
  <si>
    <t>EC-MY-DED-AA-FIFI-SPC-000-23048</t>
  </si>
  <si>
    <t>DELUGE VALVE</t>
  </si>
  <si>
    <t>EC-MY-CON-PCC-FF-DWG-100-24028</t>
  </si>
  <si>
    <t>SCHEMATIC DRAWING FOR REMOTE FIRE MONITOR</t>
  </si>
  <si>
    <t>EC-MY-DED-AA-FIFI-SPC-000-23013</t>
  </si>
  <si>
    <t>HYDRANT + REMOTE MONITOR</t>
  </si>
  <si>
    <t>EC-MY-CON-PCC-FF-DWG-100-24029</t>
  </si>
  <si>
    <t>CABLE ROUTING FOR REMOTE FIRE MONITOR</t>
  </si>
  <si>
    <t>EC-MY-CON-PCC-FF-DWG-100-24031</t>
  </si>
  <si>
    <t>PIPE SUPPORT DETAILS FOR HOSE REEL AND FIRE WATER SPRAY</t>
  </si>
  <si>
    <t>EC-MY-DED-AA-FIFI-SPC-000-23022</t>
  </si>
  <si>
    <t>HOSE REEL</t>
  </si>
  <si>
    <t>EC-MY-CON-PCC-HVAC-DWG-100-24001</t>
  </si>
  <si>
    <t>General description of power distribution design of air conditioning system and ventilation system</t>
  </si>
  <si>
    <t>EC-MY-DED-AA-HVAC-DWG-100-23001</t>
  </si>
  <si>
    <t>HVAC PANEL LOCATION</t>
  </si>
  <si>
    <t>EC-MY-CON-PCC-HVAC-DWG-100-24002</t>
  </si>
  <si>
    <t>General description of power distribution design of air conditioning system and ventilation system (2) Legend and material table</t>
  </si>
  <si>
    <t>EC-MY-DED-AA-HVAC-DWG-100-23002</t>
  </si>
  <si>
    <t>HVAC LOCATION</t>
  </si>
  <si>
    <t>EC-MY-CON-PCC-HVAC-DWG-100-24003</t>
  </si>
  <si>
    <r>
      <rPr>
        <sz val="11"/>
        <rFont val="Times New Roman"/>
        <charset val="134"/>
      </rPr>
      <t>General description of power distribution design of air conditioning system and ventilation system</t>
    </r>
    <r>
      <rPr>
        <sz val="11"/>
        <rFont val="微软雅黑"/>
        <charset val="134"/>
      </rPr>
      <t>（</t>
    </r>
    <r>
      <rPr>
        <sz val="11"/>
        <rFont val="Times New Roman"/>
        <charset val="134"/>
      </rPr>
      <t>3</t>
    </r>
    <r>
      <rPr>
        <sz val="11"/>
        <rFont val="微软雅黑"/>
        <charset val="134"/>
      </rPr>
      <t>）</t>
    </r>
  </si>
  <si>
    <t>EC-MY-DED-AA-HVAC-DWG-100-23003</t>
  </si>
  <si>
    <t>TYPICAL DRAWING 1-14</t>
  </si>
  <si>
    <t>EC-MY-CON-PCC-HVAC-DWG-100-24004</t>
  </si>
  <si>
    <t>General description of power distribution design of air conditioning system and ventilation system (4)</t>
  </si>
  <si>
    <t>EC-MY-DED-AA-HVAC-DWG-100-23004</t>
  </si>
  <si>
    <t>TYPICAL DRAWING 2-14</t>
  </si>
  <si>
    <t>EC-MY-CON-PCC-HVAC-DWG-100-24005</t>
  </si>
  <si>
    <r>
      <rPr>
        <sz val="11"/>
        <rFont val="Times New Roman"/>
        <charset val="134"/>
      </rPr>
      <t xml:space="preserve">General description of power distribution design of air conditioning system and ventilation system (5 </t>
    </r>
    <r>
      <rPr>
        <sz val="11"/>
        <rFont val="微软雅黑"/>
        <charset val="134"/>
      </rPr>
      <t>）</t>
    </r>
    <r>
      <rPr>
        <sz val="11"/>
        <rFont val="Times New Roman"/>
        <charset val="134"/>
      </rPr>
      <t>Legend and Material List</t>
    </r>
  </si>
  <si>
    <t>EC-MY-DED-AA-HVAC-DWG-100-23005</t>
  </si>
  <si>
    <t>TYPICAL DRAWING 3-14</t>
  </si>
  <si>
    <t>EC-MY-DED-AA-HVAC-DWG-100-23006</t>
  </si>
  <si>
    <t>TYPICAL DRAWING 4-14</t>
  </si>
  <si>
    <t>EC-MY-DED-AA-HVAC-DWG-100-23007</t>
  </si>
  <si>
    <t>TYPICAL DRAWING 5-14</t>
  </si>
  <si>
    <t>EC-MY-DED-AA-HVAC-DWG-100-23008</t>
  </si>
  <si>
    <t>TYPICAL DRAWING 6-14</t>
  </si>
  <si>
    <t>EC-MY-DED-AA-HVAC-DWG-100-23009</t>
  </si>
  <si>
    <t>TYPICAL DRAWING 7-14</t>
  </si>
  <si>
    <t>EC-MY-DED-AA-HVAC-DWG-100-23010</t>
  </si>
  <si>
    <t>TYPICAL DRAWING 8-14</t>
  </si>
  <si>
    <t>EC-MY-DED-AA-HVAC-DWG-100-23011</t>
  </si>
  <si>
    <t>TYPICAL DRAWING 9-14</t>
  </si>
  <si>
    <t>EC-MY-DED-AA-HVAC-DWG-100-23012</t>
  </si>
  <si>
    <t>TYPICAL DRAWING 10-14</t>
  </si>
  <si>
    <t>EC-MY-DED-AA-HVAC-DWG-100-23013</t>
  </si>
  <si>
    <t>TYPICAL DRAWING 11-14</t>
  </si>
  <si>
    <t>EC-MY-DED-AA-HVAC-DWG-100-23014</t>
  </si>
  <si>
    <t>TYPICAL DRAWING 12-14</t>
  </si>
  <si>
    <t>EC-MY-DED-AA-HVAC-DWG-100-23015</t>
  </si>
  <si>
    <t>TYPICAL DRAWING 13-14</t>
  </si>
  <si>
    <t>EC-MY-DED-AA-HVAC-DWG-100-23016</t>
  </si>
  <si>
    <t>TYPICAL DRAWING 14-14</t>
  </si>
  <si>
    <t>EC-MY-CON-PCC-FF-DWG-140-24001</t>
  </si>
  <si>
    <t>GUARD HOUSE &amp; SUCTION PUMP ROOM - LOCATION LAYOUT PLAN</t>
  </si>
  <si>
    <t>EC-MY-DED-AA-FIFI-DWG-140-23001</t>
  </si>
  <si>
    <t>GUARD HOUSE &amp; SUCTION PUMP ROOM:
GROUND FLOOR PLAN &amp; ROOF PLAN
- LAYOUT PLAN FOR PORTABLE FIRE EXTINGUISHER</t>
  </si>
  <si>
    <t>EC-MY-CON-PCC-FF-DWG-140-24002</t>
  </si>
  <si>
    <t>GUARD HOUSE &amp; SUCTION PUMP ROOM - SECTION DRAWINGS</t>
  </si>
  <si>
    <t>EC-MY-DED-AA-FIFI-DWG-140-23002</t>
  </si>
  <si>
    <t>GUARD HOUSE &amp; SUCTION PUMP ROOM
RIGHT ELEVATION
LEFT ELEVATION
FRONT ELEVATION
REAR ELEVATION</t>
  </si>
  <si>
    <t>EC-MY-CON-PCC-FF-DWG-140-24003</t>
  </si>
  <si>
    <t>GUARD HOUSE &amp; SUCTION PUMP ROOM - CABLE ROUTING LAYOUT</t>
  </si>
  <si>
    <t>EC-MY-DED-AA-FIFI-DWG-140-23003</t>
  </si>
  <si>
    <t>GUARD HOUSE &amp; SUCTION PUMP ROOM
SECTION A-A
SECTION B-B
SECTION C-C</t>
  </si>
  <si>
    <t>EC-MY-CON-PCC-FF-DWG-140-24004</t>
  </si>
  <si>
    <t>GUARD HOUSE &amp; SUCTION PUMP ROOM - GENERAL ARRANGEMENT DRAWINGS AFGS PANEL</t>
  </si>
  <si>
    <t>EC-MY-CON-PCC-FF-DWG-140-24005</t>
  </si>
  <si>
    <t>GUARD HOUSE &amp; SUCTION PUMP ROOM- POWER DISTRIBUTION DRAWING</t>
  </si>
  <si>
    <t>EC-MY-CON-PCC-FF-DWG-140-24006</t>
  </si>
  <si>
    <t>GUARD HOUSE &amp; SUCTION PUMP ROOM
- MIMIC DRAWINGS</t>
  </si>
  <si>
    <t>EC-MY-CON-PCC-FF-DWG-140-24008</t>
  </si>
  <si>
    <t>GUARD HOUSE &amp; SUCTION PUMP ROOM - GENERAL ARRANGEMENT DRAWINGS FOR PAVA SYSTEM</t>
  </si>
  <si>
    <t>EC-MY-CON-PCC-FF-DWG-140-24009</t>
  </si>
  <si>
    <t>GUARD HOUSE &amp; SUCTION PUMP ROOM - GENERAL ARRANGEMENT DRAWINGS FOR PANEL REMOTE FIRE MONITOR</t>
  </si>
  <si>
    <t>EC-MY-CON-PCC-HVAC-DWG-140-24001</t>
  </si>
  <si>
    <t>Design Description &amp; Equipment List</t>
  </si>
  <si>
    <t>EC-MY-DED-AA-HVAC-ESC-140-23001</t>
  </si>
  <si>
    <t>GUARD HOUSE SCHEDULE OF EQUIPMENT</t>
  </si>
  <si>
    <t>EC-MY-CON-PCC-HVAC-DWG-140-24002</t>
  </si>
  <si>
    <t>Equipment layout</t>
  </si>
  <si>
    <t>EC-MY-DED-AA-HVAC-DWG-140-23002</t>
  </si>
  <si>
    <t>HVAC SYSTEM
GUARD HOUSE ELEVATION VIEW</t>
  </si>
  <si>
    <t>EC-MY-CON-PCC-HVAC-DWG-140-24003</t>
  </si>
  <si>
    <t>Layout Plan And Equipment Schedule</t>
  </si>
  <si>
    <t>EC-MY-DED-AA-HVAC-DWG-140-23001</t>
  </si>
  <si>
    <t>HVAC SYSTEM
GUARD HOUSE LAYOUT PLAN AND SCHEDULE OF EQUIPMENT</t>
  </si>
  <si>
    <t>EC-MY-CON-PCC-HVAC-DWG-140-24004</t>
  </si>
  <si>
    <t>Single Line Diagram</t>
  </si>
  <si>
    <t>EC-MY-DED-AA-HVAC-DWG-140-23003</t>
  </si>
  <si>
    <t>HVAC SYSTEM
GUARD HOUSE SINGLE LINE DIAGRAM</t>
  </si>
  <si>
    <t>EC-MY-CON-PCC-HVAC-DWG-140-24005</t>
  </si>
  <si>
    <t>HVAC civil construction conditions</t>
  </si>
  <si>
    <t>EC-MY-DED-AA-HVAC-DWG-140-23004</t>
  </si>
  <si>
    <t>GUARD HOUSE REFRIGERANT LINE AND CONDENSATE DRAIN LINE</t>
  </si>
  <si>
    <t>ELE</t>
  </si>
  <si>
    <t>EC-MY-CON-PCC-ELE-DWG-140-25011</t>
  </si>
  <si>
    <t>140-DB-G-1</t>
  </si>
  <si>
    <t>EC-MY-DED-AA-ELEC-DWG-140-23001</t>
  </si>
  <si>
    <t>GUARDHOUSE &amp; SUCTION PUMP ROOM
GROUND FLOOR LIGHTING LAYOUT</t>
  </si>
  <si>
    <t>EC-MY-CON-PCC-ELE-DWG-140-25012</t>
  </si>
  <si>
    <t>140-PANEL-G-1</t>
  </si>
  <si>
    <t>EC-MY-DED-AA-ELEC-DWG-140-23002</t>
  </si>
  <si>
    <t>GUARDHOUSE &amp; SUCTION PUMP ROOM
GROUND FLOOR POWER LAYOUT</t>
  </si>
  <si>
    <t>EC-MY-CON-PCC-ELE-DWG-140-25013</t>
  </si>
  <si>
    <t>140-SSB-G-1</t>
  </si>
  <si>
    <t>EC-MY-DED-AA-ELEC-DWG-140-23003</t>
  </si>
  <si>
    <t>GUARDHOUSE &amp; SUCTION PUMP ROOM
ROOF PLAN &amp; NORTH ELEVATION
LIGHTNING PROTECTION LAYOUT</t>
  </si>
  <si>
    <t>EC-MY-DED-AA-ELEC-DWG-140-23004</t>
  </si>
  <si>
    <t>GUARDHOUSE &amp; SUCTION PUMP ROOM
GROUND FLOOR PLAN
POWER LAYOUT</t>
  </si>
  <si>
    <t>EC-MY-DED-AA-ELEC-DWG-140-23005</t>
  </si>
  <si>
    <t>GUARDHOUSE &amp; SUCTION PUMP ROOM
SINGLE LINE DIAGRAM
SUB SWITCH BOARD (140/SSB/G/1)
DISTRIBUTION BOARD (140/DB/G/1)</t>
  </si>
  <si>
    <t>EC-MY-DED-AA-ELEC-DWG-140-23006</t>
  </si>
  <si>
    <t>GUARDHOUSE &amp; SUCTION PUMP ROOM
GROUND FLOOR PLAN
CABLE TRUNKING LAYOUT</t>
  </si>
  <si>
    <t>EC-MY-DED-AA-ELEC-DWG-140-23007</t>
  </si>
  <si>
    <t>GUARDHOUSE &amp; SUCTION PUMP ROOM
ROOF PLAN &amp; NORTH ELEVATION
FRAME EARTH LAYOUT
STANDARD DETAILS</t>
  </si>
  <si>
    <t>EC-MY-DED-AA-ELEC-DWG-140-23008</t>
  </si>
  <si>
    <t>GUARDHOUSE &amp; SUCTION PUMP ROOM
GROUND FLOOR PLAN
FRAME EARTH LAYOUT
STANDARD DETAILS</t>
  </si>
  <si>
    <t>ELV</t>
  </si>
  <si>
    <t>EC-MY-CON-PCC-ELV-DWG-140-25001</t>
  </si>
  <si>
    <t>140 GROUND FLOOR PLAN</t>
  </si>
  <si>
    <t>EC-MY-DED-AA-ELV-DWG-140-23001</t>
  </si>
  <si>
    <t>ELV SYSTEM FOR GUARDHOUSE
GROUND FLOOR PLAN
CCTV LAYOUT
LOCAL AREA NETWORK LAYOUT</t>
  </si>
  <si>
    <t>EC-MY-CON-PCC-ELV-DWG-140-25002</t>
  </si>
  <si>
    <t>1st floor access control gate plan</t>
  </si>
  <si>
    <t>EC-MY-CON-PCC-ELV-DWG-140-25003</t>
  </si>
  <si>
    <t>1st floor video surveillance plan CCTV FLOOR PLAN</t>
  </si>
  <si>
    <t>EC-MY-CON-PCC-FF-DWG-160-24001</t>
  </si>
  <si>
    <t>WAREHOUSE BUILDING - FIRE AND GAS LOCATION LAYOUT</t>
  </si>
  <si>
    <t>EC-MY-DED-AA-FIFI-DWG-160-23001</t>
  </si>
  <si>
    <t>WAREHOUSE BUILDING: 
GROUND LAYOUT PLAN &amp; ROOF PLAN
- LAYOUT PLAN FOR HOSE REEL SYSTEM, FIRE ALARM SYSTEM  &amp; PORTABLE FIRE EXTINGUISHER</t>
  </si>
  <si>
    <t>EC-MY-CON-PCC-FF-DWG-160-24002</t>
  </si>
  <si>
    <t>WAREHOUSE BULDING - LAYOUT PLAN FOR WATER SPRAY SYSTEM</t>
  </si>
  <si>
    <t>EC-MY-DED-AA-FIFI-DWG-160-23002</t>
  </si>
  <si>
    <t>WAREHOUSE BUILDING: 
GROUND LAYOUT PLAN &amp; ROOF PLAN
- LAYOUT PLAN FOR WATER SPRAY SYSTEM</t>
  </si>
  <si>
    <t>EC-MY-CON-PCC-FF-DWG-160-24003</t>
  </si>
  <si>
    <t>WAREHOUSE BUILDING: - ISOMETRIC DIAGRAM FOR HOSE REEL SYSTEM</t>
  </si>
  <si>
    <t>EC-MY-DED-AA-FIFI-DWG-160-23003</t>
  </si>
  <si>
    <t>WAREHOUSE BUILDING: 
- ISOMETRIC DIAGRAM FOR HOSE REEL SYSTEM
- SCHEMATIC DIAGRAM FOR FIXED WATER SPRAY SYSTEM</t>
  </si>
  <si>
    <t>EC-MY-CON-PCC-FF-DWG-160-24004</t>
  </si>
  <si>
    <t>WAREHOUSE BUILDING: - ISOMETRIC DIAGRAM FOR WATER SPRAY SYSTEM</t>
  </si>
  <si>
    <t>EC-MY-CON-PCC-FF-DWG-160-24005</t>
  </si>
  <si>
    <t>WAREHOSUE BULDING - SECTION DRAWINGS</t>
  </si>
  <si>
    <t>EC-MY-DED-AA-FIFI-DWG-160-23004</t>
  </si>
  <si>
    <t>WAREHOUSE BUILDING
FRONT ELEVATION
REAR ELEVATION
LEFT ELEVATION
RIGHT ELEVATION
SECTION A-A
SECTION B-B</t>
  </si>
  <si>
    <t>EC-MY-CON-PCC-FF-DWG-160-24006</t>
  </si>
  <si>
    <t>EC-MY-CON-PCC-HVAC-DWG-160-24001</t>
  </si>
  <si>
    <t>EC-MY-DED-AA-HVAC-DWG-160-23003</t>
  </si>
  <si>
    <t>ELEVATION AND EQUIPMENT SCHEDULE</t>
  </si>
  <si>
    <t>EC-MY-CON-PCC-HVAC-DWG-160-24002</t>
  </si>
  <si>
    <t>Exhaust System</t>
  </si>
  <si>
    <t>EC-MY-DED-AA-HVAC-DWG-160-23002</t>
  </si>
  <si>
    <t>ELEVATION</t>
  </si>
  <si>
    <t>EC-MY-CON-PCC-HVAC-DWG-160-24003</t>
  </si>
  <si>
    <t>Ground Floor Plan</t>
  </si>
  <si>
    <t>EC-MY-DED-AA-HVAC-DWG-160-23001</t>
  </si>
  <si>
    <t>GROUND FLOOR PLAN</t>
  </si>
  <si>
    <t>EC-MY-CON-PCC-HVAC-DWG-160-24004</t>
  </si>
  <si>
    <t>EC-MY-DED-AA-HVAC-DWG-160-23004</t>
  </si>
  <si>
    <t>HVAC SYSTEM
WARE HOUSE SINGLE LINE DIAGRAM</t>
  </si>
  <si>
    <t>EC-MY-CON-PCC-HVAC-DWG-160-24005</t>
  </si>
  <si>
    <t>EC-MY-CON-PCC-ELE-DWG-160-25011</t>
  </si>
  <si>
    <t>160-DB-G-1</t>
  </si>
  <si>
    <t>EC-MY-DED-AA-ELEC-DWG-160-23004</t>
  </si>
  <si>
    <t>WAREHOUSE
SINGLE LINE DIAGRAM
SUB SWITCH BOARD (160/SSB/G/1)
DISTRIBUTION BOARD (160/DB/G/1)</t>
  </si>
  <si>
    <t>EC-MY-CON-PCC-ELE-DWG-160-25012</t>
  </si>
  <si>
    <t>160-SSB-G-1</t>
  </si>
  <si>
    <t>EC-MY-CON-PCC-FF-DWG-170-24001</t>
  </si>
  <si>
    <t>MAINTENANCE ROOM &amp; SUBSTATION 4 - LOCATION LAYOUT FIRE AND GAS</t>
  </si>
  <si>
    <t>EC-MY-DED-AA-FIFI-DWG-170-23007</t>
  </si>
  <si>
    <t>MAINTENANCE ROOM &amp; SUBSTATION 4:
- LAYOUT PLAN &amp; SCHEMATIC DIAGRAM FOR FIXED WATER SPRAY SYSTEM</t>
  </si>
  <si>
    <t>EC-MY-CON-PCC-FF-DWG-170-24002</t>
  </si>
  <si>
    <t>MAINTENANCE ROOM &amp; SUBSTATION 4 - LOCATION LAYOUT FOR FIXED GASEOUS FIRE SUPPRESSION SYSTEM</t>
  </si>
  <si>
    <t>EC-MY-DED-AA-FIFI-DWG-170-23003</t>
  </si>
  <si>
    <t>MAINTENANCE ROOM &amp; SUBSTATION 4:
GROUND FLOOR PLAN &amp; FIRST FLOOR PLAN
- LAYOUT PLAN FOR AUTOMATIC FIXED GASEOUS FIRE SUPPRESSION SYSTEM</t>
  </si>
  <si>
    <t>EC-MY-DED-AA-FIFI-DWG-170-23004</t>
  </si>
  <si>
    <t>MAINTENANCE ROOM &amp; SUBSTATION 4:
SECOND FLOOR PLAN &amp; ROOF PLAN
- LAYOUT PLAN FOR AUTOMATIC FIXED GASEOUS FIRE SUPPRESSION SYSTEM</t>
  </si>
  <si>
    <t>EC-MY-CON-PCC-FF-DWG-170-24003</t>
  </si>
  <si>
    <t>MAINTENANCE ROON &amp; SUBSTATION 4
- LAYOUT PLAN FOR FIXED WATER SPRAY SYSTEM</t>
  </si>
  <si>
    <t>EC-MY-DED-AA-FIFI-DWG-170-23001</t>
  </si>
  <si>
    <t>MAINTENANCE ROOM &amp; SUBSTATION 4:
GROUND FLOOR PLAN &amp; FIRST FLOOR PLAN
-LAYOUT PLAN FOR HOSE REEL SYSTEM, FIRE ALARM SYSTEM &amp; PORTABLE FIRE EXTINGUISHER</t>
  </si>
  <si>
    <t>EC-MY-DED-AA-FIFI-DWG-170-23002</t>
  </si>
  <si>
    <t>MAINTENANCE ROOM &amp; SUBSTATION 4:
SECOND FLOOR PLAN &amp; ROOF PLAN
-LAYOUT PLAN FOR HOSE REEL SYSTEM, FIRE ALARM SYSTEM &amp; PORTABLE FIRE EXTINGUISHER</t>
  </si>
  <si>
    <t>EC-MY-CON-PCC-FF-DWG-170-24004</t>
  </si>
  <si>
    <t>MAINTENANCE ROOM &amp; SUBSTATION 4 - SECTION DRAWINGS</t>
  </si>
  <si>
    <t>EC-MY-DED-AA-FIFI-DWG-170-23008</t>
  </si>
  <si>
    <t>MAINTENANCE ROOM &amp; SUBSTATION 4
LEFT ELEVATION
RIGHT ELEVATION
SECTION A-A
SECTION B-B</t>
  </si>
  <si>
    <t>EC-MY-CON-PCC-FF-DWG-170-24005</t>
  </si>
  <si>
    <t>MAINTENANCE ROOM &amp; SUBSTATION 4 - FIRE AND GAS CABLE ROUTING LAYOUT</t>
  </si>
  <si>
    <t>EC-MY-CON-PCC-FF-DWG-170-24006</t>
  </si>
  <si>
    <t>MAINTENANCE ROOM &amp; SUBSTATION 4 - CABLE ROUTING FOR FIXED GASEOUS FIRE SUPPRESSION SYSTEM</t>
  </si>
  <si>
    <t>EC-MY-CON-PCC-FF-DWG-170-24007</t>
  </si>
  <si>
    <t>MAINTENANCE ROOM &amp; SUBSTATION 4
- ISOMETRIC DIAGRAM FOR HOSE REEL SYSTEM</t>
  </si>
  <si>
    <t>EC-MY-DED-AA-FIFI-DWG-170-23005</t>
  </si>
  <si>
    <t>MAINTENANCE ROOM &amp; SUBSTATION 4:
- ISOMETRIC DIAGRAM FOR HOSE REEL SYSTEM
- SCHEMATIC DIAGRAM FOR FIXED GASEOUS FIRE SUPPRESSION SYSTEM</t>
  </si>
  <si>
    <t>EC-MY-CON-PCC-FF-DWG-170-24008</t>
  </si>
  <si>
    <t>MAINTENANCE ROOM &amp; SUBSTATION4
- ISOMETRIC DIAGRAM &amp; PIPING LAYOUT FOR FIXED GASEOUS FIRE SUPPRESSION SYSTEM</t>
  </si>
  <si>
    <t>EC-MY-DED-AA-FIFI-DWG-170-23006</t>
  </si>
  <si>
    <t>MAINTENANCE ROOM &amp; SUBSTATION 4:
- ISOMETRIC DIAGRAM FOR FIXED GASEOUS FIRE SUPPRESSION SYSTEM</t>
  </si>
  <si>
    <t>EC-MY-CON-PCC-FF-DWG-170-24009</t>
  </si>
  <si>
    <t>MAINTENANCE ROON &amp; SUBSTATION 4
- ISOMETRIC DIAGRAM FOR FIXED WATER SPRAY SYSTEM</t>
  </si>
  <si>
    <t>EC-MY-CON-PCC-FF-DWG-170-24011</t>
  </si>
  <si>
    <t>MAINTENANCE ROOM &amp; SUBSTATION 4
- GENERAL ARRANGEMENT DRAWINGS FOR FIXED GASEOUS FIRE SUPPRESSION CYLINDER</t>
  </si>
  <si>
    <t>EC-MY-DED-AA-FIFI-DWG-170-23009</t>
  </si>
  <si>
    <t>MAINTENANCE ROOM &amp; SUBSTATION 4
FRONT ELEVATION
REAR ELEVATION</t>
  </si>
  <si>
    <t>EC-MY-CON-PCC-HVAC-DWG-170-24001</t>
  </si>
  <si>
    <t>Design and Construction 1</t>
  </si>
  <si>
    <t>EC-MY-DED-AA-HVAC-DWG-170-23004</t>
  </si>
  <si>
    <t>HVAC SYSTEM
MAINTENANCE BUILDING AND SUBSTATION 4 ELEVATION PLAN</t>
  </si>
  <si>
    <t>EC-MY-CON-PCC-HVAC-DWG-170-24002</t>
  </si>
  <si>
    <t>Design and Construction 2</t>
  </si>
  <si>
    <t>EC-MY-DED-AA-HVAC-DWG-170-23008</t>
  </si>
  <si>
    <t>HVAC SYSTEM
MAINTENANCE BUILDING AND SUBSTATION 4 GROUND AND FIRST FLOOR REFRIGERANT PIPE</t>
  </si>
  <si>
    <t>EC-MY-CON-PCC-HVAC-DWG-170-24003</t>
  </si>
  <si>
    <t>Design and Construction 1(English)</t>
  </si>
  <si>
    <t>EC-MY-CON-PCC-HVAC-DWG-170-24004</t>
  </si>
  <si>
    <t>Design and Construction 2(English)</t>
  </si>
  <si>
    <t>EC-MY-CON-PCC-HVAC-DWG-170-24005</t>
  </si>
  <si>
    <t>Equipment List 1</t>
  </si>
  <si>
    <t>EC-MY-DED-AA-HVAC-DWG-170-23005</t>
  </si>
  <si>
    <t>HVAC SYSTEM
MAINTENANCE BUILDING AND SUBSTATION 4 SCHEDULE OF EQUIPMENT</t>
  </si>
  <si>
    <t>EC-MY-CON-PCC-HVAC-DWG-170-24006</t>
  </si>
  <si>
    <t>Equipment List 2</t>
  </si>
  <si>
    <t>EC-MY-CON-PCC-HVAC-DWG-170-24007</t>
  </si>
  <si>
    <t>System OfAir Conditioning Chilled Water</t>
  </si>
  <si>
    <t>EC-MY-DED-AA-HVAC-DWG-170-23001</t>
  </si>
  <si>
    <t xml:space="preserve">HVAC SYSTEM
MAINTENANCE BUILDING AND SUBSTATION 4 CHILLED WATER SYSTEM </t>
  </si>
  <si>
    <t>EC-MY-CON-PCC-HVAC-DWG-170-24008</t>
  </si>
  <si>
    <t>System Of Air Conditioning Box control</t>
  </si>
  <si>
    <t>EC-MY-CON-PCC-HVAC-DWG-170-24009</t>
  </si>
  <si>
    <t>Detail Drawing 1</t>
  </si>
  <si>
    <t>EC-MY-CON-PCC-HVAC-DWG-170-24010</t>
  </si>
  <si>
    <t>Detail Drawing 2</t>
  </si>
  <si>
    <t>EC-MY-CON-PCC-HVAC-DWG-170-24011</t>
  </si>
  <si>
    <t>Ground Floor And First Floor Equipmen And Duct Plan</t>
  </si>
  <si>
    <t>EC-MY-CON-PCC-HVAC-DWG-170-24012</t>
  </si>
  <si>
    <t>Second Floor Equipmen And Duct Plan</t>
  </si>
  <si>
    <t>EC-MY-CON-PCC-HVAC-DWG-170-24013</t>
  </si>
  <si>
    <t>Ground Floor And First Floor Refrigerant Pipe And Condensate Pipe Plan</t>
  </si>
  <si>
    <t>EC-MY-DED-AA-HVAC-DWG-170-23010</t>
  </si>
  <si>
    <t>GROUND AND FIRST FLOOR CONDENSATE PIPE</t>
  </si>
  <si>
    <t>EC-MY-CON-PCC-HVAC-DWG-170-24014</t>
  </si>
  <si>
    <t>Second Floor Chilled Water And Refrigerant Pipe Plan</t>
  </si>
  <si>
    <t>EC-MY-DED-AA-HVAC-DWG-170-23009</t>
  </si>
  <si>
    <t>HVAC SYSTEM
MAINTENANCE BUILDING AND SUBSTATION 4 SECOND FLOOR REFRIGERANT PIPE AND CHILLED WATER PIPE</t>
  </si>
  <si>
    <t>EC-MY-CON-PCC-HVAC-DWG-170-24015</t>
  </si>
  <si>
    <t>GROUND AND FIRST FLOOR PLAN</t>
  </si>
  <si>
    <t>EC-MY-DED-AA-HVAC-DWG-170-23002</t>
  </si>
  <si>
    <t>FIRST AND SECOND FLOOR PLAN</t>
  </si>
  <si>
    <t>EC-MY-CON-PCC-HVAC-DWG-170-24016</t>
  </si>
  <si>
    <t>Second Floor And Roof Plan</t>
  </si>
  <si>
    <t>EC-MY-DED-AA-HVAC-DWG-170-23003</t>
  </si>
  <si>
    <t>HVAC SYSTEM
MAINTENANCE BUILDING AND SUBSTATION 4 ROOFTOP AND ELEVATION PLAN</t>
  </si>
  <si>
    <t>EC-MY-CON-PCC-HVAC-DWG-170-24017</t>
  </si>
  <si>
    <t>Single Diagram 1-2</t>
  </si>
  <si>
    <t>EC-MY-DED-AA-HVAC-DWG-170-23006</t>
  </si>
  <si>
    <t>HVAC SYSTEM
MAINTENANCE BUILDING AND SUBSTATION 4 SINGLE LINE DIAGRAM 1</t>
  </si>
  <si>
    <t>EC-MY-CON-PCC-HVAC-DWG-170-24018</t>
  </si>
  <si>
    <t>Single Diagram 2-2</t>
  </si>
  <si>
    <t>EC-MY-DED-AA-HVAC-DWG-170-23007</t>
  </si>
  <si>
    <t>HVAC SYSTEM
MAINTENANCE BUILDING AND SUBSTATION 4 SINGLE LINE DIAGRAM 2</t>
  </si>
  <si>
    <t>EC-MY-CON-PCC-HVAC-DWG-170-24019</t>
  </si>
  <si>
    <t>Ground floor and first floor HVAC civil construction conditions</t>
  </si>
  <si>
    <t>EC-MY-CON-PCC-HVAC-DWG-170-24020</t>
  </si>
  <si>
    <t>Second floor HVAC civil construction conditions</t>
  </si>
  <si>
    <t>EC-MY-CON-PCC-HVAC-DWG-170-24021</t>
  </si>
  <si>
    <t>SECOND FLOOR PLC Plan and system diagram</t>
  </si>
  <si>
    <t>EC-MY-CON-PCC-HVAC-DWG-170-25001</t>
  </si>
  <si>
    <t>CHWR and CHWS ROOFFLOOR 170</t>
  </si>
  <si>
    <t>EC-MY-DED-AA-HVAC-RPT-170-23003</t>
  </si>
  <si>
    <t>AIR COOL MODULAR CHILLER CAT-CWS-2301</t>
  </si>
  <si>
    <t>EC-MY-CON-PCC-ELE-DWG-170-25011</t>
  </si>
  <si>
    <t>170-DB-F-1</t>
  </si>
  <si>
    <t>EC-MY-DED-AA-ELEC-DWG-170-23001</t>
  </si>
  <si>
    <t>MAINTENANCE ROOM 
SINGLE LINE DIAGRAM
SUB SWITCH BOARD (170/SSB/G/1)
DISTRIBUTION BOARD (170/DB/F/1 &amp; 170/DB/S/1)</t>
  </si>
  <si>
    <t>EC-MY-CON-PCC-ELE-DWG-170-25012</t>
  </si>
  <si>
    <t>170-DB-G-1</t>
  </si>
  <si>
    <t>EC-MY-DED-AA-ELEC-DWG-170-23002</t>
  </si>
  <si>
    <t>MAINTENANCE ROOM 
SINGLE LINE DIAGRAM
DISTRIBUTION BOARD (170/DB/G/1 &amp; 170/DB/G/2)</t>
  </si>
  <si>
    <t>EC-MY-CON-PCC-ELE-DWG-170-25013</t>
  </si>
  <si>
    <t>170-DB-G-2</t>
  </si>
  <si>
    <t>EC-MY-DED-AA-ELEC-DWG-170-23003</t>
  </si>
  <si>
    <t>MAINTENANCE ROOM 
CABLE TAG NO</t>
  </si>
  <si>
    <t>EC-MY-CON-PCC-ELE-DWG-170-25014</t>
  </si>
  <si>
    <t>170-DB-S-1</t>
  </si>
  <si>
    <t>EC-MY-CON-PCC-ELE-DWG-170-25015</t>
  </si>
  <si>
    <t>170-SSB-G-1</t>
  </si>
  <si>
    <t>EC-MY-CON-PCC-ELV-DWG-170-25001</t>
  </si>
  <si>
    <t>170 ELV SYSTEM FOR MAINTENANCE &amp; SUBSTATION 4 GROUND FLOOR AND FIRST FLOOR PLAN CCTV LAYOUT LOCAL AREA NETWORK LAYOUT CARD ACCESS LAYOUT</t>
  </si>
  <si>
    <t>EC-MY-DED-AA-ELV-DWG-170-23001</t>
  </si>
  <si>
    <t>ELV SYSTEM FOR MAINTENANCE &amp; SUBSTATION 4
GROUND FLOOR AND FIRST FLOOR PLAN
CCTV LAYOUT
LOCAL AREA NETWORK LAYOUT
CARD ACCESS LAYOUT</t>
  </si>
  <si>
    <t>EC-MY-CON-PCC-ELV-DWG-170-25002</t>
  </si>
  <si>
    <t>ELV SYSTEM FOR MAINTENANCE &amp; SUBSTATION 4 SECOND FLOOR PLAN CCTV LAYOUT CARD ACCESS LAYOUT</t>
  </si>
  <si>
    <t>EC-MY-DED-AA-ELV-DWG-170-23002</t>
  </si>
  <si>
    <t xml:space="preserve">ELV SYSTEM FOR MAINTENANCE &amp; SUBSTATION 4
SECOND FLOOR PLAN
CCTV LAYOUT
LOCAL AREA NETWORK LAYOUT
</t>
  </si>
  <si>
    <t>EC-MY-CON-PCC-FF-DWG-180-24001</t>
  </si>
  <si>
    <t>OFFICE BUILDING / CONTROL ROOM - FIRE AND GAS LOCATION LAYOUT</t>
  </si>
  <si>
    <t>EC-MY-DED-AA-FIFI-DWG-180-23001</t>
  </si>
  <si>
    <t>OFFICE BUILDING / CONTROL ROOM :
GROUND FLOOR PLAN
- LAYOUT PLAN FOR HOSE REEL SYSTEM, FIRE ALARM SYSTEM &amp; PORTABLE FIRE EXTINGUISHER</t>
  </si>
  <si>
    <t>EC-MY-CON-PCC-FF-DWG-180-24002</t>
  </si>
  <si>
    <t>OFFICE BUILDING / CONTROL ROOM - FIRE AND GAS CABLE ROUTING</t>
  </si>
  <si>
    <t>EC-MY-DED-AA-FIFI-DWG-180-23002</t>
  </si>
  <si>
    <t>OFFICE BUILDING / CONTROL ROOM :
FIRST FLOOR PLAN
- LAYOUT PLAN FOR HOSE REEL SYSTEM, FIRE ALARM SYSTEM &amp; PORTABLE FIRE EXTINGUISHER</t>
  </si>
  <si>
    <t>EC-MY-CON-PCC-FF-DWG-180-24003</t>
  </si>
  <si>
    <t>OFFICE BUILDING / CONTROL ROOM - LOCATION LAYOUT PLAN FOR FIXED GASEOUS FIRE SUPPRESSION SYSTEM</t>
  </si>
  <si>
    <t>EC-MY-DED-AA-FIFI-DWG-180-23003</t>
  </si>
  <si>
    <t>OFFICE BUILDING / CONTROL ROOM :
SECOND FLOOR PLAN
- LAYOUT PLAN FOR HOSE REEL SYSTEM, FIRE ALARM SYSTEM &amp; PORTABLE FIRE EXTINGUISHER</t>
  </si>
  <si>
    <t>EC-MY-CON-PCC-FF-DWG-180-24004</t>
  </si>
  <si>
    <t>OFFICE BUILDING / CONTROL ROOM - CABLE ROUTING FOR FIXED GASEOUS FIRE SUPPRESSION SYSTEM</t>
  </si>
  <si>
    <t>EC-MY-DED-AA-FIFI-DWG-180-23004</t>
  </si>
  <si>
    <t>OFFICE BUILDING / CONTROL ROOM:
ROOF PLAN
- LAYOUT PLAN FOR HOSE REEL SYSTEM, FIRE ALARM SYSTEM &amp; PORTABLE FIRE EXTINGUISHER</t>
  </si>
  <si>
    <t>EC-MY-CON-PCC-FF-DWG-180-24005</t>
  </si>
  <si>
    <t>OFFICE BUILDING / CONTROL ROOM - SECTION DRAWINGS</t>
  </si>
  <si>
    <t>EC-MY-DED-AA-FIFI-DWG-180-23005</t>
  </si>
  <si>
    <t>OFFICE BUILDING / CONTROL ROOM :
GROUND FLOOR PLAN
- LAYOUT FOR AUTOMATIC FIXED GASEOUS FIRE SUPPRESSION SYSTEM</t>
  </si>
  <si>
    <t>EC-MY-CON-PCC-FF-DWG-180-24006</t>
  </si>
  <si>
    <t>OFFICE BUILDING / CONTROL ROOM
- ISOMETRIC DIAGRAM FOR HOSE REEL SYSTEM</t>
  </si>
  <si>
    <t>EC-MY-DED-AA-FIFI-DWG-180-23006</t>
  </si>
  <si>
    <t>OFFICE BUILDING / CONTROL ROOM :
GROUND FLOOR PLAN (ABOVE CEILING)
- LAYOUT FOR AUTOMATIC FIXED GASEOUS FIRE SUPPRESSION SYSTEM</t>
  </si>
  <si>
    <t>EC-MY-CON-PCC-FF-DWG-180-24007</t>
  </si>
  <si>
    <t>OFFICE BUILDING / CONTROL ROOM
- ISOMETRIC DIAGRAM &amp; PIPING LAYOUT FOR FIXED GASEOUS FIRE SUPPRESSION SYSTEM</t>
  </si>
  <si>
    <t>EC-MY-DED-AA-FIFI-DWG-180-23007</t>
  </si>
  <si>
    <t>OFFICE BUILDING / CONTROL ROOM :
GROUND FLOOR PLAN (UNDER RAISED FLOOR)
- LAYOUT FOR AUTOMATIC FIXED GASEOUS FIRE SUPPRESSION SYSTEM</t>
  </si>
  <si>
    <t>EC-MY-CON-PCC-FF-DWG-180-24008</t>
  </si>
  <si>
    <t>OFFICE BUILDING / CONTROL ROOM - GENERAL ARRANGEMENT DRAWINGS FOR AFGS PANEL</t>
  </si>
  <si>
    <t>EC-MY-DED-AA-FIFI-DWG-180-23007A</t>
  </si>
  <si>
    <t>OFFICE BUILDING / CONTROL ROOM :
ROOF FLOOR PLAN
- LAYOUT FOR AUTOMATIC FIXED GASEOUS FIRE SUPPRESSION SYSTEM</t>
  </si>
  <si>
    <t>EC-MY-CON-PCC-FF-DWG-180-24009</t>
  </si>
  <si>
    <t>OFFICE BUILDING / CONTROL ROOM - INSTRUMENT LOOP DIAGRAM</t>
  </si>
  <si>
    <t>EC-MY-DED-AA-FIFI-DWG-180-23007B</t>
  </si>
  <si>
    <t>FLOOR LAYOUT FOR FIRE SUPPRESSION SYSTEM</t>
  </si>
  <si>
    <t>0</t>
  </si>
  <si>
    <t>EC-MY-CON-PCC-FF-DWG-180-24010</t>
  </si>
  <si>
    <t>OFFICE BUILDING / CONTROL ROOM - MIMIC DRAWINGS</t>
  </si>
  <si>
    <t>EC-MY-DED-AA-FIFI-DWG-180-23008</t>
  </si>
  <si>
    <t>OFFICE BUILDING / CONTROL ROOM :
- ISOMETRIC DIAGRAM FOR HOSE REEL SYSTEM</t>
  </si>
  <si>
    <t>EC-MY-CON-PCC-FF-DWG-180-24011</t>
  </si>
  <si>
    <t>OFFICE BUILDING / CONTROL ROOM - AFGS PANEL SCHEMATIC DIAGRAM</t>
  </si>
  <si>
    <t>EC-MY-DED-AA-FIFI-DWG-180-23009</t>
  </si>
  <si>
    <t>OFFICE BUILDING / CONTROL ROOM :
- ISOMETRIC DIAGRAM FOR FIXED GASEOUS FIRE SUPPRESSION SYSTEM</t>
  </si>
  <si>
    <t>EC-MY-CON-PCC-FF-DWG-180-24012</t>
  </si>
  <si>
    <t>OFFICE BUILDING / CONTROL ROOM - GENERAL ARRANGEMENT DRAWINGS FOR PAVA SYSTEM</t>
  </si>
  <si>
    <t>EC-MY-DED-AA-FIFI-DWG-180-23010</t>
  </si>
  <si>
    <t>OFFICE BUILDING / CONTROL ROOM :
-SCHEMATIC DIAGRAM FOR FIXED GASEOUS FIRE SUPPRESSION SYSTEM</t>
  </si>
  <si>
    <t>EC-MY-CON-PCC-FF-DWG-180-24013</t>
  </si>
  <si>
    <t>OFFICE BUILDING / CONTROL ROOM
- GENERAL ARRANGEMENT DRAWINGS FOR FIXED GASEOUS FIRE SUPPRESSION CYLINDER</t>
  </si>
  <si>
    <t>EC-MY-DED-AA-FIFI-DWG-180-23011</t>
  </si>
  <si>
    <t>OFFICE BUILDING / CONTROL ROOM
FRONT ELEVATION
LEFT ELEVATION</t>
  </si>
  <si>
    <t>EC-MY-CON-PCC-FF-DWG-180-24014</t>
  </si>
  <si>
    <t>OFFICE BUILDING / CONTROL ROOM - POWER DISTRIBUTION DRAWING</t>
  </si>
  <si>
    <t>EC-MY-DED-AA-FIFI-DWG-180-23012</t>
  </si>
  <si>
    <t>OFFICE BUILDING / CONTROL ROOM
REAR ELEVATION
RIGHT ELEVATION</t>
  </si>
  <si>
    <t>EC-MY-CON-PCC-FF-DWG-180-24016</t>
  </si>
  <si>
    <t>OFFICE BUILDING / CONTROL ROOM - GENERAL ARRANGEMENT DRAWINGS FOR PANEL REMOTE FIRE MONITOR</t>
  </si>
  <si>
    <t>EC-MY-DED-AA-FIFI-DWG-180-23013</t>
  </si>
  <si>
    <t>OFFICE BUILDING / CONTROL ROOM
SECTION A-A
SECTION B-B
SECTION C-C
SECTION D-D</t>
  </si>
  <si>
    <t>EC-MY-DED-AA-FIFI-DWG-180-23014</t>
  </si>
  <si>
    <t>EC-MY-CON-PCC-HVAC-DWG-180-24001</t>
  </si>
  <si>
    <t>EC-MY-DED-AA-HVAC-DWG-180-23001</t>
  </si>
  <si>
    <t>HVAC SYSTEM
OFFICE BUILDING CHILLED WATER SYSTEM</t>
  </si>
  <si>
    <t>EC-MY-CON-PCC-HVAC-DWG-180-24002</t>
  </si>
  <si>
    <t>EC-MY-DED-AA-HVAC-DWG-180-23002</t>
  </si>
  <si>
    <t>HVAC SYSTEM
OFFICE BUILDING GROUND FLOOR PLAN</t>
  </si>
  <si>
    <t>EC-MY-CON-PCC-HVAC-DWG-180-24003</t>
  </si>
  <si>
    <t>EC-MY-DED-AA-HVAC-DWG-180-23003</t>
  </si>
  <si>
    <t>HVAC SYSTEM
OFFICE BUILDING FIRST FLOOR PLAN</t>
  </si>
  <si>
    <t>EC-MY-CON-PCC-HVAC-DWG-180-24004</t>
  </si>
  <si>
    <t>EC-MY-DED-AA-HVAC-DWG-180-23004</t>
  </si>
  <si>
    <t>HVAC SYSTEM
OFFICE BUILDING FIRST FLOOR FRESH AIR DUCT</t>
  </si>
  <si>
    <t>EC-MY-CON-PCC-HVAC-DWG-180-24005</t>
  </si>
  <si>
    <t xml:space="preserve">System Of Air Conditioning Chilled Water </t>
  </si>
  <si>
    <t>EC-MY-DED-AA-HVAC-DWG-180-23005</t>
  </si>
  <si>
    <t>HVAC SYSTEM
OFFICE BUILDING SECOND FLOOR PLAN</t>
  </si>
  <si>
    <t>EC-MY-CON-PCC-HVAC-DWG-180-24006</t>
  </si>
  <si>
    <t>EC-MY-DED-AA-HVAC-DWG-180-23006</t>
  </si>
  <si>
    <t>HVAC SYSTEM
OFFICE BUILDING SECOND FLOOR FRESH AIR DUCT</t>
  </si>
  <si>
    <t>EC-MY-CON-PCC-HVAC-DWG-180-24007</t>
  </si>
  <si>
    <t>EC-MY-DED-AA-HVAC-DWG-180-23007</t>
  </si>
  <si>
    <t>HVAC SYSTEM
OFFICE BUILDING ROOF TOP PLAN</t>
  </si>
  <si>
    <t>EC-MY-CON-PCC-HVAC-DWG-180-24008</t>
  </si>
  <si>
    <t>EC-MY-DED-AA-HVAC-DWG-180-23008</t>
  </si>
  <si>
    <t>HVAC SYSTEM
OFFICE BUILDING ELEVATION 1</t>
  </si>
  <si>
    <t>EC-MY-CON-PCC-HVAC-DWG-180-24009</t>
  </si>
  <si>
    <t>Ground Floor Equipmen And Duct Plan</t>
  </si>
  <si>
    <t>EC-MY-DED-AA-HVAC-DWG-180-23009</t>
  </si>
  <si>
    <t>HVAC SYSTEM
OFFICE BUILDING ELEVATION 2</t>
  </si>
  <si>
    <t>EC-MY-CON-PCC-HVAC-DWG-180-24010</t>
  </si>
  <si>
    <t>First Floor Equipmen And Duct Plan</t>
  </si>
  <si>
    <t>EC-MY-DED-AA-HVAC-DWG-180-23010</t>
  </si>
  <si>
    <t>HVAC SYSTEM
OFFICE BUILDING SCHEDULE OF EQUIPMENT 1</t>
  </si>
  <si>
    <t>EC-MY-CON-PCC-HVAC-DWG-180-24011</t>
  </si>
  <si>
    <t>EC-MY-DED-AA-HVAC-DWG-180-23011</t>
  </si>
  <si>
    <t>HVAC SYSTEM
OFFICE BUILDING SCHEDULE OF EQUIPMENT 2</t>
  </si>
  <si>
    <t>EC-MY-CON-PCC-HVAC-DWG-180-24012</t>
  </si>
  <si>
    <t>Roof Equipmen Plan</t>
  </si>
  <si>
    <t>EC-MY-DED-AA-HVAC-DWG-180-23012</t>
  </si>
  <si>
    <t>HVAC SYSTEM
OFFICE BUILDING VRF GROUPING</t>
  </si>
  <si>
    <t>EC-MY-CON-PCC-HVAC-DWG-180-24013</t>
  </si>
  <si>
    <t>Ground Floor Plan Of Supply Air Duct</t>
  </si>
  <si>
    <t>EC-MY-DED-AA-HVAC-DWG-180-23013</t>
  </si>
  <si>
    <t>HVAC SYSTEM
SINGLE LINE DIAGRAM 1</t>
  </si>
  <si>
    <t>EC-MY-CON-PCC-HVAC-DWG-180-24014</t>
  </si>
  <si>
    <t>Ground Floor Plan Of Return And Fresh Air Duct</t>
  </si>
  <si>
    <t>EC-MY-DED-AA-HVAC-DWG-180-23014</t>
  </si>
  <si>
    <t>HVAC SYSTEM
SINGLE LINE DIAGRAM 2</t>
  </si>
  <si>
    <t>EC-MY-CON-PCC-HVAC-DWG-180-24015</t>
  </si>
  <si>
    <t>First Floor Plan Of Fresh Air Duct</t>
  </si>
  <si>
    <t>EC-MY-DED-AA-HVAC-DWG-180-23015</t>
  </si>
  <si>
    <t>HVAC SYSTEM
SINGLE LINE DIAGRAM 3</t>
  </si>
  <si>
    <t>EC-MY-CON-PCC-HVAC-DWG-180-24016</t>
  </si>
  <si>
    <t>Second Floor Plan Of Fresh Air Duct</t>
  </si>
  <si>
    <t>EC-MY-DED-AA-HVAC-DWG-180-23016</t>
  </si>
  <si>
    <t>HVAC SYSTEM
SINGLE LINE DIAGRAM 4</t>
  </si>
  <si>
    <t>EC-MY-CON-PCC-HVAC-DWG-180-24017</t>
  </si>
  <si>
    <t>Ground Floor Plan Of Exhaust Air Duct</t>
  </si>
  <si>
    <t>EC-MY-DED-AA-HVAC-DWG-180-23017</t>
  </si>
  <si>
    <t>GROUND FLOOR REFRIGERANT PIPE</t>
  </si>
  <si>
    <t>EC-MY-CON-PCC-HVAC-DWG-180-24018</t>
  </si>
  <si>
    <t>First Floor Plan Of Exhaust Air Duct</t>
  </si>
  <si>
    <t>EC-MY-DED-AA-HVAC-DWG-180-23018</t>
  </si>
  <si>
    <t>FIRST FLOOR REFRIGERANT PIPE</t>
  </si>
  <si>
    <t>EC-MY-CON-PCC-HVAC-DWG-180-24019</t>
  </si>
  <si>
    <t>Second Floor Plan Of Exhaust Air Duct</t>
  </si>
  <si>
    <t>EC-MY-DED-AA-HVAC-DWG-180-23019</t>
  </si>
  <si>
    <t>FIRST FLOOR CHILLED WATER PIPE</t>
  </si>
  <si>
    <t>EC-MY-CON-PCC-HVAC-DWG-180-24020</t>
  </si>
  <si>
    <t>Ground Floor Plan Of Chilled Refrigerant And Water Pipe</t>
  </si>
  <si>
    <t>EC-MY-DED-AA-HVAC-DWG-180-23020</t>
  </si>
  <si>
    <t>HVAC SYSTEM
SECOND FLOOR CHILLED WATER AND REFRIGERANT PIPE</t>
  </si>
  <si>
    <t>EC-MY-CON-PCC-HVAC-DWG-180-24021</t>
  </si>
  <si>
    <t>First Floor Plan Of Chilled Refrigerant Pipe</t>
  </si>
  <si>
    <t>EC-MY-DED-AA-HVAC-DWG-180-23021</t>
  </si>
  <si>
    <t>ROOF CHILLED WATER AND REFRIGERANT PIPE</t>
  </si>
  <si>
    <t>EC-MY-CON-PCC-HVAC-DWG-180-24022</t>
  </si>
  <si>
    <t>Second Floor Plan Of Chilled Refrigerant Pipe</t>
  </si>
  <si>
    <t>EC-MY-DED-AA-HVAC-DWG-180-23022</t>
  </si>
  <si>
    <t>GROUND FLOOR CONDENSATE DRAIN LINE</t>
  </si>
  <si>
    <t>EC-MY-CON-PCC-HVAC-DWG-180-24023</t>
  </si>
  <si>
    <t>Roof Plan Of Chilled Refrigerant Pipe</t>
  </si>
  <si>
    <t>EC-MY-DED-AA-HVAC-DWG-180-23023</t>
  </si>
  <si>
    <t>FIRST FLOOR CONDENSATE DRAIN LINE</t>
  </si>
  <si>
    <t>EC-MY-CON-PCC-HVAC-DWG-180-24024</t>
  </si>
  <si>
    <t>Ground Floor Plan Of Condensate Water Pipe</t>
  </si>
  <si>
    <t>EC-MY-DED-AA-HVAC-DWG-180-23024</t>
  </si>
  <si>
    <t>SECOND FLOOR CONDENSATE DRAIN LINE</t>
  </si>
  <si>
    <t>EC-MY-CON-PCC-HVAC-DWG-180-24025</t>
  </si>
  <si>
    <t>First Floor Plan Of Condensate Water Pipe</t>
  </si>
  <si>
    <t>EC-MY-DED-AA-HVAC-ESC-180-23001</t>
  </si>
  <si>
    <t>OFFICE VRF GROUPING</t>
  </si>
  <si>
    <t>EC-MY-CON-PCC-HVAC-DWG-180-24026</t>
  </si>
  <si>
    <t>Second Floor Plan Of Condensated Water Pipe</t>
  </si>
  <si>
    <t>EC-MY-DED-AA-HVAC-ESC-180-23002</t>
  </si>
  <si>
    <t>OFFICE BUILDING SCHEDULE OF EQUIPMENT</t>
  </si>
  <si>
    <t>EC-MY-CON-PCC-HVAC-DWG-180-24027</t>
  </si>
  <si>
    <t>EC-MY-DED-AA-HVAC-ESC-180-23003</t>
  </si>
  <si>
    <t>VRF SCHEDULE OF EQUIPMENT OFFICE BUILDING</t>
  </si>
  <si>
    <t>EC-MY-CON-PCC-HVAC-DWG-180-24028</t>
  </si>
  <si>
    <t>First Floor Plan</t>
  </si>
  <si>
    <t>EC-MY-DED-AA-HVAC-RPT-180-23001</t>
  </si>
  <si>
    <t>OFFICE BUILDING REFRIGERANT PIPPING SYSTEM</t>
  </si>
  <si>
    <t>EC-MY-CON-PCC-HVAC-DWG-180-24029</t>
  </si>
  <si>
    <t>Second Floor Plan</t>
  </si>
  <si>
    <t>EC-MY-DED-AA-HVAC-RPT-180-23002</t>
  </si>
  <si>
    <t>PRICISION AIR CONDITIONAL  APCM031C (PAC FIRST FLOOR SERVER ROOM)</t>
  </si>
  <si>
    <t>EC-MY-CON-PCC-HVAC-DWG-180-24030</t>
  </si>
  <si>
    <t>Roof Top Plan</t>
  </si>
  <si>
    <t>EC-MY-DED-AA-HVAC-RPT-180-23003</t>
  </si>
  <si>
    <t>AHU LAB-DMA6-1013</t>
  </si>
  <si>
    <t>EC-MY-CON-PCC-HVAC-DWG-180-24031</t>
  </si>
  <si>
    <t>Single Line Diagram 1-4</t>
  </si>
  <si>
    <t>EC-MY-DED-AA-HVAC-RPT-180-23004</t>
  </si>
  <si>
    <t>CONTROL ROOM AHU DMA6-1315</t>
  </si>
  <si>
    <t>EC-MY-CON-PCC-HVAC-DWG-180-24032</t>
  </si>
  <si>
    <t>Single Line Diagram 2-4</t>
  </si>
  <si>
    <t>EC-MY-DED-AA-HVAC-RPT-180-23005</t>
  </si>
  <si>
    <t>SAMPLE, CHEMICAL AND BALANCE ROOM AHU DMA6-0404</t>
  </si>
  <si>
    <t>EC-MY-CON-PCC-HVAC-DWG-180-24033</t>
  </si>
  <si>
    <t>Single Line Diagram 3-4</t>
  </si>
  <si>
    <t>EC-MY-DED-AA-HVAC-RPT-180-23006</t>
  </si>
  <si>
    <t>EC-MY-CON-PCC-HVAC-DWG-180-24034</t>
  </si>
  <si>
    <t>Single Line Diagram 4-4</t>
  </si>
  <si>
    <t>EC-MY-DED-AA-HVAC-RPT-180-23007</t>
  </si>
  <si>
    <t>VARIABLE REFRIGERANT FLOW INDOOR AND OUT DOOR UNIT CAT-A5VRY-2304</t>
  </si>
  <si>
    <t>EC-MY-CON-PCC-HVAC-DWG-180-24035</t>
  </si>
  <si>
    <t>Ground floor HVAC civil construction conditions</t>
  </si>
  <si>
    <t>EC-MY-DED-AA-LIFT-DWG-180-23001</t>
  </si>
  <si>
    <t>LIFT CORE - GROUND FLOOR LAYOUT PLAN AND SIDE ELEVATION REFERENCE</t>
  </si>
  <si>
    <t>EC-MY-CON-PCC-HVAC-DWG-180-24036</t>
  </si>
  <si>
    <t>First floor HVAC civil construction conditions</t>
  </si>
  <si>
    <t>EC-MY-DED-AA-LIFT-DWG-180-23002</t>
  </si>
  <si>
    <t>LIFT CORE - LIFT CORE DIMENSION AND SPECIFIC REQUIREMENT</t>
  </si>
  <si>
    <t>EC-MY-CON-PCC-HVAC-DWG-180-24037</t>
  </si>
  <si>
    <t>ECRF01-180-ME-DS-00-0001</t>
  </si>
  <si>
    <t>DATA SHEET FOR WASTEWATER PUMP (P1801)</t>
  </si>
  <si>
    <t>EC-MY-CON-PCC-HVAC-DWG-180-24038</t>
  </si>
  <si>
    <t>Roof HVAC civil construction conditions</t>
  </si>
  <si>
    <t>EC-MY-CON-PCC-HVAC-DWG-180-25001</t>
  </si>
  <si>
    <t>CHWR and CHWS ALL FLOOR</t>
  </si>
  <si>
    <t>EC-MY-CON-PCC-ELE-DWG-180-25011</t>
  </si>
  <si>
    <t>180-DB-G-1</t>
  </si>
  <si>
    <t>EC-MY-DED-AA-ELEC-DWG-180-23001</t>
  </si>
  <si>
    <t>OFFICE BUILDING / CONTROL ROOM
GROUND FLOOR PLAN
LIGHTING LAYOUT</t>
  </si>
  <si>
    <t>EC-MY-CON-PCC-ELE-DWG-180-25012</t>
  </si>
  <si>
    <t>180-DB-F-1</t>
  </si>
  <si>
    <t>EC-MY-DED-AA-ELEC-DWG-180-23002</t>
  </si>
  <si>
    <t>OFFICE BUILDING / CONTROL ROOM
FIRST FLOOR PLAN
LIGHTING LAYOUT</t>
  </si>
  <si>
    <t>EC-MY-CON-PCC-ELE-DWG-180-25013</t>
  </si>
  <si>
    <t>180-DB-F-2</t>
  </si>
  <si>
    <t>EC-MY-DED-AA-ELEC-DWG-180-23003</t>
  </si>
  <si>
    <t>OFFICE BUILDING / CONTROL ROOM
SECOND FLOOR PLAN
LIGHTING LAYOUT</t>
  </si>
  <si>
    <t>EC-MY-CON-PCC-ELE-DWG-180-25014</t>
  </si>
  <si>
    <t>180-DB-G-2</t>
  </si>
  <si>
    <t>EC-MY-DED-AA-ELEC-DWG-180-23004</t>
  </si>
  <si>
    <t>OFFICE BUILDING / CONTROL ROOM
ROOF PLAN
LIGHTING LAYOUT</t>
  </si>
  <si>
    <t>EC-MY-CON-PCC-ELE-DWG-180-25015</t>
  </si>
  <si>
    <t>180-DB-G-4</t>
  </si>
  <si>
    <t>EC-MY-DED-AA-ELEC-DWG-180-23005</t>
  </si>
  <si>
    <t>OFFICE BUILDING AND CONTROL ROOM
GROUND FLOOR PLAN
POWER LAYOUT</t>
  </si>
  <si>
    <t>EC-MY-CON-PCC-ELE-DWG-180-25016</t>
  </si>
  <si>
    <t>180-DB-G-5</t>
  </si>
  <si>
    <t>EC-MY-DED-AA-ELEC-DWG-180-23006</t>
  </si>
  <si>
    <t>OFFICE BUILDING / CONTROL ROOM
FIRST FLOOR PLAN
POWER LAYOUT</t>
  </si>
  <si>
    <t>EC-MY-CON-PCC-ELE-DWG-180-25017</t>
  </si>
  <si>
    <t>180-DB-R-1</t>
  </si>
  <si>
    <t>EC-MY-DED-AA-ELEC-DWG-180-23007</t>
  </si>
  <si>
    <t>OFFICE BUILDING / CONTROL ROOM
SECOND FLOOR PLAN
POWER LAYOUT</t>
  </si>
  <si>
    <t>EC-MY-CON-PCC-ELE-DWG-180-25018</t>
  </si>
  <si>
    <t>180-DB-S-1</t>
  </si>
  <si>
    <t>EC-MY-DED-AA-ELEC-DWG-180-23008</t>
  </si>
  <si>
    <t>OFFICE BUILDING / CONTROL ROOM
ROOF PLAN
POWER LAYOUT</t>
  </si>
  <si>
    <t>EC-MY-CON-PCC-ELE-DWG-180-25019</t>
  </si>
  <si>
    <t>180-SSB-G-1</t>
  </si>
  <si>
    <t>EC-MY-DED-AA-ELEC-DWG-180-23009</t>
  </si>
  <si>
    <t>OFFICE BUILDING / CONTROL ROOM
ROOF PLAN &amp; FRONT ELEVATION
LIGHTNING PROTECTION LAYOUT</t>
  </si>
  <si>
    <t>EC-MY-CON-PCC-ELE-DWG-180-25020</t>
  </si>
  <si>
    <t>EC-MY-DED-AA-ELEC-DWG-180-23010</t>
  </si>
  <si>
    <t>OFFICE BUILDING AND CONTROL ROOM
SINGLE LINE DIAGRAM
DISTRIBUTION BOARD (180/DB/G/1, 180/DB/G/2 &amp; 180/DB/G/3)</t>
  </si>
  <si>
    <t>EC-MY-CON-PCC-ELE-DWG-180-25021</t>
  </si>
  <si>
    <t>180-DB-G-3</t>
  </si>
  <si>
    <t>EC-MY-DED-AA-ELEC-DWG-180-23011</t>
  </si>
  <si>
    <t>OFFICE BUILDING AND CONTROL ROOM
SINGLE LINE DIAGRAM
SUB SWITCH BOARD (180/SSB/G/1)
DISTRIBUTION BOARD (180/DB/F/2)</t>
  </si>
  <si>
    <t>EC-MY-DED-AA-ELEC-DWG-180-23012</t>
  </si>
  <si>
    <t>OFFICE BUILDING AND CONTROL ROOM
SINGLE LINE DIAGRAM
DISTRIBUTION BOARD (180/DB/F/1, 180/DB/S/2 &amp; 180/DB/R/1)</t>
  </si>
  <si>
    <t>EC-MY-DED-AA-ELEC-DWG-180-23013</t>
  </si>
  <si>
    <t>OFFICE BUILDING AND CONTROL ROOM
ROOF PLAN &amp; FRONT ELEVATION
FRAME EARTH LAYOUT
STANDARD DETAIL</t>
  </si>
  <si>
    <t>EC-MY-DED-AA-ELEC-DWG-180-23014</t>
  </si>
  <si>
    <t>OFFICE BUILDING AND CONTROL ROOM
GROUND FLOOR PLAN
FRAME EARTH LAYOUT
STANDARD DETAIL</t>
  </si>
  <si>
    <t>EC-MY-DED-AA-ELEC-DWG-180-23015</t>
  </si>
  <si>
    <t>OFFICE BUILDING AND CONTROL ROOM
GROUND FLOOR PLAN
CABLE TRUNKING LAYOUT</t>
  </si>
  <si>
    <t>EC-MY-DED-AA-ELEC-DWG-180-23016</t>
  </si>
  <si>
    <t>EC-MY-DED-AA-ELEC-DWG-180-23017</t>
  </si>
  <si>
    <t>OFFICE BUILDING AND CONTROL ROOM
SECOND FLOOR PLAN
CABLE TRUNKING LAYOUT</t>
  </si>
  <si>
    <t>EC-MY-DED-AA-ELEC-DWG-180-23018</t>
  </si>
  <si>
    <t>OFFICE BUILDING AND CONTROL ROOM
ROOF PLAN
CABLE TRUNKING LAYOUT</t>
  </si>
  <si>
    <t>EC-MY-DED-AA-ELEC-DWG-180-23019</t>
  </si>
  <si>
    <t>OFFICE BUILDING AND CONTROL ROOM
FIRST FLOOR PLAN
FRAME EARTH LAYOUT</t>
  </si>
  <si>
    <t>EC-MY-DED-AA-ELEC-DWG-180-23020</t>
  </si>
  <si>
    <t>OFFICE BUILDING AND CONTROL ROOM
CABLE TAG NO</t>
  </si>
  <si>
    <t>EC-MY-DED-AA-ELEC-DWG-180-23021</t>
  </si>
  <si>
    <t>EC-MY-DED-AA-ELEC-DWG-180-23022</t>
  </si>
  <si>
    <t>EC-MY-DED-AA-ELEC-DWG-180-23023</t>
  </si>
  <si>
    <t>GROUND FLOOR CABLE SERVICE BOX</t>
  </si>
  <si>
    <t>EC-MY-DED-AA-ELEC-DWG-180-23024</t>
  </si>
  <si>
    <t>FIRST FLOOR CABLE SERVICE BOX</t>
  </si>
  <si>
    <t>EC-MY-DED-AA-ELEC-DWG-180-23025</t>
  </si>
  <si>
    <t>SECOND FLOOR CABLE SERVICE BOX</t>
  </si>
  <si>
    <t>EC-MY-DED-AA-ELEC-DWG-180-23026</t>
  </si>
  <si>
    <t>SINGLE LINE DIAGRAM FOR DISTRIBUTION BOX (DB)</t>
  </si>
  <si>
    <t>EC-MY-CON-PCC-ELV-DWG-180-25001</t>
  </si>
  <si>
    <t>ELV SYSTEM FOR OFFICE BUILDING CONTROL ROOM FIRST FLOOR PLAN CCTV LAYOUT LOCAL AREA NETWORK LAYOUT</t>
  </si>
  <si>
    <t>EC-MY-DED-AA-ELV-DWG-180-23001</t>
  </si>
  <si>
    <t>ELV SYSTEM FOR OFFICE BUILDING / CONTROL ROOM
GROUND FLOOR PLAN
CCTV LAYOUT
LOCAL AREA NETWORK LAYOUT
CARD ACCESS LAYOUT</t>
  </si>
  <si>
    <t>EC-MY-CON-PCC-ELV-DWG-180-25002</t>
  </si>
  <si>
    <t>ELV SYSTEM FOR OFFICE BUILDING CONTROL ROOM SECOND FLOOR PLAN CCTV LAYOUT</t>
  </si>
  <si>
    <t>EC-MY-DED-AA-ELV-DWG-180-23002</t>
  </si>
  <si>
    <t>ELV SYSTEM FOR OFFICE BUILDING / CONTROL ROOM
FIRST FLOOR PLAN
CCTV LAYOUT
LOCAL AREA NETWORK LAYOUT</t>
  </si>
  <si>
    <t>EC-MY-CON-PCC-ELV-DWG-180-25003</t>
  </si>
  <si>
    <t>ELV SYSTEM FOR OFFICE BUILDING CONTROL ROOM LABORATORY</t>
  </si>
  <si>
    <t>EC-MY-DED-AA-ELV-DWG-180-23003</t>
  </si>
  <si>
    <t xml:space="preserve">ELV SYSTEM FOR OFFICE BUILDING / CONTROL ROOM
FIRST FLOOR PLAN
CCTV LAYOUT
</t>
  </si>
  <si>
    <t>EC-MY-CON-PCC-FF-DWG-210-24001</t>
  </si>
  <si>
    <t>TANK FARM 1 - FIRE &amp; GAS LAYOUT DRAWINGS</t>
  </si>
  <si>
    <t>EC-MY-DED-AA-FIFI-DWG-210-23001</t>
  </si>
  <si>
    <t>TANK FARM 1: T-2101
LAYOUT PLAN, ELEVATION VIEW, ISOMETRIC DIAGRAM AND TYPICAL DETAILS FOR FIXED WATER SPRAY
SYSTEM</t>
  </si>
  <si>
    <t>EC-MY-CON-PCC-FF-DWG-210-24002</t>
  </si>
  <si>
    <t>TANK FARM 1 - LAYOUT PLAN DRAWINGS FOR LINEAR HEAT DETECTOR</t>
  </si>
  <si>
    <t>EC-MY-DED-AA-FIFI-DWG-210-23001A</t>
  </si>
  <si>
    <t>TANK FARM 1: T-2101 LAYOUT PLAN, ELEVATION VIEW, ISOMETRIC DIAGRAM AND TYPICAL DETAILS FOR FIXED WATER SPRAY SYSTEM</t>
  </si>
  <si>
    <t>EC-MY-CON-PCC-FF-DWG-210-24003</t>
  </si>
  <si>
    <t>TANK FARM 1 - SCHEMATIC DRAWINGS FOR LINEAR HEAT DETECTOR</t>
  </si>
  <si>
    <t>EC-MY-DED-AA-FIFI-DWG-210-23002</t>
  </si>
  <si>
    <t>TANK FARM 1: T-2102
LAYOUT PLAN, ELEVATION VIEW, ISOMETRIC DIAGRAM AND TYPICAL DETAILS FOR FIXED WATER SPRAY
SYSTEM</t>
  </si>
  <si>
    <t>EC-MY-CON-PCC-FF-DWG-210-24004</t>
  </si>
  <si>
    <t>TANK FARM 1 - INSTALLATION DETAIL DRAWINGS FOR LINEAR HEAT DETECTOR</t>
  </si>
  <si>
    <t>EC-MY-DED-AA-FIFI-DWG-210-23002A</t>
  </si>
  <si>
    <t>TANK FARM 1: T-2102
LAYOUT PLAN, ELEVATION VIEW, ISOMETRIC DIAGRAM AND TYPICAL DETAILS FOR FIXED WATER SPRAY SYSTEM</t>
  </si>
  <si>
    <t>EC-MY-CON-PCC-FF-DWG-210-24005</t>
  </si>
  <si>
    <t>TANK FARM 1 
- INSTRUMENT CABLE ROUTING</t>
  </si>
  <si>
    <t>EC-MY-DED-AA-FIFI-DWG-210-23003</t>
  </si>
  <si>
    <t>TANK FARM 1: T-2103
LAYOUT PLAN, ELEVATION VIEW, ISOMETRIC DIAGRAM AND TYPICAL DETAILS FOR FIXED WATER SPRAY
SYSTEM</t>
  </si>
  <si>
    <t>EC-MY-CON-PCC-FF-DWG-210-24006</t>
  </si>
  <si>
    <t>TANK FARM 1 - INSTRUMENT HOOK-UP DRAWINGS FOR FIRE AND GAS SYSTEM</t>
  </si>
  <si>
    <t>EC-MY-DED-AA-FIFI-DWG-210-23004</t>
  </si>
  <si>
    <t>TANK FARM 1: T-2104
LAYOUT PLAN, ELEVATION VIEW, ISOMETRIC DIAGRAM AND TYPICAL DETAILS FOR FIXED WATER SPRAY
SYSTEM</t>
  </si>
  <si>
    <t>EC-MY-CON-PCC-FF-DWG-210-24007</t>
  </si>
  <si>
    <t>TANK FARM 1 - GENERAL ARRANGEMENT FOR 4000L PRE-PIPED HORIZONTAL FOAM BLADDER TANK</t>
  </si>
  <si>
    <t>EC-MY-DED-AA-FIFI-DWG-210-23005</t>
  </si>
  <si>
    <t>TANK FARM 1: T-2105
LAYOUT PLAN, ELEVATION VIEW, ISOMETRIC DIAGRAM AND TYPICAL DETAILS FOR FIXED WATER SPRAY
SYSTEM</t>
  </si>
  <si>
    <t>EC-MY-CON-PCC-FF-DWG-210-24008</t>
  </si>
  <si>
    <t>TANK FARM 1  - GENERAL ARRANGEMENT FOR  FOAM CHAMBER</t>
  </si>
  <si>
    <t>EC-MY-DED-AA-FIFI-DWG-210-23006</t>
  </si>
  <si>
    <t>TANK FARM 1: T-2101
LAYOUT PLAN, ELEVATION VIEW, ISOMETRIC DIAGRAM AND TYPICAL DETAILS FOR FIXED FOAM SYSTEM</t>
  </si>
  <si>
    <t>EC-MY-DED-AA-FIFI-DWG-210-23007</t>
  </si>
  <si>
    <t>TANK FARM 1: T-2102
LAYOUT PLAN, ELEVATION VIEW, ISOMETRIC DIAGRAM AND TYPICAL DETAILS FOR FIXED FOAM SYSTEM</t>
  </si>
  <si>
    <t>EC-MY-DED-AA-FIFI-DWG-210-23008</t>
  </si>
  <si>
    <t>TANK FARM 1: T-2103
LAYOUT PLAN, ELEVATION VIEW, ISOMETRIC DIAGRAM AND TYPICAL DETAILS FOR FIXED FOAM SYSTEM</t>
  </si>
  <si>
    <t>EC-MY-DED-AA-FIFI-DWG-210-23009</t>
  </si>
  <si>
    <t>TANK FARM 1: T-2104
LAYOUT PLAN, ELEVATION VIEW, ISOMETRIC DIAGRAM AND TYPICAL DETAILS FOR FIXED FOAM SYSTEM</t>
  </si>
  <si>
    <t>EC-MY-DED-AA-FIFI-DWG-210-23010</t>
  </si>
  <si>
    <t>TANK FARM 1: T-2105
LAYOUT PLAN, ELEVATION VIEW, ISOMETRIC DIAGRAM AND TYPICAL DETAILS FOR FIXED FOAM SYSTEM</t>
  </si>
  <si>
    <t>EC-MY-DED-AA-FIFI-DWG-210-23011</t>
  </si>
  <si>
    <t>TANK FARM 1: TRANSFER PUMPS
LAYOUT PLAN AND SCHEMATIC DIAGRAM FOR FIXED WATER SPRAY SYSTEM</t>
  </si>
  <si>
    <t>EC-MY-DED-AA-FIFI-DWG-210-23012</t>
  </si>
  <si>
    <t>TANK FARM 1: T-2101
PIPE SUPPORT FOR FOAM PIPE AND WATER SPRAY PIPE SYSTEM</t>
  </si>
  <si>
    <t>EC-MY-DED-AA-FIFI-DWG-210-23012A</t>
  </si>
  <si>
    <t>TANK FARM 1: T-2101
PIPE SUPPORT FOR FOAM PIPE AND WATER SPRAY PIPE SYSTEM</t>
  </si>
  <si>
    <t>EC-MY-DED-AA-FIFI-DWG-210-23013</t>
  </si>
  <si>
    <t>TANK FARM 1: T-2102
PIPE SUPPORT FOR FOAM PIPE AND WATER SPRAY PIPE SYSTEM</t>
  </si>
  <si>
    <t>EC-MY-DED-AA-FIFI-DWG-210-23013A</t>
  </si>
  <si>
    <t>TANK FARM 1: T-2102
PIPE SUPPORT FOR FOAM PIPE AND WATER SPRAY PIPE SYSTEM</t>
  </si>
  <si>
    <t>EC-MY-DED-AA-FIFI-DWG-210-23014</t>
  </si>
  <si>
    <t>TANK FARM 1: T-2103
PIPE SUPPORT FOR FOAM PIPE AND WATER SPRAY PIPE SYSTEM</t>
  </si>
  <si>
    <t>EC-MY-DED-AA-FIFI-DWG-210-23015</t>
  </si>
  <si>
    <t>TANK FARM 1: T-2104
PIPE SUPPORT FOR FOAM PIPE AND WATER SPRAY PIPE SYSTEM</t>
  </si>
  <si>
    <t>EC-MY-DED-AA-FIFI-DWG-210-23016</t>
  </si>
  <si>
    <t>TANK FARM 1: T-2105
PIPE SUPPORT FOR FOAM PIPE AND WATER SPRAY PIPE SYSTEM</t>
  </si>
  <si>
    <t>EC-MY-DED-AA-FIFI-DWG-210-23018</t>
  </si>
  <si>
    <r>
      <rPr>
        <sz val="11"/>
        <rFont val="Times New Roman"/>
        <charset val="134"/>
      </rPr>
      <t>TANK FARM 1:
-</t>
    </r>
    <r>
      <rPr>
        <sz val="11"/>
        <rFont val="Arial"/>
        <charset val="134"/>
      </rPr>
      <t xml:space="preserve">	</t>
    </r>
    <r>
      <rPr>
        <sz val="11"/>
        <rFont val="Times New Roman"/>
        <charset val="134"/>
      </rPr>
      <t>LAYOUT PLAN FOR GAS DETECTION SYSTEM
-</t>
    </r>
    <r>
      <rPr>
        <sz val="11"/>
        <rFont val="Arial"/>
        <charset val="134"/>
      </rPr>
      <t xml:space="preserve">	</t>
    </r>
    <r>
      <rPr>
        <sz val="11"/>
        <rFont val="Times New Roman"/>
        <charset val="134"/>
      </rPr>
      <t>LAYOUT PLAN FOR FLAME DETECTION SYSTEM</t>
    </r>
  </si>
  <si>
    <t>EC-MY-DED-AA-FIFI-DWG-210-23019</t>
  </si>
  <si>
    <r>
      <rPr>
        <sz val="11"/>
        <rFont val="Times New Roman"/>
        <charset val="134"/>
      </rPr>
      <t>TANK FARM 1:
-</t>
    </r>
    <r>
      <rPr>
        <sz val="11"/>
        <rFont val="Arial"/>
        <charset val="134"/>
      </rPr>
      <t xml:space="preserve">	</t>
    </r>
    <r>
      <rPr>
        <sz val="11"/>
        <rFont val="Times New Roman"/>
        <charset val="134"/>
      </rPr>
      <t>SCHEDULE OF GAS DETECTOR AND FLAME DETECTOR</t>
    </r>
  </si>
  <si>
    <t>EC-MY-DED-AA-FIFI-DWG-210-23020</t>
  </si>
  <si>
    <r>
      <rPr>
        <sz val="11"/>
        <rFont val="Times New Roman"/>
        <charset val="134"/>
      </rPr>
      <t>TANK FARM 1:
-</t>
    </r>
    <r>
      <rPr>
        <sz val="11"/>
        <rFont val="Arial"/>
        <charset val="134"/>
      </rPr>
      <t xml:space="preserve">	</t>
    </r>
    <r>
      <rPr>
        <sz val="11"/>
        <rFont val="Times New Roman"/>
        <charset val="134"/>
      </rPr>
      <t>OVERALL FIXED WATER SPRAY SYSTEM</t>
    </r>
  </si>
  <si>
    <t>EC-MY-DED-AA-FIFI-DWG-210-23021</t>
  </si>
  <si>
    <r>
      <rPr>
        <sz val="11"/>
        <rFont val="Times New Roman"/>
        <charset val="134"/>
      </rPr>
      <t>TANK FARM 1:
-</t>
    </r>
    <r>
      <rPr>
        <sz val="11"/>
        <rFont val="Arial"/>
        <charset val="134"/>
      </rPr>
      <t xml:space="preserve">	</t>
    </r>
    <r>
      <rPr>
        <sz val="11"/>
        <rFont val="Times New Roman"/>
        <charset val="134"/>
      </rPr>
      <t>OVERALL FIXED FOAM SYSTEM</t>
    </r>
  </si>
  <si>
    <t>EC-MY-DED-AA-FIFI-DWG-210-23022</t>
  </si>
  <si>
    <t>PIPING ISOMETRIC DRAWING</t>
  </si>
  <si>
    <t>EC-MY-DED-AA-FIFI-DWG-210-23023</t>
  </si>
  <si>
    <t>EC-MY-DED-AA-FIFI-DWG-210-23024</t>
  </si>
  <si>
    <t>TANK FARM 1:
- OVERALL WATER SPRAY AND FIXED FOAM SYSTEM</t>
  </si>
  <si>
    <t>EC-MY-DED-AA-FIFI-DWG-210-23025</t>
  </si>
  <si>
    <t>TANK FARM 1:
- LINEAR HEAT DETECTOR</t>
  </si>
  <si>
    <t>EC-MY-DED-AA-FIFI-DWG-210-23026</t>
  </si>
  <si>
    <t>TANK FARM 1:
- FIRE PIPE RACK FOUNDATION LAYOUT PLAN</t>
  </si>
  <si>
    <t>EC-MY-CON-PCC-FF-DWG-220-24001</t>
  </si>
  <si>
    <t>TANK FARM 2
- FIRE &amp; GAS LAYOUT DRAWINGS</t>
  </si>
  <si>
    <t>EC-MY-DED-AA-FIFI-DWG-220-23001</t>
  </si>
  <si>
    <t>TANK FARM 2: T-2204
LAYOUT PLAN, ELEVATION VIEW, ISOMETRIC DIAGRAM AND TYPICAL DETAILS FOR FIXED WATER SPRAY
SYSTEM</t>
  </si>
  <si>
    <t>EC-MY-CON-PCC-FF-DWG-220-24002</t>
  </si>
  <si>
    <t>TANK FARM 2 - LAYOUT PLAN DRAWINGS FOR LINEAR HEAT DETECTOR</t>
  </si>
  <si>
    <t>EC-MY-DED-AA-FIFI-DWG-220-23001A</t>
  </si>
  <si>
    <t>TANK FARM 2: T-2204
LAYOUT PLAN, ELEVATION VIEW, ISOMETRIC DIAGRAM AND TYPICAL DETAILS FOR FIXED WATER SPRAY
SYSTEM</t>
  </si>
  <si>
    <t>EC-MY-CON-PCC-FF-DWG-220-24003</t>
  </si>
  <si>
    <t>TANK FARM 2 - SCHEMATIC DRAWINGS FOR LINEAR HEAT DETECTOR</t>
  </si>
  <si>
    <t>EC-MY-DED-AA-FIFI-DWG-220-23002</t>
  </si>
  <si>
    <t>TANK FARM 2: T-2205
LAYOUT PLAN, ELEVATION VIEW, ISOMETRIC DIAGRAM AND TYPICAL DETAILS FOR FIXED WATER SPRAY
SYSTEM</t>
  </si>
  <si>
    <t>EC-MY-CON-PCC-FF-DWG-220-24004</t>
  </si>
  <si>
    <t>TANK FARM 2 - INSTALLATION DETAIL DRAWINGS FOR LINEAR HEAT DETECTOR</t>
  </si>
  <si>
    <t>EC-MY-DED-AA-FIFI-DWG-220-23002A</t>
  </si>
  <si>
    <t>TANK FARM 2: T-2205
LAYOUT PLAN, ELEVATION VIEW, ISOMETRIC DIAGRAM AND TYPICAL DETAILS FOR FIXED WATER SPRAY
SYSTEM</t>
  </si>
  <si>
    <t>EC-MY-CON-PCC-FF-DWG-220-24005</t>
  </si>
  <si>
    <t>TANK FARM 2 
- INSTRUMENT CABLE ROUTING</t>
  </si>
  <si>
    <t>EC-MY-DED-AA-FIFI-DWG-220-23003</t>
  </si>
  <si>
    <t>TANK FARM 2: T-2206
LAYOUT PLAN, ELEVATION VIEW, ISOMETRIC DIAGRAM AND TYPICAL DETAILS FOR FIXED WATER SPRAY
SYSTEM</t>
  </si>
  <si>
    <t>EC-MY-CON-PCC-FF-DWG-220-24006</t>
  </si>
  <si>
    <t>TANK FARM 2 - INSTRUMENT HOOK-UP DRAWINGS FOR FIRE AND GAS SYSTEM</t>
  </si>
  <si>
    <t>EC-MY-DED-AA-FIFI-DWG-220-23003A</t>
  </si>
  <si>
    <t>TANK FARM 2: T-2206
LAYOUT PLAN, ELEVATION VIEW, ISOMETRIC DIAGRAM AND TYPICAL DETAILS FOR FIXED WATER SPRAY
SYSTEM</t>
  </si>
  <si>
    <t>EC-MY-CON-PCC-FF-DWG-220-24007</t>
  </si>
  <si>
    <t>TANK FARM 2 - GENERAL ARRANGEMENT FOR 7000L PRE-PIPED HORIZONTAL FOAM BLADDER TANK</t>
  </si>
  <si>
    <t>EC-MY-DED-AA-FIFI-DWG-220-23004</t>
  </si>
  <si>
    <t>TANK FARM 2: T-2203
LAYOUT PLAN, ELEVATION VIEW, ISOMETRIC DIAGRAM AND TYPICAL DETAILS FOR FIXED WATER SPRAY
SYSTEM</t>
  </si>
  <si>
    <t>EC-MY-CON-PCC-FF-DWG-220-24008</t>
  </si>
  <si>
    <t>TANK FARM 2  - GENERAL ARRANGEMENT FOR  FOAM CHAMBER</t>
  </si>
  <si>
    <t>EC-MY-DED-AA-FIFI-DWG-220-23004A</t>
  </si>
  <si>
    <t>TANK FARM 2: T-2203
LAYOUT PLAN, ELEVATION VIEW, ISOMETRIC DIAGRAM AND TYPICAL DETAILS FOR FIXED WATER SPRAY
SYSTEM</t>
  </si>
  <si>
    <t>EC-MY-DED-AA-FIFI-DWG-220-23005</t>
  </si>
  <si>
    <t>TANK FARM 2: T-2202
LAYOUT PLAN, ELEVATION VIEW, ISOMETRIC DIAGRAM AND TYPICAL DETAILS FOR FIXED WATER SPRAY
SYSTEM</t>
  </si>
  <si>
    <t>EC-MY-DED-AA-FIFI-DWG-220-23005A</t>
  </si>
  <si>
    <t>TANK FARM 2: T-2202
LAYOUT PLAN, ELEVATION VIEW, ISOMETRIC DIAGRAM AND TYPICAL DETAILS FOR FIXED WATER SPRAY
SYSTEM</t>
  </si>
  <si>
    <t>EC-MY-DED-AA-FIFI-DWG-220-23006</t>
  </si>
  <si>
    <t>TANK FARM 2: T-2201
LAYOUT PLAN, ELEVATION VIEW, ISOMETRIC DIAGRAM AND TYPICAL DETAILS FOR FIXED WATER SPRAY
SYSTEM</t>
  </si>
  <si>
    <t>EC-MY-DED-AA-FIFI-DWG-220-23006A</t>
  </si>
  <si>
    <t>TANK FARM 2: T-2201
LAYOUT PLAN, ELEVATION VIEW, ISOMETRIC DIAGRAM AND TYPICAL DETAILS FOR FIXED WATER SPRAY
SYSTEM</t>
  </si>
  <si>
    <t>EC-MY-DED-AA-FIFI-DWG-220-23007</t>
  </si>
  <si>
    <t>TANK FARM 2: T-2204
LAYOUT PLAN, ELEVATION VIEW, ISOMETRIC DIAGRAM AND TYPICAL DETAILS FOR FIXED FOAM SYSTEM</t>
  </si>
  <si>
    <t>EC-MY-DED-AA-FIFI-DWG-220-23008</t>
  </si>
  <si>
    <t>TANK FARM 2: T-2205
LAYOUT PLAN, ELEVATION VIEW, ISOMETRIC DIAGRAM AND TYPICAL DETAILS FOR FIXED FOAM SYSTEM</t>
  </si>
  <si>
    <t>EC-MY-DED-AA-FIFI-DWG-220-23009</t>
  </si>
  <si>
    <t>TANK FARM 2: T-2206
LAYOUT PLAN, ELEVATION VIEW, ISOMETRIC DIAGRAM AND TYPICAL DETAILS FOR FIXED FOAM SYSTEM</t>
  </si>
  <si>
    <t>EC-MY-DED-AA-FIFI-DWG-220-23010</t>
  </si>
  <si>
    <t>TANK FARM 2: T-2203
LAYOUT PLAN, ELEVATION VIEW, ISOMETRIC DIAGRAM AND TYPICAL DETAILS FOR FIXED FOAM SYSTEM</t>
  </si>
  <si>
    <t>EC-MY-DED-AA-FIFI-DWG-220-23011</t>
  </si>
  <si>
    <t>TANK FARM 2: T-2202
LAYOUT PLAN, ELEVATION VIEW, ISOMETRIC DIAGRAM AND TYPICAL DETAILS FOR FIXED FOAM SYSTEM</t>
  </si>
  <si>
    <t>EC-MY-DED-AA-FIFI-DWG-220-23012</t>
  </si>
  <si>
    <t>TANK FARM 2: T-2201
LAYOUT PLAN, ELEVATION VIEW, ISOMETRIC DIAGRAM AND TYPICAL DETAILS FOR FIXED FOAM SYSTEM</t>
  </si>
  <si>
    <t>EC-MY-DED-AA-FIFI-DWG-220-23013</t>
  </si>
  <si>
    <t>TANK FARM 2: TRANSFER PUMPS
LAYOUT PLAN AND SCHEMATIC DIAGRAM FOR FIXED WATER SPRAY SYSTEM</t>
  </si>
  <si>
    <t>EC-MY-DED-AA-FIFI-DWG-220-23014</t>
  </si>
  <si>
    <t>TANK FARM 2: T-2204
PIPE SUPPORT FOR FOAM PIPE AND WATER SPRAY PIPE SYSTEM</t>
  </si>
  <si>
    <t>EC-MY-DED-AA-FIFI-DWG-220-23014A</t>
  </si>
  <si>
    <t>TANK FARM 2: T-2204
PIPE SUPPORT FOR FOAM PIPE AND WATER SPRAY PIPE SYSTEM</t>
  </si>
  <si>
    <t>EC-MY-DED-AA-FIFI-DWG-220-23015</t>
  </si>
  <si>
    <t>TANK FARM 2: T-2205
PIPE SUPPORT FOR FOAM PIPE AND WATER SPRAY PIPE SYSTEM</t>
  </si>
  <si>
    <t>EC-MY-DED-AA-FIFI-DWG-220-23015A</t>
  </si>
  <si>
    <t>TANK FARM 2: T-2205
PIPE SUPPORT FOR FOAM PIPE AND WATER SPRAY PIPE SYSTEM</t>
  </si>
  <si>
    <t>EC-MY-DED-AA-FIFI-DWG-220-23016</t>
  </si>
  <si>
    <t>TANK FARM 2: T-2206
PIPE SUPPORT FOR FOAM PIPE AND WATER SPRAY PIPE SYSTEM</t>
  </si>
  <si>
    <t>EC-MY-DED-AA-FIFI-DWG-220-23016A</t>
  </si>
  <si>
    <t>TANK FARM 2: T-2206
PIPE SUPPORT FOR FOAM PIPE AND WATER SPRAY PIPE SYSTEM</t>
  </si>
  <si>
    <t>EC-MY-DED-AA-FIFI-DWG-220-23017</t>
  </si>
  <si>
    <t>TANK FARM 2: T-2203
PIPE SUPPORT FOR FOAM PIPE AND WATER SPRAY PIPE SYSTEM</t>
  </si>
  <si>
    <t>EC-MY-DED-AA-FIFI-DWG-220-23017A</t>
  </si>
  <si>
    <t>TANK FARM 2: T-2203
PIPE SUPPORT FOR FOAM PIPE AND WATER SPRAY PIPE SYSTEM</t>
  </si>
  <si>
    <t>EC-MY-DED-AA-FIFI-DWG-220-23018</t>
  </si>
  <si>
    <t>TANK FARM 2: T-2202
PIPE SUPPORT FOR FOAM PIPE AND WATER SPRAY PIPE SYSTEM</t>
  </si>
  <si>
    <t>EC-MY-DED-AA-FIFI-DWG-220-23018A</t>
  </si>
  <si>
    <t>TANK FARM 2: T-2202
PIPE SUPPORT FOR FOAM PIPE AND WATER SPRAY PIPE SYSTEM</t>
  </si>
  <si>
    <t>EC-MY-DED-AA-FIFI-DWG-220-23019</t>
  </si>
  <si>
    <t>TANK FARM 2: T-2201
PIPE SUPPORT FOR FOAM PIPE AND WATER SPRAY PIPE SYSTEM</t>
  </si>
  <si>
    <t>EC-MY-DED-AA-FIFI-DWG-220-23019A</t>
  </si>
  <si>
    <t>TANK FARM 2: T-2201
PIPE SUPPORT FOR FOAM PIPE AND WATER SPRAY PIPE SYSTEM</t>
  </si>
  <si>
    <t>EC-MY-DED-AA-FIFI-DWG-220-23020</t>
  </si>
  <si>
    <t>TANK FARM 1:
- LONG RANGE MONITOR PLATFORM FOUNDATION LAYOUT PLAN</t>
  </si>
  <si>
    <t>EC-MY-DED-AA-FIFI-DWG-220-23021</t>
  </si>
  <si>
    <t>TANK FARM 1:
- LONG RANGE MONITOR PLATFORM LAYOUT PLAN</t>
  </si>
  <si>
    <t>EC-MY-DED-AA-FIFI-DWG-220-23022</t>
  </si>
  <si>
    <t>TANK FARM 2:
- OVERALL FIXED WATER SPRAY SYSTEM</t>
  </si>
  <si>
    <t>EC-MY-DED-AA-FIFI-DWG-220-23023</t>
  </si>
  <si>
    <t>TANK FARM 2:
- OVERALL FIXED FOAM SYSTEM</t>
  </si>
  <si>
    <t>EC-MY-DED-AA-FIFI-DWG-220-23024</t>
  </si>
  <si>
    <t>EC-MY-DED-AA-FIFI-DWG-220-23025</t>
  </si>
  <si>
    <t>EC-MY-DED-AA-FIFI-DWG-220-23026</t>
  </si>
  <si>
    <t>TANK FARM 2:
FIRE PIPE RACK FOUNDATION LAYOUT PLAN</t>
  </si>
  <si>
    <t>EC-MY-DED-AA-FIFI-DWG-220-23027</t>
  </si>
  <si>
    <t>TANK FARM 2:
FIRE PIPE RACK STRUCTURE LAYOUT PLAN</t>
  </si>
  <si>
    <t>EC-MY-DED-AA-FIFI-DWG-220-23028</t>
  </si>
  <si>
    <t>TANK FARM 2:
FIRE PIPE RACK STRUCTURE DETAILS</t>
  </si>
  <si>
    <t>EC-MY-CON-PCC-FF-DWG-230-24001</t>
  </si>
  <si>
    <t>TANK FARM 3
- FIRE &amp; GAS LAYOUT DRAWINGS</t>
  </si>
  <si>
    <t>EC-MY-DED-AA-FIFI-DWG-230-23001</t>
  </si>
  <si>
    <r>
      <rPr>
        <sz val="11"/>
        <rFont val="Times New Roman"/>
        <charset val="134"/>
      </rPr>
      <t>TANK FARM 3:
-</t>
    </r>
    <r>
      <rPr>
        <sz val="11"/>
        <rFont val="Arial"/>
        <charset val="134"/>
      </rPr>
      <t xml:space="preserve">	</t>
    </r>
    <r>
      <rPr>
        <sz val="11"/>
        <rFont val="Times New Roman"/>
        <charset val="134"/>
      </rPr>
      <t>LAYOUT PLAN FOR GAS DETECTION SYSTEM
-</t>
    </r>
    <r>
      <rPr>
        <sz val="11"/>
        <rFont val="Arial"/>
        <charset val="134"/>
      </rPr>
      <t xml:space="preserve">	</t>
    </r>
    <r>
      <rPr>
        <sz val="11"/>
        <rFont val="Times New Roman"/>
        <charset val="134"/>
      </rPr>
      <t>LAYOUT PLAN FOR FLAME DETECTION SYSTEM
-</t>
    </r>
    <r>
      <rPr>
        <sz val="11"/>
        <rFont val="Arial"/>
        <charset val="134"/>
      </rPr>
      <t xml:space="preserve">	</t>
    </r>
    <r>
      <rPr>
        <sz val="11"/>
        <rFont val="Times New Roman"/>
        <charset val="134"/>
      </rPr>
      <t>SCHEDULE OF GAS DETECTOR AND FLAME DETECTOR</t>
    </r>
  </si>
  <si>
    <t>EC-MY-CON-PCC-FF-DWG-230-24002</t>
  </si>
  <si>
    <t>TANK FARM 3 
- INSTRUMENT CABLE ROUTING</t>
  </si>
  <si>
    <t>EC-MY-CON-PCC-FF-DWG-230-24003</t>
  </si>
  <si>
    <t>TANK FARM 3 - INSTRUMENT HOOK-UP DRAWINGS FOR FIRE AND GAS SYSTEM</t>
  </si>
  <si>
    <t>EC-MY-CON-PCC-ELV-DWG-250-25001</t>
  </si>
  <si>
    <t>Outdoor video surveillance</t>
  </si>
  <si>
    <t>ECRF01-250-CE-DW-00-0001</t>
  </si>
  <si>
    <t>CCTV SYSTEM BLOCK DRAWING</t>
  </si>
  <si>
    <t>ECRF01-250-CE-DW-00-0002</t>
  </si>
  <si>
    <t>TELECOM FIBER OPTICAL CABLE INTERCONNECTION</t>
  </si>
  <si>
    <t>ECRF01-250-CE-DW-00-0003</t>
  </si>
  <si>
    <t>CCTV SYSTEM LAYOUT &amp; CABLES ROUTE 1</t>
  </si>
  <si>
    <t>ECRF01-250-CE-DW-00-0004</t>
  </si>
  <si>
    <t>CCTV SYSTEM LAYOUT &amp; CABLES ROUTE 2</t>
  </si>
  <si>
    <t>EC-MY-CON-PCC-FF-DWG-310-24001</t>
  </si>
  <si>
    <t>WATER TREATMENT - PLAN VIEW FIRE AND GAS LOCATION LAYOUT PLAN</t>
  </si>
  <si>
    <t>EC-MY-DED-AA-FIFI-DWG-310-23001</t>
  </si>
  <si>
    <t>WATER TREATMENT:
PLAN VIEW
- LAYOUT PLAN FOR HOSE REEL SYSTEM, FIRE ALARM SYSTEM &amp; PORTABLE FIRE EXTINGUISHER
- ISOMETRIC DIAGRAM FOR HOSE REEL SYSTEM</t>
  </si>
  <si>
    <t>EC-MY-CON-PCC-FF-DWG-310-24002</t>
  </si>
  <si>
    <t>WATER TREATMENT - LOCATION LAYOUT PLAN FOR FIXED GASEOUS FIRE SUPPRESSION SYSTEM</t>
  </si>
  <si>
    <t>EC-MY-DED-AA-FIFI-DWG-310-23002</t>
  </si>
  <si>
    <t>WATER TREATMENT:
SECTIONAL VIEW</t>
  </si>
  <si>
    <t>EC-MY-CON-PCC-FF-DWG-310-24003</t>
  </si>
  <si>
    <t>WATER TREATMENT - INSTRUMENT CABLE ROUTING ISOMETRIC DIAGRAM FOR HOSE REEL SYSTEM</t>
  </si>
  <si>
    <t>EC-MY-DED-AA-FIFI-DWG-310-23003</t>
  </si>
  <si>
    <t>EC-MY-CON-PCC-FF-DWG-310-24004</t>
  </si>
  <si>
    <t>WATER TREATMENT - FIRE AND GAS CABLE ROUTING LAYOUT</t>
  </si>
  <si>
    <t>EC-MY-DED-AA-FIFI-DWG-310-23004</t>
  </si>
  <si>
    <t>WATER TREATMENT:
ELEVATION VIEW</t>
  </si>
  <si>
    <t>EC-MY-CON-PCC-FF-DWG-310-24005</t>
  </si>
  <si>
    <t>WATER TREATMENT - CABLE ROUTING LAYOUT FOR FIXED GASEOUS FIRE SUPPRESSION SYSTEM</t>
  </si>
  <si>
    <t>EC-MY-DED-AA-FIFI-DWG-310-23005</t>
  </si>
  <si>
    <t>WATER TREATMENT:
PLAN VIEW
- LAYOUT PLAN FOR AUTOMATIC FIXED GASEOUS FIRE SUPPRESSION SYSTEM
- ISOMETRIC DIAGRAM AND SCHEMATIC DIAGRAM FOR FIXED GASEOUS FIRE SUPPRESSION SYSTEM</t>
  </si>
  <si>
    <t>EC-MY-CON-PCC-FF-DWG-310-24006</t>
  </si>
  <si>
    <t>WATER TREATMENT 
- ISOMETRIC DIAGRAM &amp; PIPING LAYOUT FOR FIXED GASEOUS FIRE SUPPRESSION SYSTEM</t>
  </si>
  <si>
    <t>EC-MY-CON-PCC-FF-DWG-310-24007</t>
  </si>
  <si>
    <t>WATER TREATMENT 
- GENERAL ARRANGEMENT DRAWINGS FOR FIXED GASEOUS FIRE SUPPRESSION CYLINDER</t>
  </si>
  <si>
    <t>EC-MY-CON-PCC-ELV-DWG-310-25001</t>
  </si>
  <si>
    <t>310#1st floor video surveillance plan</t>
  </si>
  <si>
    <t>ECRF01-310-CE-DW-00-0001</t>
  </si>
  <si>
    <t>CCTV SYSTEM LAYOUT ON THE FIRST FLOOR</t>
  </si>
  <si>
    <t>ECRF01-310-CE-DW-00-0002</t>
  </si>
  <si>
    <t>CCTV SYSTEM LAYOUT ON THE SECOND FLOOR</t>
  </si>
  <si>
    <t>ECRF01-310-CE-DW-00-0003</t>
  </si>
  <si>
    <t>TELECOM SYSTEM BLOCK DIAGRAM</t>
  </si>
  <si>
    <t>ECRF01-310-CE-EL-00-0001</t>
  </si>
  <si>
    <t>TELECOM EQUIPMENT LIST</t>
  </si>
  <si>
    <t>ECRF01-310-CE-MTO-00-0001</t>
  </si>
  <si>
    <t>TELECOM MATERIAL TAKE-OFF</t>
  </si>
  <si>
    <t>ECRF01-310-CE-NM-00-0001</t>
  </si>
  <si>
    <t>TELECOM CABLE SCHEDULE</t>
  </si>
  <si>
    <t>ECRF01-310-EE-DW-00-0001</t>
  </si>
  <si>
    <t>LIGHTING AND SMALL POWER LAYOUT</t>
  </si>
  <si>
    <t>ECRF01-310-EE-DW-00-0002</t>
  </si>
  <si>
    <t>LIGHTING CIRCUIT BLOCK DIAGRAMS 310LP1</t>
  </si>
  <si>
    <t>ECRF01-310-EE-DW-00-0003</t>
  </si>
  <si>
    <t xml:space="preserve">MAIN CABLE ROUTE AG &amp; UG LAYOUT &amp; SECTION </t>
  </si>
  <si>
    <t>ECRF01-310-EE-DW-00-0004</t>
  </si>
  <si>
    <t>GROUNDING INSTALLATION LAYOUT</t>
  </si>
  <si>
    <t>ECRF01-310-EE-DW-00-0005</t>
  </si>
  <si>
    <t>LIGHTNING INSTALLATION LAYOUT</t>
  </si>
  <si>
    <t>ECRF01-310-EE-DW-00-0006</t>
  </si>
  <si>
    <t xml:space="preserve"> LIGHTING AND SMALL POWER LAYOUT OF BUILDING</t>
  </si>
  <si>
    <t>ECRF01-310-EE-DW-00-0007</t>
  </si>
  <si>
    <t>LIGHTING CIRCUIT BLOCK DIAGRAMS 310LP2</t>
  </si>
  <si>
    <t>ECRF01-310-EE-MTO-00-0001</t>
  </si>
  <si>
    <t>POWER ELECTRICAL MATERIAL TAKE OFF</t>
  </si>
  <si>
    <t>ECRF01-310-EE-MTO-00-0002</t>
  </si>
  <si>
    <t xml:space="preserve">GROUNDING &amp; LIGHTNING SYSTEM MATERIAL TAKE OFF </t>
  </si>
  <si>
    <t>ECRF01-310-EE-MTO-00-0003</t>
  </si>
  <si>
    <t xml:space="preserve">LIGHTING ELECTRICAL MATERIAL TAKE OFF </t>
  </si>
  <si>
    <t>ECRF01-310-EE-NM-00-0001</t>
  </si>
  <si>
    <t>ELECTRICAL LOAD LIST</t>
  </si>
  <si>
    <t>ECRF01-310-EE-NM-00-0002</t>
  </si>
  <si>
    <t xml:space="preserve">ELECTRICAL CABLE SCHEDULE </t>
  </si>
  <si>
    <t>EC-MY-CON-PCC-FF-DWG-320-24001</t>
  </si>
  <si>
    <t>BOILER 
- LAYOUT PLAN DRAWINGS</t>
  </si>
  <si>
    <t>EC-MY-DED-AA-FIFI-DWG-320-23001</t>
  </si>
  <si>
    <t>BOILER:
PLAN VIEW
- LAYOUT PLAN FOR HOSE REEL SYSTEM, FIRE ALARM SYSTEM &amp; PORTABLE FIRE EXTINGUISHER
- ISOMETRIC DIAGRAM FOR HOSE REEL SYSTEM</t>
  </si>
  <si>
    <t>EC-MY-CON-PCC-FF-DWG-320-24002</t>
  </si>
  <si>
    <t>BOILER 
- LAYOUT PLAN FOR FIRE AND GAS DETECTION SYSTEM</t>
  </si>
  <si>
    <t>EC-MY-DED-AA-FIFI-DWG-320-23002</t>
  </si>
  <si>
    <t>BOILER:
ELEVATION VIEW</t>
  </si>
  <si>
    <t>EC-MY-CON-PCC-FF-DWG-320-24003</t>
  </si>
  <si>
    <t>BOILER 
- SECTION DRAWINGS</t>
  </si>
  <si>
    <t>EC-MY-DED-AA-FIFI-DWG-320-23003</t>
  </si>
  <si>
    <t>BOILER:
- LAYOUT PLAN FOR GAS DETECTION SYSTEM
- LAYOUT PLAN FOR FLAME DETECTION SYSTEM
- SCHEDULE OF GAS DETECTOR AND FLAME DETECTOR</t>
  </si>
  <si>
    <t>EC-MY-CON-PCC-FF-DWG-320-24004</t>
  </si>
  <si>
    <t>BOILER 
- INSTRUMENT CABLE ROUTING</t>
  </si>
  <si>
    <t>EC-MY-CON-PCC-FF-DWG-320-24005</t>
  </si>
  <si>
    <t>BOILER - ISOMETRIC DIAGRAM FOR HOSE REEL SYSTEM</t>
  </si>
  <si>
    <t>EC-MY-CON-PCC-ELV-DWG-320-25001</t>
  </si>
  <si>
    <t>320#1st floor video surveillance CCTV FLOOR PLAN</t>
  </si>
  <si>
    <t>ECRF01-320-CE-DW-00-0001</t>
  </si>
  <si>
    <t>CCTV SYSTEM LAYOUT</t>
  </si>
  <si>
    <t>ECRF01-320-CE-DW-00-0002</t>
  </si>
  <si>
    <t>ECRF01-320-CE-EL-00-0001</t>
  </si>
  <si>
    <t>ECRF01-320-CE-MTO-00-0001</t>
  </si>
  <si>
    <t>ECRF01-320-CE-NM-00-0001</t>
  </si>
  <si>
    <t>ECRF01-320-EE-DW-00-0001</t>
  </si>
  <si>
    <t>HAZARDOUS AREA CLASSIFICATION LAYOUT</t>
  </si>
  <si>
    <t>ECRF01-320-EE-DW-00-0002</t>
  </si>
  <si>
    <t>ECRF01-320-EE-DW-00-0003</t>
  </si>
  <si>
    <t>ECRF01-320-EE-DW-00-0004</t>
  </si>
  <si>
    <t>ECRF01-320-EE-DW-00-0005</t>
  </si>
  <si>
    <t>LIGHTING SYSTEM INSTALLATION LAYOUT</t>
  </si>
  <si>
    <t>ECRF01-320-EE-DW-00-0006</t>
  </si>
  <si>
    <t>LIGHTING CIRCUIT BLOCK DIAGRAMS</t>
  </si>
  <si>
    <t>ECRF01-320-EE-DW-00-0007</t>
  </si>
  <si>
    <t xml:space="preserve">CONVENIENCE OUTLETS CIRCUIT BLOCK DIAGRAMS </t>
  </si>
  <si>
    <t>ECRF01-320-EE-MTO-00-0001</t>
  </si>
  <si>
    <t>ECRF01-320-EE-MTO-00-0002</t>
  </si>
  <si>
    <t>ECRF01-320-EE-MTO-00-0003</t>
  </si>
  <si>
    <t>ECRF01-320-EE-NM-00-0001</t>
  </si>
  <si>
    <t>ECRF01-320-EE-NM-00-0002</t>
  </si>
  <si>
    <t>EC-MY-CON-PCC-FF-DWG-330-24001</t>
  </si>
  <si>
    <t>COOLING WATER - LAYOUT PLAN DRAWINGS</t>
  </si>
  <si>
    <t>EC-MY-DED-AA-FIFI-DWG-330-23001</t>
  </si>
  <si>
    <t>COOLING WATER:
PLAN VIEW
- LAYOUT PLAN FOR PORTABLE FIRE EXTINGUISHER</t>
  </si>
  <si>
    <t>EC-MY-CON-PCC-FF-DWG-330-24002</t>
  </si>
  <si>
    <t xml:space="preserve">COOLING WATER  - SECTION DRAWINGS </t>
  </si>
  <si>
    <t>EC-MY-DED-AA-FIFI-DWG-330-23002</t>
  </si>
  <si>
    <t>COOLING WATER:
SECTIONAL VIEW</t>
  </si>
  <si>
    <t>EC-MY-CON-PCC-ELV-DWG-330-25001</t>
  </si>
  <si>
    <t>330#1st floor video surveillance</t>
  </si>
  <si>
    <t>ECRF01-330-CE-DW-00-0001</t>
  </si>
  <si>
    <t>ECRF01-330-CE-DW-00-0002</t>
  </si>
  <si>
    <t>ECRF01-330-CE-EL-00-0001</t>
  </si>
  <si>
    <t>ECRF01-330-CE-MTO-00-0001</t>
  </si>
  <si>
    <t>ECRF01-330-CE-NM-00-0001</t>
  </si>
  <si>
    <t>ECRF01-330-EE-MTO-00-0001</t>
  </si>
  <si>
    <t>ECRF01-330-EE-MTO-00-0002</t>
  </si>
  <si>
    <t>ECRF01-330-EE-NM-00-0002</t>
  </si>
  <si>
    <t>EC-MY-CON-PCC-FF-DWG-340-24001</t>
  </si>
  <si>
    <t>UTILITY (CA, IA, N2) - LAYOUT PLAN DRAWINGS</t>
  </si>
  <si>
    <t>EC-MY-DED-AA-FIFI-DWG-340-23001</t>
  </si>
  <si>
    <t>UTILITY (CA, IA, N2):
PLAN VIEW
- LAYOUT PLAN FOR HOSE REEL SYSTEM, FIRE ALARM SYSTEM &amp; PORTABLE FIRE EXTINGUISHER
- ISOMETRIC DIAGRAM FOR HOSE REEL SYSTEM</t>
  </si>
  <si>
    <t>EC-MY-CON-PCC-FF-DWG-340-24002</t>
  </si>
  <si>
    <t xml:space="preserve">UTILITY (CA, IA, N2)  - SECTION DRAWINGS </t>
  </si>
  <si>
    <t>EC-MY-DED-AA-FIFI-DWG-340-23002</t>
  </si>
  <si>
    <t>UTILITY (CA, IA, N2):
SECTIONAL VIEW</t>
  </si>
  <si>
    <t>EC-MY-CON-PCC-FF-DWG-340-24003</t>
  </si>
  <si>
    <t>UTILITY (CA, IA, N2) - INSTRUMENT CABLE ROUTING</t>
  </si>
  <si>
    <t>EC-MY-DED-AA-FIFI-DWG-340-23003</t>
  </si>
  <si>
    <t>EC-MY-CON-PCC-FF-DWG-340-24004</t>
  </si>
  <si>
    <r>
      <rPr>
        <sz val="11"/>
        <rFont val="Times New Roman"/>
        <charset val="134"/>
      </rPr>
      <t>UTILITY (CA, IA, N2)  - ISOMETRIC DIAGRAM FOR HOSE REEL SYSTEM</t>
    </r>
    <r>
      <rPr>
        <sz val="11"/>
        <rFont val="Arial"/>
        <charset val="134"/>
      </rPr>
      <t xml:space="preserve">														</t>
    </r>
  </si>
  <si>
    <t>EC-MY-CON-PCC-ELV-DWG-340-25001</t>
  </si>
  <si>
    <t>340#1st floor video surveillance</t>
  </si>
  <si>
    <t>ECRF01-340-CE-DW-00-0001</t>
  </si>
  <si>
    <t>ECRF01-340-CE-DW-00-0002</t>
  </si>
  <si>
    <t>ECRF01-340-CE-EL-00-0001</t>
  </si>
  <si>
    <t>ECRF01-340-CE-MTO-00-0001</t>
  </si>
  <si>
    <t>ECRF01-340-CE-NM-00-0001</t>
  </si>
  <si>
    <t>ECRF01-340-EE-DW-00-0001</t>
  </si>
  <si>
    <t>ECRF01-340-EE-DW-00-0002</t>
  </si>
  <si>
    <t>ECRF01-340-EE-DW-00-0003</t>
  </si>
  <si>
    <t>ECRF01-340-EE-DW-00-0004</t>
  </si>
  <si>
    <t>ECRF01-340-EE-DW-00-0005</t>
  </si>
  <si>
    <t>ECRF01-340-EE-DW-00-0006</t>
  </si>
  <si>
    <t xml:space="preserve">SMALL POWER CIRCUIT BLOCK DIAGRAMS </t>
  </si>
  <si>
    <t>ECRF01-340-EE-DW-00-0007</t>
  </si>
  <si>
    <t>SINGLE WIRING DIAGRAM OF WELDING PANEL</t>
  </si>
  <si>
    <t>ECRF01-340-EE-MTO-00-0001</t>
  </si>
  <si>
    <t>ECRF01-340-EE-MTO-00-0002</t>
  </si>
  <si>
    <t>ECRF01-340-EE-MTO-00-0003</t>
  </si>
  <si>
    <t>LIGHTING ELECTRICAL MATERIAL TAKE OFF</t>
  </si>
  <si>
    <t>ECRF01-340-EE-NM-00-0001</t>
  </si>
  <si>
    <t>ECRF01-340-EE-NM-00-0002</t>
  </si>
  <si>
    <t>EC-MY-CON-PCC-ELV-DWG-350-25001</t>
  </si>
  <si>
    <t>ECRF01-350-CE-DW-00-0001</t>
  </si>
  <si>
    <t>ECRF01-350-CE-DW-00-0002</t>
  </si>
  <si>
    <t>ECRF01-350-CE-EL-00-0001</t>
  </si>
  <si>
    <t>ECRF01-350-CE-MTO-00-0001</t>
  </si>
  <si>
    <t>ECRF01-350-CE-NM-00-0001</t>
  </si>
  <si>
    <t>ECRF01-350-EE-DW-00-0001</t>
  </si>
  <si>
    <t>MAIN CABLE ROUTE AG &amp; UG LAYOUT &amp; SECTION</t>
  </si>
  <si>
    <t>ECRF01-350-EE-DW-00-0002</t>
  </si>
  <si>
    <t>ECRF01-350-EE-DW-00-0003</t>
  </si>
  <si>
    <t>ECRF01-350-EE-MTO-00-0001</t>
  </si>
  <si>
    <t>ECRF01-350-EE-MTO-00-0002</t>
  </si>
  <si>
    <t>ECRF01-350-EE-MTO-00-0003</t>
  </si>
  <si>
    <t>ECRF01-350-EE-NM-00-0001</t>
  </si>
  <si>
    <t>ECRF01-350-EE-NM-00-0002</t>
  </si>
  <si>
    <t>EC-MY-CON-PCC-FF-DWG-360-24001</t>
  </si>
  <si>
    <t>NATURAL GAS FACILITIES - LAYOUT PLAN DRAWINGS</t>
  </si>
  <si>
    <t>EC-MY-DED-AA-FIFI-DWG-360-23001</t>
  </si>
  <si>
    <t>NATURAL GAS FACILITIES:
PLAN VIEW
- LAYOUT PLAN FOR PORTABLE FIRE EXTINGUISHER, FIRE ALARM SYSTEM AND GAS DETECTOR</t>
  </si>
  <si>
    <t>1</t>
  </si>
  <si>
    <t>EC-MY-CON-PCC-FF-DWG-360-24002</t>
  </si>
  <si>
    <t>NATURAL GAS FACILITIES - SECTION DRAWINGS</t>
  </si>
  <si>
    <t>EC-MY-DED-AA-FIFI-DWG-360-23002</t>
  </si>
  <si>
    <t>NATURAL GAS FACILITIES:
ELEVATION AND SECTIONAL VIEWS</t>
  </si>
  <si>
    <t>EC-MY-CON-PCC-FF-DWG-360-24003</t>
  </si>
  <si>
    <t>NATURAL GAS FACILITIES - INSTRUMENT CABLE ROUTING</t>
  </si>
  <si>
    <t>EC-MY-CON-PCC-FF-DWG-360-24004</t>
  </si>
  <si>
    <t>NATURAL GAS FACILITIES - INSTRUMENT HOOK-UP DRAWINGS FOR FIRE AND GAS SYSTEM</t>
  </si>
  <si>
    <t>EC-MY-CON-PCC-FF-DWG-380-24001</t>
  </si>
  <si>
    <t>EXCESS STEAM RECOVERY SYSTEM - LAYOUT PLAN DRAWINGS</t>
  </si>
  <si>
    <t>EC-MY-DED-AA-FIFI-DWG-380-23001</t>
  </si>
  <si>
    <t>EXCESS STEAM RECOVERY SYSTEM:
PLAN VIEWS
- LAYOUT PLAN FOR HOSE REEL SYSTEM, FIRE ALARM SYSTEM &amp; PORTABLE FIRE EXTINGUISHER
- ISOMETRIC DIAGRAM FOR HOSE REEL SYSTEM</t>
  </si>
  <si>
    <t>EC-MY-CON-PCC-FF-DWG-380-24003</t>
  </si>
  <si>
    <t>EXCESS STEAM RECOVERY SYSTEM - INSTRUMENT CABLE ROUTING</t>
  </si>
  <si>
    <t>EC-MY-DED-AA-FIFI-DWG-380-23002</t>
  </si>
  <si>
    <t>EXCESS STEAM RECOVERY SYSTEM:
ELEVATION VIEW</t>
  </si>
  <si>
    <t>EC-MY-CON-PCC-FF-DWG-380-24004</t>
  </si>
  <si>
    <t>EXCESS STEAM RECOVERY SYSTEM - ISOMETRIC DIAGRAM FOR HOSE REEL SYSTEM</t>
  </si>
  <si>
    <t>EC-MY-CON-PCC-FF-DWG-380-24002</t>
  </si>
  <si>
    <t>EXCESS STEAM RECOVERY SYSTEM - SECTION DRAWINGS</t>
  </si>
  <si>
    <t>EC-MY-CON-PCC-ELV-DWG-380-25001</t>
  </si>
  <si>
    <t>380#1st floor video surveillance</t>
  </si>
  <si>
    <t>ECRF01-380-CE-DW-00-0001</t>
  </si>
  <si>
    <t>ECRF01-380-CE-DW-00-0002</t>
  </si>
  <si>
    <t>ECRF01-380-CE-EL-00-0001</t>
  </si>
  <si>
    <t>ECRF01-380-CE-MTO-00-0001</t>
  </si>
  <si>
    <t>ECRF01-380-CE-NM-00-0001</t>
  </si>
  <si>
    <t>ECRF01-380-EE-DW-00-0001</t>
  </si>
  <si>
    <t>ECRF01-380-EE-DW-00-0002</t>
  </si>
  <si>
    <t>LIGHTING CIRCUIT BLOCK DIAGRAMS 380LP1</t>
  </si>
  <si>
    <t>ECRF01-380-EE-DW-00-0003</t>
  </si>
  <si>
    <t>ECRF01-380-EE-DW-00-0004</t>
  </si>
  <si>
    <t>ECRF01-380-EE-MTO-00-0001</t>
  </si>
  <si>
    <t>POWER MATERIAL TAKE OFF</t>
  </si>
  <si>
    <t>ECRF01-380-EE-MTO-00-0002</t>
  </si>
  <si>
    <t>ECRF01-380-EE-MTO-00-0003</t>
  </si>
  <si>
    <t xml:space="preserve">LIGHTING MATERIAL TAKE OFF </t>
  </si>
  <si>
    <t>ECRF01-380-EE-NM-00-0001</t>
  </si>
  <si>
    <t>ECRF01-380-EE-NM-00-0002</t>
  </si>
  <si>
    <t>EC-MY-CON-PCC-FF-DWG-390-24001</t>
  </si>
  <si>
    <t>GFS 
- LAYOUT PLAN DRAWINGS</t>
  </si>
  <si>
    <t>EC-MY-DED-AA-FIFI-DWG-390-23001</t>
  </si>
  <si>
    <t>GFS:
PLAN VIEW
- LAYOUT PLAN FOR HOSE REEL SYSTEM, FIRE ALARM SYSTEM &amp; PORTABLE FIRE EXTINGUISHER</t>
  </si>
  <si>
    <t>EC-MY-CON-PCC-FF-DWG-390-24002</t>
  </si>
  <si>
    <t>GFS 
- LAYOUT PLAN FOR FIRE AND GAS DETECTION SYSTEM</t>
  </si>
  <si>
    <t>EC-MY-DED-AA-FIFI-DWG-390-23002</t>
  </si>
  <si>
    <t>GFS:
- ELEVATION VIEW
- ISOMETRIC DIAGRAM FOR HOSE REEL SYSTEM</t>
  </si>
  <si>
    <t>EC-MY-CON-PCC-FF-DWG-390-24003</t>
  </si>
  <si>
    <t>GFS 
- SECTION DRAWINGS</t>
  </si>
  <si>
    <t>EC-MY-DED-AA-FIFI-DWG-390-23003</t>
  </si>
  <si>
    <t>GFS:
- LAYOUT PLAN FOR GAS DETECTION SYSTEM
- LAYOUT PLAN FOR FLAME DETECTION SYSTEM
- SCHEDULE OF GAS DETECTOR AND FLAME DETECTOR</t>
  </si>
  <si>
    <t>EC-MY-CON-PCC-FF-DWG-390-24004</t>
  </si>
  <si>
    <t>GFS 
- INSTRUMENT CABLE ROUTING</t>
  </si>
  <si>
    <t>EC-MY-CON-PCC-FF-DWG-390-24005</t>
  </si>
  <si>
    <t>GFS 
- ISOMETRIC DIAGRAM FOR HOSE REEL SYSTEM</t>
  </si>
  <si>
    <t>EC-MY-CON-PCC-FF-DWG-390-24006</t>
  </si>
  <si>
    <t>GFS - INSTRUMENT HOOK-UP DRAWINGS FOR FIRE AND GAS SYSTEM</t>
  </si>
  <si>
    <t>EC-MY-CON-PCC-ELV-DWG-390-25001</t>
  </si>
  <si>
    <t>0 CCTV floor plan</t>
  </si>
  <si>
    <t>EC-MY-CON-PCC-FF-DWG-400-24002</t>
  </si>
  <si>
    <t>IETS : WATER TREATMENT COMPLEX ROOM - ISOMETRIC DIAGRAM FOR HOSE REEL SYSTEM</t>
  </si>
  <si>
    <t>EC-MY-DED-AA-FIFI-DWG-400-23001</t>
  </si>
  <si>
    <t>IETS:
OVERALL PLAN VIEW</t>
  </si>
  <si>
    <t>EC-MY-CON-PCC-FF-DWG-400-24003</t>
  </si>
  <si>
    <t>IETS : WATER TREATMENT COMPLEX ROOM
- LAYOUT PLAN DRAWINGS</t>
  </si>
  <si>
    <t>EC-MY-DED-AA-FIFI-DWG-400-23002</t>
  </si>
  <si>
    <t xml:space="preserve">IETS: WATER TREATMENT COMPLEX ROOM 
GROUND FLOOR PLAN &amp; FIRST FLOOR PLAN
- LAYOUT PLAN FOR HOSE REEL SYSTEM, FIRE ALARAM SYSTEM &amp; PORTABLE FIRE
EXTINGUISHER
- ISOMETRIC DIAGRAM FOR HOSE REEL SYSTEM
</t>
  </si>
  <si>
    <t>EC-MY-CON-PCC-FF-DWG-400-24004</t>
  </si>
  <si>
    <t>IETS : WATER TREATMENT COMPLEX ROOM - LOCATION LAYOUT FOR FIXED GASEOUS SUPPRESSION SYSTEM</t>
  </si>
  <si>
    <t>EC-MY-DED-AA-FIFI-DWG-400-23002A</t>
  </si>
  <si>
    <t>IETS: WATER TREATMENT COMPLEX ROOM 
ROFF PLAN, ELEVATION VIEW AND SECTIONAL VIEW</t>
  </si>
  <si>
    <t>EC-MY-CON-PCC-FF-DWG-400-24005</t>
  </si>
  <si>
    <t>IETS : WATER TREATMENT COMPLEX ROOM
- LAYOUT PLAN FOR FIRE AND GAS DETECTION SYSTEM</t>
  </si>
  <si>
    <t>EC-MY-DED-AA-FIFI-DWG-400-23003</t>
  </si>
  <si>
    <t>IETS: WATER TREATMENT COMPLEX ROOM 
FIRST FLOOR PLAN, BELOW RAISED FLOOR &amp; ABOVE CEILING
-LAYOUT PLAN FOR FIXED GASEOUS FIRE SUPPRESSION SYSTEM</t>
  </si>
  <si>
    <t>EC-MY-CON-PCC-FF-DWG-400-24006</t>
  </si>
  <si>
    <t xml:space="preserve">IETS : WATER TREATMENT COMPLEX ROOM - SECTION DRAWINGS </t>
  </si>
  <si>
    <t>EC-MY-DED-AA-FIFI-DWG-400-23003A</t>
  </si>
  <si>
    <t>IETS: WATER TREATMENT COMPLEX ROOM 
- ISOMETRIC DIAGRAM FOR FIXED GASEOUS FIRE SUPPRESSION SYSTEM
- SCHEMATIC DIAGRAM FOR FIXED GASEOUS FIRE SUPPRESSION SYSTEM</t>
  </si>
  <si>
    <t>EC-MY-CON-PCC-FF-DWG-400-24007</t>
  </si>
  <si>
    <t>IETS : WATER TREATMENT COMPLEX ROOM
- INSTRUMENT CABLE ROUTING</t>
  </si>
  <si>
    <t>EC-MY-DED-AA-FIFI-DWG-400-23003B</t>
  </si>
  <si>
    <r>
      <rPr>
        <sz val="11"/>
        <rFont val="Times New Roman"/>
        <charset val="134"/>
      </rPr>
      <t>IETS:   WATER TREATMENT COMPLEX ROOM
GROUND FLOOR PLAN
-</t>
    </r>
    <r>
      <rPr>
        <sz val="11"/>
        <rFont val="Arial"/>
        <charset val="134"/>
      </rPr>
      <t xml:space="preserve">	</t>
    </r>
    <r>
      <rPr>
        <sz val="11"/>
        <rFont val="Times New Roman"/>
        <charset val="134"/>
      </rPr>
      <t>LAYOUT PLAN FOR GAS DETECTION SYSTEM
-</t>
    </r>
    <r>
      <rPr>
        <sz val="11"/>
        <rFont val="Arial"/>
        <charset val="134"/>
      </rPr>
      <t xml:space="preserve">	</t>
    </r>
    <r>
      <rPr>
        <sz val="11"/>
        <rFont val="Times New Roman"/>
        <charset val="134"/>
      </rPr>
      <t>LAYOUT PLAN FOR FLAME DETECTION SYSTEM</t>
    </r>
  </si>
  <si>
    <t>EC-MY-CON-PCC-FF-DWG-400-24008</t>
  </si>
  <si>
    <t>IETS : WATER TREATMENT COMPLEX ROOM
- CABLE ROUTING LAYOUT FOR FIXED GASEOUS FIRE SUPPRESSION SYSTEM</t>
  </si>
  <si>
    <t>EC-MY-DED-AA-FIFI-DWG-400-23004</t>
  </si>
  <si>
    <t>IETS: S-IBR TANK
GROUND FLOOR PLAN &amp; ROOF PLAN
- LAYOUT PLAN FOR PORTABLE FIRE EXTINGUISHER</t>
  </si>
  <si>
    <t>EC-MY-CON-PCC-FF-DWG-400-24009</t>
  </si>
  <si>
    <t>IETS : WATER TREATMENT COMPLEX ROOM
- ISOMETRIC DIAGRAM &amp; PIPING LAYOUT FOR FIXED GASEOUS FIRE SUPPRESSION SYSTEM</t>
  </si>
  <si>
    <t>EC-MY-DED-AA-FIFI-DWG-400-23005</t>
  </si>
  <si>
    <t>IETS: S-IBR TANK
ROOF PLAN
- LAYOUT PLAN FOR GAS DETECTION SYSTEM
- LAYOUT PLAN FOR FLAME DETECTION SYSTEM</t>
  </si>
  <si>
    <t>EC-MY-CON-PCC-FF-DWG-400-24010</t>
  </si>
  <si>
    <t>IETS : WATER TREATMENT COMPLEX ROOM - INSTRUMENT HOOK-UP DRAWINGS FOR FIRE AND GAS SYSTEM</t>
  </si>
  <si>
    <t>EC-MY-DED-AA-FIFI-DWG-400-23006</t>
  </si>
  <si>
    <t>IETS: PRE-TREATMENT TANK
GROUND FLOOR PLAN &amp; ROOF PLAN
- LAYOUT PLAN FOR PORTABLE FIRE EXTINGUISHER</t>
  </si>
  <si>
    <t>EC-MY-CON-PCC-FF-DWG-400-24011</t>
  </si>
  <si>
    <t>IETS : WATER TREATMENT COMPLEX ROOM
- GENERAL ARRANGEMENT DRAWINGS FOR FIXED GASEOUS FIRE SUPPRESSION CYLINDER</t>
  </si>
  <si>
    <t>EC-MY-DED-AA-FIFI-DWG-400-23007</t>
  </si>
  <si>
    <t>IETS: PRE-TREATMENT TANK
ROOF PLAN
- LAYOUT PLAN FOR GAS DETECTION SYSTEM
- LAYOUT PLAN FOR FLAME DETECTION SYSTEM</t>
  </si>
  <si>
    <t>EC-MY-CON-PCC-FF-DWG-400-24012</t>
  </si>
  <si>
    <t xml:space="preserve">IETS : S-IBR TANK - LAYOUT PLAN DRAWINGS </t>
  </si>
  <si>
    <t>EC-MY-DED-AA-FIFI-DWG-400-23008</t>
  </si>
  <si>
    <t>IETS: ADVANCED TREATMENT TANK
GROUND FLOOR PLAN &amp; ROOF PLAN
- LAYOUT PLAN FOR PORTABLE FIRE EXTINGUISHER</t>
  </si>
  <si>
    <t>EC-MY-CON-PCC-FF-DWG-400-24014</t>
  </si>
  <si>
    <t>IETS : S-IBR TANK - LAYOUT ROOF PLAN FOR LINEAR HEAT DETECTOR SYSTEM</t>
  </si>
  <si>
    <t>EC-MY-DED-AA-FIFI-DWG-400-23009</t>
  </si>
  <si>
    <t>IETS: EQUALIZATION TANK
GROUND FLOOR PLAN &amp; ROOF PLAN
- LAYOUT PLAN FOR PORTABLE FIRE EXTINGUISHER</t>
  </si>
  <si>
    <t>EC-MY-CON-PCC-FF-DWG-400-24015</t>
  </si>
  <si>
    <t>IETS : S-IBR TANK - INSTRUMENT CABLE ROUTING</t>
  </si>
  <si>
    <t>EC-MY-DED-AA-FIFI-DWG-400-23009A</t>
  </si>
  <si>
    <t>IETS:   EQUALIZATION TANK
GROUND FLOOR PLAN &amp; ROOF PLAN
- LAYOUT PLAN FOR GAS DETECTION SYSTEM
- LAYOUT PLAN FOR FLAME DETECTION SYSTEM</t>
  </si>
  <si>
    <t>EC-MY-CON-PCC-FF-DWG-400-24016</t>
  </si>
  <si>
    <t>IETS : S-IBR TANK - INSTRUMENT HOOK-UP DRAWINGS FOR FIRE AND GAS SYSTEM</t>
  </si>
  <si>
    <t>EC-MY-DED-AA-FIFI-DWG-400-23010</t>
  </si>
  <si>
    <t>IETS: AOC STORAGE TANK AND ANAEROBIC REACTOR TANK
GROUND FLOOR PLAN
- LAYOUT PLAN FOR PORTABLE FIRE EXTINGUISHER</t>
  </si>
  <si>
    <t>EC-MY-CON-PCC-FF-DWG-400-24017</t>
  </si>
  <si>
    <t>IETS : PRE-TREATMENT TANK - LAYOUT PLAN DRAWINGS</t>
  </si>
  <si>
    <t>EC-MY-DED-AA-FIFI-DWG-400-23011</t>
  </si>
  <si>
    <t>IETS: AOC STORAGE TANK AND ANAEROBIC REACTOR TANK
GROUND FLOOR PLAN
- LAYOUT PLAN FOR GAS DETECTION SYSTEM</t>
  </si>
  <si>
    <t>EC-MY-CON-PCC-FF-DWG-400-24019</t>
  </si>
  <si>
    <t>IETS : PRE-TREATMENT TANK - LAYOUT ROOF PLAN FOR LINEAR HEAT DETECTOR SYSTEM</t>
  </si>
  <si>
    <t>EC-MY-DED-AA-FIFI-DWG-400-23012</t>
  </si>
  <si>
    <t>IETS: AOC STORAGE TANK AND ANAEROBIC REACTOR TANK
GROUND FLOOR PLAN
- LAYOUT PLAN FOR FLAME DETECTION SYSTEM</t>
  </si>
  <si>
    <t>EC-MY-CON-PCC-FF-DWG-400-24022</t>
  </si>
  <si>
    <t>IETS : PRE-TREATMENT TANK - INSTRUMENT CABLE ROUTING</t>
  </si>
  <si>
    <t>EC-MY-DED-AA-FIFI-DWG-400-23013</t>
  </si>
  <si>
    <t>IETS:
- SCHEDULE OF GAS DETECTION SYSTEM
- SCHEDULE OF FLAME DETECTION SYSTEM</t>
  </si>
  <si>
    <t>EC-MY-CON-PCC-FF-DWG-400-24023</t>
  </si>
  <si>
    <t>IETS : PRE-TREATMENT TANK - INSTRUMENT HOOK-UP DRAWINGS FOR FIRE AND GAS SYSTEM</t>
  </si>
  <si>
    <t>EC-MY-DED-AA-FIFI-DWG-400-23014</t>
  </si>
  <si>
    <t>IETS:
- ISOMETRIC DIAGRAM FOR HOSE REEL SYSTEM</t>
  </si>
  <si>
    <t>EC-MY-CON-PCC-FF-DWG-400-24024</t>
  </si>
  <si>
    <t>IETS : ADVANCED TREATMENT TANK - LAYOUT PLAN DRAWINGS</t>
  </si>
  <si>
    <t>EC-MY-CON-PCC-FF-DWG-400-24025</t>
  </si>
  <si>
    <t>IETS : ADVANCED TREATMENT TANK - LAYOUT ROOF PLAN FOR LINEAR HEAT DETECTOR SYSTEM</t>
  </si>
  <si>
    <t>EC-MY-CON-PCC-FF-DWG-400-24028</t>
  </si>
  <si>
    <t>IETS : ADVANCED TREATMENT TANK - INSTRUMENT CABLE ROUTING</t>
  </si>
  <si>
    <t>EC-MY-CON-PCC-FF-DWG-400-24029</t>
  </si>
  <si>
    <t>IETS : EQUALIZATION TANK - LAYOUT PLAN DRAWINGS</t>
  </si>
  <si>
    <t>EC-MY-CON-PCC-FF-DWG-400-24031</t>
  </si>
  <si>
    <t>IETS : EQUALIZATION TANK - LAYOUT PLAN FOR LINEAR HEAT DETECTOR SYSTEM</t>
  </si>
  <si>
    <t>EC-MY-CON-PCC-FF-DWG-400-24034</t>
  </si>
  <si>
    <t>IETS : EQUALIZATION TANK - INSTRUMENT CABLE ROUTING</t>
  </si>
  <si>
    <t>EC-MY-CON-PCC-FF-DWG-400-24035</t>
  </si>
  <si>
    <t>IETS : EQUALIZATION TANK - INSTRUMENT HOOK-UP DRAWINGS FOR FIRE AND GAS SYSTEM</t>
  </si>
  <si>
    <t>EC-MY-CON-PCC-FF-DWG-400-24036</t>
  </si>
  <si>
    <t>IETS : AOC STORAGE TANK AND ANAEROBIC REACTOR TANK - LAYOUT PLAN DRAWINGS</t>
  </si>
  <si>
    <t>EC-MY-CON-PCC-FF-DWG-400-24038</t>
  </si>
  <si>
    <t>IETS : AOC STORAGE TANK AND ANAEROBIC REACTOR TANK - LAYOUT PLAN FOR LINEAR HEAT DETECTOR SYSTEM</t>
  </si>
  <si>
    <t>EC-MY-CON-PCC-FF-DWG-400-24041</t>
  </si>
  <si>
    <t>IETS : AOC STORAGE TANK AND ANAEROBIC REACTOR TANK - INSTRUMENT CABLE ROUTING</t>
  </si>
  <si>
    <t>EC-MY-CON-PCC-FF-DWG-400-24042</t>
  </si>
  <si>
    <t>IETS : AOC STORAGE TANK AND ANAEROBIC REACTOR TANK - INSTRUMENT HOOK-UP DRAWINGS FOR FIRE AND GAS SYSTEM</t>
  </si>
  <si>
    <t>EC-MY-CON-PCC-FF-DWG-400-25001</t>
  </si>
  <si>
    <t>IETS : WATER TREATMENT COMPLEX ROOM - LAYOUT ROOF PLAN FOR LINEAR HEAT DETECTOR SYSTEM</t>
  </si>
  <si>
    <t>EC-MY-CON-PCC-FF-DWG-400-25020</t>
  </si>
  <si>
    <t>IETS : WATER TREATMENT COMPLEX ROOM - SCHEMATIC DRAWINGS FOR LINEAR HEAT DETECTOR</t>
  </si>
  <si>
    <t>EC-MY-CON-PCC-FF-DWG-510-24001</t>
  </si>
  <si>
    <t>FIREWATER TANK &amp; FIRE FIGHTING PUMP SHED - FIRE AND GAS LOCATION LAYOUT PLAN</t>
  </si>
  <si>
    <t>EC-MY-DED-AA-FIFI-DWG-510-23001</t>
  </si>
  <si>
    <t>FIREWATER TANK &amp; FIRE FIGHTING PUMP SHED:
GROUND LAYOUT PLAN &amp; ROOF PLAN
- LAYOUT PLAN FOR FIREWATER PUMPSETS AND FIREWATER TANK
- LAYOUT PLAN FOR FIRE ALARM SYSTEM AND PORTABLE FIRE EXTINGUISHER
- SECTIONAL AND ELEVATION VIEW</t>
  </si>
  <si>
    <t>EC-MY-CON-PCC-FF-DWG-510-24002</t>
  </si>
  <si>
    <t>FIREWATER TANK &amp; FIRE FIGHTING PUMP SHED - FIRE AND GAS CABLE ROUTING LAYOUT</t>
  </si>
  <si>
    <t>EC-MY-DED-AA-FIFI-DWG-510-23002</t>
  </si>
  <si>
    <t>FIREWATER TANK &amp; FIRE FIGHTING PUMP SHED:
- GENERAL ARRANGEMENT FOR FIREWATER TANK
- DETAILS OF FIREWATER PUMP AND FIREWATER TANK</t>
  </si>
  <si>
    <t>EC-MY-DED-AA-FIFI-DWG-510-23003</t>
  </si>
  <si>
    <t>FIREWATER TANK &amp; FIRE FIGHTING PUMP SHED:
- DETAILS OF FIREWATER TANK - BOTTOM PLATE</t>
  </si>
  <si>
    <t>EC-MY-DED-AA-FIFI-DWG-510-23004</t>
  </si>
  <si>
    <t>FIREWATER TANK &amp; FIRE FIGHTING PUMP SHED:
- DETAILS OF FIREWATER TANK - SHELL PLATE</t>
  </si>
  <si>
    <t>EC-MY-DED-AA-FIFI-DWG-510-23005</t>
  </si>
  <si>
    <t>FIREWATER TANK &amp; FIRE FIGHTING PUMP SHED:
- GENERAL ARRANGEMENT FOR FIREWATER TANK</t>
  </si>
  <si>
    <t>EC-MY-DED-AA-FIFI-DWG-510-23006</t>
  </si>
  <si>
    <t>FIREWATER TANK &amp; FIRE FIGHTING PUMP SHED:
- DETAILS OF FIREWATER TANK - NOZZLES</t>
  </si>
  <si>
    <t>EC-MY-DED-AA-FIFI-DWG-510-23007</t>
  </si>
  <si>
    <t>EC-MY-DED-AA-FIFI-DWG-510-23008</t>
  </si>
  <si>
    <t>EC-MY-DED-AA-FIFI-DWG-510-23009</t>
  </si>
  <si>
    <t>FIREWATER TANK &amp; FIRE FIGHTING PUMP SHED:
- DETAILS OF FIREWATER TANK - ROOF TRUSS</t>
  </si>
  <si>
    <t>EC-MY-DED-AA-FIFI-DWG-510-23010</t>
  </si>
  <si>
    <t>EC-MY-DED-AA-FIFI-DWG-510-23011</t>
  </si>
  <si>
    <t>EC-MY-DED-AA-FIFI-DWG-510-23012</t>
  </si>
  <si>
    <t>FIREWATER SYSTEM TANK STAIR CASE</t>
  </si>
  <si>
    <t>EC-MY-CON-PCC-ELE-DWG-510-25011</t>
  </si>
  <si>
    <t>510-SSB-G-1</t>
  </si>
  <si>
    <t>EC-MY-DED-AA-ELEC-DWG-510-23001</t>
  </si>
  <si>
    <t>FIREWATER SYSTEM LAYOUT
GROUND FLOOR PLAN
LIGHTING LAYOUT</t>
  </si>
  <si>
    <t>EC-MY-DED-AA-ELEC-DWG-510-23002</t>
  </si>
  <si>
    <t>FIREWATER SYSTEM LAYOUT
GROUND FLOOR PLAN
POWER LAYOUT</t>
  </si>
  <si>
    <t>EC-MY-DED-AA-ELEC-DWG-510-23003</t>
  </si>
  <si>
    <t>FIREWATER SYSTEM LAYOUT
ROOF PLAN &amp; FRONT ELEVATION
LIGHTNING PROTECTION LAYOUT</t>
  </si>
  <si>
    <t>EC-MY-DED-AA-ELEC-DWG-510-23004</t>
  </si>
  <si>
    <t>FIREWATER SYSTEM LAYOUT
SINGLE LINE DIAGRAM
SUB SWITCH BOARD (510/SSB/G/1)
CABLE TAG NO.</t>
  </si>
  <si>
    <t>EC-MY-DED-AA-ELEC-DWG-510-23005</t>
  </si>
  <si>
    <t xml:space="preserve">FIREWATER SYSTEM LAYOUT
GROUND FLOOR PLAN
FRAME EARTH LAYOUT
STANDARD DETAILS
</t>
  </si>
  <si>
    <t>EC-MY-CON-PCC-FF-DWG-620-24001</t>
  </si>
  <si>
    <t>SUBSTATION 2 - LAYOUT PLAN DRAWINGS</t>
  </si>
  <si>
    <t>EC-MY-DED-AA-FIFI-DWG-620-23001</t>
  </si>
  <si>
    <t xml:space="preserve">SUBSTATION 2
GROUND FLOOR PLAN &amp; FIRST FLOOR PLAN:
-LAYOUT PLAN FOR FIRE ALARM AND DETECTION SYSTEM &amp; PORTABLE FIRE EXTINGUISHER </t>
  </si>
  <si>
    <t>EC-MY-CON-PCC-FF-DWG-620-24002</t>
  </si>
  <si>
    <t>SUBSTATION 2 - LOCATION LAYOUT FOR FIXED GASEOUS SUPPRESSION SYSTEM</t>
  </si>
  <si>
    <t>EC-MY-DED-AA-FIFI-DWG-620-23002</t>
  </si>
  <si>
    <t xml:space="preserve">SUBSTATION 2
SECOND FLOOR PLAN &amp; ROOF PLAN:
-LAYOUT PLAN FOR FIRE ALARM AND DETECTION SYSTEM &amp; PORTABLE FIRE EXTINGUISHER </t>
  </si>
  <si>
    <t>EC-MY-CON-PCC-FF-DWG-620-24003</t>
  </si>
  <si>
    <t>SUBSTATION 2
- LAYOUT PLAN FOR FIXED WATER SPRAY SYSTEM</t>
  </si>
  <si>
    <t>EC-MY-DED-AA-FIFI-DWG-620-23003</t>
  </si>
  <si>
    <t>SUBSTATION 2
GROUND FLOOR PLAN &amp; GROUND FLOOR PLAN (RAISED FLOOR):
-LAYOUT PLAN FOR AUTOMATIC FIXED GASEOUS FIRE SUPPRESSION SYSTEM</t>
  </si>
  <si>
    <t>EC-MY-CON-PCC-FF-DWG-620-24004</t>
  </si>
  <si>
    <t xml:space="preserve">SUBSTATION 2
- SECTION DRAWINGS </t>
  </si>
  <si>
    <t>EC-MY-DED-AA-FIFI-DWG-620-23004</t>
  </si>
  <si>
    <t>SUBSTATION 2
FIRST FLOOR PLAN, SECOND FLOOR PLAN &amp; SECOND FLOOR PLAN (RAISED FLOOR):
-LAYOUT PLAN FOR AUTOMATIC FIXED GASEOUS FIRE SUPPRESSION SYSTEM</t>
  </si>
  <si>
    <t>EC-MY-CON-PCC-FF-DWG-620-24005</t>
  </si>
  <si>
    <t>SUBSTATION 2
- INSTRUMENT CABLE ROUTING</t>
  </si>
  <si>
    <t>EC-MY-DED-AA-FIFI-DWG-620-23005</t>
  </si>
  <si>
    <t>SUBSTATION 2
ROOF PLAN :
- LAYOUT PLAN FOR AUTOMATIC FIXED GASEOUS FIRE SUPPRESSION SYSTEM
TRANSFORMER ROOMS (OPEN-TYPE OIL-FILLED TRANSFORMERS):
- LAYOUT PLAN &amp; SCHEMATIC DIAGRAM FOR FIXED WATER SPRAY SYSTEM</t>
  </si>
  <si>
    <t>EC-MY-CON-PCC-FF-DWG-620-24006</t>
  </si>
  <si>
    <t>SUBSTATION 2 - CABLE ROUTING LAYOUT FOR FIXED GASEOUS FIRE SUPPRESSION SYSTEM</t>
  </si>
  <si>
    <t>EC-MY-DED-AA-FIFI-DWG-620-23006</t>
  </si>
  <si>
    <t>SUBSTATION 2
- ISOMETRIC DIAGRAM FOR AUTOMATIC FIXED GASEOUS FIRE SUPPRESSION SYSTEM</t>
  </si>
  <si>
    <t>EC-MY-CON-PCC-FF-DWG-620-24007</t>
  </si>
  <si>
    <t>SUBSTATION 2
- ISOMETRIC DIAGRAM &amp; PIPING LAYOUT FOR FIXED GASEOUS FIRE SUPPRESSION SYSTEM</t>
  </si>
  <si>
    <t>EC-MY-DED-AA-FIFI-DWG-620-23007</t>
  </si>
  <si>
    <t>SUBSTATION 2
- SCHEMATIC DIAGRAM FOR AUTOMATIC FIXED GASEOUS FIRE SUPPRESSION SYSTEM</t>
  </si>
  <si>
    <t>EC-MY-CON-PCC-FF-DWG-620-24008</t>
  </si>
  <si>
    <t>SUBSTATION 2
- ISOMETRIC DIAGRAM FOR WATER SPRAY SYSTEM</t>
  </si>
  <si>
    <t>EC-MY-DED-AA-FIFI-DWG-620-23008</t>
  </si>
  <si>
    <t>SUBSTATION 2
FRONT ELEVATION
REAR ELEVATION
LEFT ELEVATION
RIGHT ELEVATION</t>
  </si>
  <si>
    <t>EC-MY-CON-PCC-FF-DWG-620-24009</t>
  </si>
  <si>
    <t>SUBSTATION 2
- GENERAL ARRANGEMENT DRAWINGS FOR AFGS PANEL</t>
  </si>
  <si>
    <t>EC-MY-DED-AA-FIFI-DWG-620-23009</t>
  </si>
  <si>
    <t>SUBSTATION 2
SECTION A-A
SECTION B-B
SECTION C-C</t>
  </si>
  <si>
    <t>EC-MY-CON-PCC-FF-DWG-620-24010</t>
  </si>
  <si>
    <t>SUBSTATION 2 - AFGS PANEL SCHEMATIC DIAGRAM</t>
  </si>
  <si>
    <t>EC-MY-CON-PCC-FF-DWG-620-24011</t>
  </si>
  <si>
    <t>SUBSTATION 2- INSTRUMENT LOOP DIAGRAM</t>
  </si>
  <si>
    <t>EC-MY-CON-PCC-FF-DWG-620-24012</t>
  </si>
  <si>
    <t>SUBSTATION 2
- GENERAL ARRANGEMENT DRAWINGS FOR FIXED GASEOUS FIRE SUPPRESSION CYLINDER</t>
  </si>
  <si>
    <t>EC-MY-CON-PCC-FF-DWG-620-24013</t>
  </si>
  <si>
    <t>SUBSTATION 2 - MIMIC DRAWING</t>
  </si>
  <si>
    <t>EC-MY-CON-PCC-FF-DWG-620-24014</t>
  </si>
  <si>
    <t>SUBSTATION 2
- POWER DISTRIBUTION DRAWING</t>
  </si>
  <si>
    <t>EC-MY-CON-PCC-HVAC-DWG-620-24001</t>
  </si>
  <si>
    <t>EC-MY-DED-AA-HVAC-DWG-620-23001</t>
  </si>
  <si>
    <t>HVAC SYSTEM
SUBSTATION 2 CHILLED WATER SYSTEM</t>
  </si>
  <si>
    <t>EC-MY-CON-PCC-HVAC-DWG-620-24002</t>
  </si>
  <si>
    <t>EC-MY-DED-AA-HVAC-DWG-620-23002</t>
  </si>
  <si>
    <t>HVAC SYSTEM
SUBSTATION 2 GROUND FLOOR PLAN</t>
  </si>
  <si>
    <t>EC-MY-CON-PCC-HVAC-DWG-620-24003</t>
  </si>
  <si>
    <t>EC-MY-DED-AA-HVAC-DWG-620-23003</t>
  </si>
  <si>
    <t>HVAC SYSTEM
SUBSTATION 2 FIRST FLOOR PLAN</t>
  </si>
  <si>
    <t>EC-MY-CON-PCC-HVAC-DWG-620-24004</t>
  </si>
  <si>
    <t>EC-MY-DED-AA-HVAC-DWG-620-23004</t>
  </si>
  <si>
    <t>HVAC SYSTEM
SUBSTATION 2 SECOND FLOOR PLAN</t>
  </si>
  <si>
    <t>EC-MY-CON-PCC-HVAC-DWG-620-24005</t>
  </si>
  <si>
    <t xml:space="preserve">Equipment List </t>
  </si>
  <si>
    <t>EC-MY-DED-AA-HVAC-DWG-620-23005</t>
  </si>
  <si>
    <t>HVAC SYSTEM
SUBSTATION 2 ROOF TOP PLAN</t>
  </si>
  <si>
    <t>EC-MY-CON-PCC-HVAC-DWG-620-24006</t>
  </si>
  <si>
    <t>System Of Air Conditioning Chilled Water</t>
  </si>
  <si>
    <t>EC-MY-DED-AA-HVAC-DWG-620-23006</t>
  </si>
  <si>
    <t>HVAC SYSTEM
SUBSTATION 2 ELEVATION AND EQUIPMENT OF SCHEDULE</t>
  </si>
  <si>
    <t>EC-MY-CON-PCC-HVAC-DWG-620-24007</t>
  </si>
  <si>
    <t>EC-MY-DED-AA-HVAC-DWG-620-23007</t>
  </si>
  <si>
    <t>HVAC SYSTEM
SUBSTATION 2 ELEVATION  1</t>
  </si>
  <si>
    <t>EC-MY-CON-PCC-HVAC-DWG-620-24008</t>
  </si>
  <si>
    <t>EC-MY-DED-AA-HVAC-DWG-620-23008</t>
  </si>
  <si>
    <t>HVAC SYSTEM
SUBSTATION 2 ELEVATION  2</t>
  </si>
  <si>
    <t>EC-MY-CON-PCC-HVAC-DWG-620-24009</t>
  </si>
  <si>
    <t>EC-MY-DED-AA-HVAC-DWG-620-23009</t>
  </si>
  <si>
    <t>HVAC SYSTEM
SUBSTATION 2 SINGLE LINE DIAGRAM 1</t>
  </si>
  <si>
    <t>EC-MY-CON-PCC-HVAC-DWG-620-24010</t>
  </si>
  <si>
    <t>Ground Floor Plan Of Air Duct</t>
  </si>
  <si>
    <t>EC-MY-DED-AA-HVAC-DWG-620-23010</t>
  </si>
  <si>
    <t>HVAC SYSTEM
SUBSTATION 2 SINGLE LINE DIAGRAM 2</t>
  </si>
  <si>
    <t>EC-MY-CON-PCC-HVAC-DWG-620-24011</t>
  </si>
  <si>
    <t>First Floor Plan Of Air Duct</t>
  </si>
  <si>
    <t>EC-MY-DED-AA-HVAC-ESC-620-23001</t>
  </si>
  <si>
    <t>SUBSTATION 2 HVAC SCHEDULE OF EQUIPMENT ADDENDUM 2</t>
  </si>
  <si>
    <t>EC-MY-CON-PCC-HVAC-DWG-620-24012</t>
  </si>
  <si>
    <t>Second Floor Plan Of Air Duct</t>
  </si>
  <si>
    <t>EC-MY-DED-AA-HVAC-RPT-620-23001</t>
  </si>
  <si>
    <t>EC-MY-CON-PCC-HVAC-DWG-620-24013</t>
  </si>
  <si>
    <t>Roof Plan Of Air Duct And Pipe</t>
  </si>
  <si>
    <t>EC-MY-DED-AA-HVAC-RPT-620-23002</t>
  </si>
  <si>
    <t>AHU SUB2 CABINET-DMA6-1010</t>
  </si>
  <si>
    <t>EC-MY-CON-PCC-HVAC-DWG-620-24014</t>
  </si>
  <si>
    <t>EC-MY-DED-AA-HVAC-RPT-620-23003</t>
  </si>
  <si>
    <t>AHU SUB2 SWITCHGEAR-DMA6-1521</t>
  </si>
  <si>
    <t>EC-MY-CON-PCC-HVAC-DWG-620-24015</t>
  </si>
  <si>
    <t>EC-MY-CON-PCC-HVAC-DWG-620-24016</t>
  </si>
  <si>
    <t>EC-MY-CON-PCC-HVAC-DWG-620-24017</t>
  </si>
  <si>
    <t>Roof Plan</t>
  </si>
  <si>
    <t>EC-MY-CON-PCC-HVAC-DWG-620-24018</t>
  </si>
  <si>
    <t>Single Line Dragram 1-2</t>
  </si>
  <si>
    <t>EC-MY-CON-PCC-HVAC-DWG-620-24019</t>
  </si>
  <si>
    <t>Single Line Dragram 2-2</t>
  </si>
  <si>
    <t>EC-MY-CON-PCC-HVAC-DWG-620-24020</t>
  </si>
  <si>
    <t>EC-MY-CON-PCC-HVAC-DWG-620-24021</t>
  </si>
  <si>
    <t>EC-MY-CON-PCC-HVAC-DWG-620-24022</t>
  </si>
  <si>
    <t>EC-MY-CON-PCC-HVAC-DWG-620-24023</t>
  </si>
  <si>
    <t>EC-MY-CON-PCC-HVAC-DWG-620-24024</t>
  </si>
  <si>
    <t>ROOF TOP PLC Plan and PLC system diagram</t>
  </si>
  <si>
    <t>EC-MY-CON-PCC-HVAC-DWG-620-25001</t>
  </si>
  <si>
    <t>CHWR ROOF FLOOR 620</t>
  </si>
  <si>
    <t>EC-MY-CON-PCC-HVAC-DWG-620-25002</t>
  </si>
  <si>
    <t>CHWS ROOF FLOOR 620</t>
  </si>
  <si>
    <t>EC-MY-CON-PCC-ELE-DWG-620-25011</t>
  </si>
  <si>
    <t>620-DB-G-1</t>
  </si>
  <si>
    <t>2218E-620D-00-000-001</t>
  </si>
  <si>
    <t>DRAWING LIST OF ELECTRICAL DISCIPLINE</t>
  </si>
  <si>
    <t>EC-MY-CON-PCC-ELE-DWG-620-25012</t>
  </si>
  <si>
    <t>620-DB-G-2</t>
  </si>
  <si>
    <t>2218E-620D-00-010-001</t>
  </si>
  <si>
    <t>ELEC.SPECIFICATION</t>
  </si>
  <si>
    <t>EC-MY-CON-PCC-ELE-DWG-620-25013</t>
  </si>
  <si>
    <t>620-DB-S-1</t>
  </si>
  <si>
    <t>2218E-620D-00-042-001</t>
  </si>
  <si>
    <t>ELECTRICAL CABLE SCHEDULE</t>
  </si>
  <si>
    <t>EC-MY-CON-PCC-ELE-DWG-620-25014</t>
  </si>
  <si>
    <t>620-SSB-G-1</t>
  </si>
  <si>
    <t>2218E-620D-00-043-001</t>
  </si>
  <si>
    <t>ELEC. EQU. &amp; MATERIAL LIST</t>
  </si>
  <si>
    <t>EC-MY-CON-PCC-ELE-DWG-620-25015</t>
  </si>
  <si>
    <t>620-DB-S-2</t>
  </si>
  <si>
    <t>2218E-620D-00-150-001</t>
  </si>
  <si>
    <t>SINGLE LINE DIAGRAM FOR 11KV SWITCHGEARS</t>
  </si>
  <si>
    <t>EC-MY-CON-PCC-ELV-DWG-620-25001</t>
  </si>
  <si>
    <t>SUBSTATION 2 SECOND FLOOR PLAN CCTV LAYOUT LOCAL AREA NETWORK LAYOUT CARD ACCESS LAYOUT</t>
  </si>
  <si>
    <t>2218E-620D-00-152-009</t>
  </si>
  <si>
    <t>11KV MOTOR SWITCHGEAR CONTROL SCHEMATIC DIAGRAM</t>
  </si>
  <si>
    <t>EC-MY-CON-PCC-ELV-DWG-620-25002</t>
  </si>
  <si>
    <t>SUBSTATION 2 GROUND FLOOR PLAN CCTV LAYOUT LOCAL AREA NETWORK LAYOUT CARD ACCESS LAYOUT</t>
  </si>
  <si>
    <t>2218E-620D-00-152-010</t>
  </si>
  <si>
    <t>K8301 11KV VFD SWITCHGEAR CONTROL SCHEMATIC DIAGRAM(AH213)</t>
  </si>
  <si>
    <t>2218E-620D-00-152-012</t>
  </si>
  <si>
    <t>K8301 11KV VFD ISOLATION SWITCHGEAR CONTROL SCHEMATIC DIAGRAM(AH213-1)</t>
  </si>
  <si>
    <t>2218E-620D-00-152-013</t>
  </si>
  <si>
    <t>K8301 11KV SF SWITCHGEAR CONTROL SCHEMATIC DIAGRAM(AH212)</t>
  </si>
  <si>
    <t>2218E-620D-00-152-014</t>
  </si>
  <si>
    <t>K8301 11KV SF CABINET CONTROL SCHEMATIC DIAGRAM(K8301-RQKG)</t>
  </si>
  <si>
    <t>2218E-620D-00-152-015</t>
  </si>
  <si>
    <t>K8301 11KV SF ISOLATION SWITCHGEAR CONTROL SCHEMATIC DIAGRAM(AH212-1)</t>
  </si>
  <si>
    <t>2218E-620D-00-152-016</t>
  </si>
  <si>
    <r>
      <rPr>
        <sz val="11"/>
        <rFont val="Times New Roman"/>
        <charset val="134"/>
      </rPr>
      <t>K8302AB 11KV SWITCHGEAR CONTROL SCHEMATIC DIAGRAM(AH111</t>
    </r>
    <r>
      <rPr>
        <sz val="11"/>
        <rFont val="宋体"/>
        <charset val="134"/>
      </rPr>
      <t>、</t>
    </r>
    <r>
      <rPr>
        <sz val="11"/>
        <rFont val="Times New Roman"/>
        <charset val="134"/>
      </rPr>
      <t>AH211)</t>
    </r>
  </si>
  <si>
    <t>2218E-620D-00-152-017</t>
  </si>
  <si>
    <t>K8302AB 11KV SF CABINET CONTROL SCHEMATIC DIAGRAM(K8302AB-RQAG)</t>
  </si>
  <si>
    <t>2218E-620D-00-152-018</t>
  </si>
  <si>
    <r>
      <rPr>
        <sz val="11"/>
        <rFont val="Times New Roman"/>
        <charset val="134"/>
      </rPr>
      <t>K8303AB 11KV SWITCHGEAR CONTROL SCHEMATIC DIAGRAM(AH108</t>
    </r>
    <r>
      <rPr>
        <sz val="11"/>
        <rFont val="宋体"/>
        <charset val="134"/>
      </rPr>
      <t>、</t>
    </r>
    <r>
      <rPr>
        <sz val="11"/>
        <rFont val="Times New Roman"/>
        <charset val="134"/>
      </rPr>
      <t>AH208)</t>
    </r>
  </si>
  <si>
    <t>2218E-620D-00-152-019</t>
  </si>
  <si>
    <t>K8303AB 11KV SF CABINET CONTROL SCHEMATIC DIAGRAM(K8303AB-RQAG)</t>
  </si>
  <si>
    <t>2218E-620D-00-152-020</t>
  </si>
  <si>
    <t>EXCITATED CABINET CONTROL SCHEMATIC DIAGRAM</t>
  </si>
  <si>
    <t>2218E-620D-00-250-001</t>
  </si>
  <si>
    <t>400 230V LV SINGLE LINE DIAGRAM</t>
  </si>
  <si>
    <t>2218E-620D-00-260-010</t>
  </si>
  <si>
    <t>400V MOTOR SWITCHGEAR CONTROL SCHEMATIC DIAGRAM(1)</t>
  </si>
  <si>
    <t>2218E-620D-00-260-011</t>
  </si>
  <si>
    <t xml:space="preserve">400V MOTOR SWITCHGEAR CONTROL SCHEMATIC DIAGRAM(2) </t>
  </si>
  <si>
    <t>2218E-620D-00-260-012</t>
  </si>
  <si>
    <t xml:space="preserve">400V MOTOR SWITCHGEAR CONTROL SCHEMATIC DIAGRAM(3) </t>
  </si>
  <si>
    <t>2218E-620D-00-260-013</t>
  </si>
  <si>
    <t xml:space="preserve">400V MOTOR SWITCHGEAR CONTROL SCHEMATIC DIAGRAM(4) </t>
  </si>
  <si>
    <t>2218E-620D-00-260-014</t>
  </si>
  <si>
    <t>400V MOTOR SWITCHGEAR CONTROL SCHEMATIC DIAGRAM(5)</t>
  </si>
  <si>
    <t>2218E-620D-00-260-015</t>
  </si>
  <si>
    <t xml:space="preserve">400V SF MOTOR SWITCHGEAR CONTROL SCHEMATIC DIAGRAM(1) </t>
  </si>
  <si>
    <t>2218E-620D-00-260-016</t>
  </si>
  <si>
    <t xml:space="preserve">400V SF MOTOR SWITCHGEAR CONTROL SCHEMATIC DIAGRAM(2) </t>
  </si>
  <si>
    <t>2218E-620D-00-260-017</t>
  </si>
  <si>
    <t xml:space="preserve">400V SF MOTOR SWITCHGEAR CONTROL SCHEMATIC DIAGRAM(3) </t>
  </si>
  <si>
    <t>2218E-620D-00-260-018</t>
  </si>
  <si>
    <t xml:space="preserve">400V VFD MOTOR SWITCHGEAR CONTROL SCHEMATIC DIAGRAM(1) </t>
  </si>
  <si>
    <t>2218E-620D-00-260-019</t>
  </si>
  <si>
    <t>400V VFD MOTOR SWITCHGEAR CONTROL SCHEMATIC DIAGRAM(2)</t>
  </si>
  <si>
    <t>2218E-620D-00-260-020</t>
  </si>
  <si>
    <t>400V VFD MOTOR SWITCHGEAR CONTROL SCHEMATIC DIAGRAM(3)</t>
  </si>
  <si>
    <t>2218E-620D-00-260-021</t>
  </si>
  <si>
    <t xml:space="preserve">400V VFD MOTOR SWITCHGEAR CONTROL SCHEMATIC DIAGRAM(4) </t>
  </si>
  <si>
    <t>2218E-620D-00-260-022</t>
  </si>
  <si>
    <t xml:space="preserve">CONTROL SCHEMATIC DIAGRAM OF AUXILIARY ELECTRIC HEATER FOR 11KV MOTOR </t>
  </si>
  <si>
    <t>2218E-620D-00-260-023</t>
  </si>
  <si>
    <t>K8301 AUXILIARY EQUIPMENT CONTROL SCHEMATIC DIAGRAM</t>
  </si>
  <si>
    <t>2218E-620D-00-260-024</t>
  </si>
  <si>
    <t>COMPRESSOR AUXILIARY CONTROL SCHEMATIC DIAGRAM</t>
  </si>
  <si>
    <t>2218E-620D-00-260-025</t>
  </si>
  <si>
    <t>CONTROL SCHEMATIC DIAGRAM OF AUXILIARY ELECTRIC HEATER FOR 400V MOTOR</t>
  </si>
  <si>
    <t>2218E-620D-00-260-026</t>
  </si>
  <si>
    <t xml:space="preserve">400V MOTOR SWITCHGEAR CONTROL SCHEMATIC DIAGRAM(6) </t>
  </si>
  <si>
    <t>2218E-620D-00-260-027</t>
  </si>
  <si>
    <t xml:space="preserve">400V VFD MOTOR SWITCHGEAR CONTROL SCHEMATIC DIAGRAM(5) </t>
  </si>
  <si>
    <t>2218E-620D-00-260-032</t>
  </si>
  <si>
    <t xml:space="preserve">400V VFD MOTOR SWITCHGEAR CONTROL SCHEMATIC DIAGRAM(8) </t>
  </si>
  <si>
    <t>2218E-620D-00-260-033</t>
  </si>
  <si>
    <t>400V VFD MOTOR SWITCHGEAR CONTROL SCHEMATIC DIAGRAM(9)</t>
  </si>
  <si>
    <t>2218E-620D-00-260-034</t>
  </si>
  <si>
    <t xml:space="preserve">400V MOTOR SWITCHGEAR CONTROL SCHEMATIC DIAGRAM(8) </t>
  </si>
  <si>
    <t>EC-MY-DED-AA-ELEC-DWG-620-23001</t>
  </si>
  <si>
    <t>SUBSTATION 2
GROUND FLOOR PLAN
LIGHTING LAYOUT</t>
  </si>
  <si>
    <t>EC-MY-DED-AA-ELEC-DWG-620-23002</t>
  </si>
  <si>
    <t>SUBSTATION 2
FIRST FLOOR PLAN
LIGHTING LAYOUT</t>
  </si>
  <si>
    <t>EC-MY-DED-AA-ELEC-DWG-620-23003</t>
  </si>
  <si>
    <t>SUBSTATION 2
SECOND FLOOR PLAN
LIGHTING LAYOUT</t>
  </si>
  <si>
    <t>EC-MY-DED-AA-ELEC-DWG-620-23004</t>
  </si>
  <si>
    <t>SUBSTATION 2
ROOF PLAN
LIGHTING LAYOUT</t>
  </si>
  <si>
    <t>EC-MY-DED-AA-ELEC-DWG-620-23005</t>
  </si>
  <si>
    <t>SUBSTATION 2
GROUND FLOOR PLAN
POWER LAYOUT</t>
  </si>
  <si>
    <t>EC-MY-DED-AA-ELEC-DWG-620-23006</t>
  </si>
  <si>
    <t>SUBSTATION 2
FIRST FLOOR PLAN
POWER LAYOUT</t>
  </si>
  <si>
    <t>EC-MY-DED-AA-ELEC-DWG-620-23007</t>
  </si>
  <si>
    <t>SUBSTATION 2
SECOND FLOOR PLAN
POWER LAYOUT</t>
  </si>
  <si>
    <t>EC-MY-DED-AA-ELEC-DWG-620-23008</t>
  </si>
  <si>
    <t>SUBSTATION 2
ROOF PLAN
POWER LAYOUT</t>
  </si>
  <si>
    <t>EC-MY-DED-AA-ELEC-DWG-620-23009</t>
  </si>
  <si>
    <t>SUBSTATION 2
UPPER ROOF PLAN &amp; NORTH ELEVATION
LIGHTNING PROTECTION LAYOUT</t>
  </si>
  <si>
    <t>EC-MY-DED-AA-ELEC-DWG-620-23010</t>
  </si>
  <si>
    <t>SUBSTATION 2
SINGLE LINE DIAGRAM
DISTRIBUTION BOARD (620/DB/G/1, 620/DB/G/2, 
620/DB/F/1, 620/DB/F/2)</t>
  </si>
  <si>
    <t>EC-MY-DED-AA-ELEC-DWG-620-23011</t>
  </si>
  <si>
    <t>SUBSTATION 2
SINGLE LINE DIAGRAM
SUB SWITCH BOARD (620/SSB/G/1)
DISTRIBUTION BOARD (620/DB/S/1, 620/DB/S/2)</t>
  </si>
  <si>
    <t>EC-MY-DED-AA-ELEC-DWG-620-23012</t>
  </si>
  <si>
    <t>SUBSTATION 2
GROUND FLOOR PLAN
FRAME EARTH LAYOUT</t>
  </si>
  <si>
    <t>EC-MY-DED-AA-ELEC-DWG-620-23013</t>
  </si>
  <si>
    <t>SUBSTATION 2
UPPER ROOF PLAN &amp; WEST ELEVATION
FRAME EARTH LAYOUT
STANDARD DETAILS</t>
  </si>
  <si>
    <t>EC-MY-DED-AA-ELEC-DWG-620-23014</t>
  </si>
  <si>
    <t>SUBSTATION 2
GROUND FLOOR PLAN
CABLE TRUNKING LAYOUT</t>
  </si>
  <si>
    <t>EC-MY-DED-AA-ELEC-DWG-620-23015</t>
  </si>
  <si>
    <t>SUBSTATION 2
FIRST FLOOR PLAN
CABLE TRUNKING LAYOUT</t>
  </si>
  <si>
    <t>EC-MY-DED-AA-ELEC-DWG-620-23016</t>
  </si>
  <si>
    <t>SUBSTATION 2
SECOND FLOOR PLAN
CABLE TRUNKING LAYOUT</t>
  </si>
  <si>
    <t>EC-MY-DED-AA-ELEC-DWG-620-23017</t>
  </si>
  <si>
    <t>SUBSTATION 2
CABLE TAG NO</t>
  </si>
  <si>
    <t>EC-MY-DED-AA-ELV-DWG-620-23001</t>
  </si>
  <si>
    <t>GROUND FLOOR ELV SYSTEM</t>
  </si>
  <si>
    <t>EC-MY-DED-AA-ELV-DWG-620-23002</t>
  </si>
  <si>
    <t>SECOND FLOOR ELV SYSTEM</t>
  </si>
  <si>
    <t>ECRF01-620-CE-DW-00-0001</t>
  </si>
  <si>
    <t>CCTV &amp; ACS SYSTEM BLOCK DRAWING</t>
  </si>
  <si>
    <t>ECRF01-620-CE-DW-00-0002</t>
  </si>
  <si>
    <t>IP TELEPHONE &amp; LAN SYSTEM BLOCK DRAWING</t>
  </si>
  <si>
    <t>ECRF01-620-CE-DW-00-0003</t>
  </si>
  <si>
    <t>TELECOM CABINET LAYOUT AT ELEVATION +0.700</t>
  </si>
  <si>
    <t>ECRF01-620-CE-EL-00-0001</t>
  </si>
  <si>
    <t>ECRF01-620-EE-DW-00-0001</t>
  </si>
  <si>
    <t xml:space="preserve">KEY SINGLE LINE DIAGRAM </t>
  </si>
  <si>
    <t>ECRF01-620-EE-DW-00-0002</t>
  </si>
  <si>
    <t>SINGAL LINE DIAGRAM FOR 11KV SWICHGEAR</t>
  </si>
  <si>
    <t>ECRF01-620-EE-DW-00-0003</t>
  </si>
  <si>
    <t>Single Line Diagram For LV System</t>
  </si>
  <si>
    <t>0a</t>
  </si>
  <si>
    <t>ECRF01-620-EE-DW-00-0004</t>
  </si>
  <si>
    <t>SINGLE LINE DIAGRAM FOR DC UPS SYSTEM</t>
  </si>
  <si>
    <t>ECRF01-620-EE-DW-00-0005</t>
  </si>
  <si>
    <t>SINGLE LINE DIAGRAM FOR AC UPS SYSTEM</t>
  </si>
  <si>
    <t>ECRF01-620-EE-DW-00-0006</t>
  </si>
  <si>
    <t>ELECTRICAL EQUIPMENT LAYOUT &amp; SECTION</t>
  </si>
  <si>
    <t>ECRF01-620-EE-DW-00-0007</t>
  </si>
  <si>
    <t>Electrical Foundation Layout</t>
  </si>
  <si>
    <t>ECRF01-620-EE-DW-00-0008</t>
  </si>
  <si>
    <t>Main Cable Route Layout</t>
  </si>
  <si>
    <t>ECRF01-620-EE-DW-00-0009</t>
  </si>
  <si>
    <t>GROUNDING AND LIGHTNING INSTALLATION LAYOUT</t>
  </si>
  <si>
    <t>ECRF01-620-EE-EL-00-0001</t>
  </si>
  <si>
    <t>ELECTRICAL EQUIPMENT LIST</t>
  </si>
  <si>
    <t>ECRF01-620-EE-MTO-00-0001</t>
  </si>
  <si>
    <t>ECRF01-620-EE-MTO-00-0002</t>
  </si>
  <si>
    <t xml:space="preserve">GROUNDING  SYSTEM MATERIAL TAKE OFF </t>
  </si>
  <si>
    <t>ECRF01-620-EE-NM-00-0001</t>
  </si>
  <si>
    <t>ECRF01-620-EE-NM-00-0002</t>
  </si>
  <si>
    <t>EC-MY-CON-PCC-FF-DWG-630-24001</t>
  </si>
  <si>
    <t>SUBSTATION 3- LAYOUT PLAN DRAWINGS</t>
  </si>
  <si>
    <t>EC-MY-DED-AA-FIFI-DWG-630-23001</t>
  </si>
  <si>
    <t>SUBSTATION 3 :
GROUND LAYOUT PLAN, FIRST FLOOR PLAN &amp; ROOF PLAN
- LAYOUT PLAN FOR FIRE ALARM AND DETECTION SYSTEM &amp; PORTABLE FIRE EXTINGUISHER</t>
  </si>
  <si>
    <t>EC-MY-CON-PCC-FF-DWG-630-24002</t>
  </si>
  <si>
    <t>SUBSTATION 3 - LOCATION LAYOUT FOR FIXED GASEOUS SUPPRESSION SYSTEM</t>
  </si>
  <si>
    <t>EC-MY-DED-AA-FIFI-DWG-630-23002</t>
  </si>
  <si>
    <t>SUBSTATION 3 :
GROUND LAYOUT PLAN, FIRST FLOOR PLAN &amp; ROOF PLAN:
- LAYOUT PLAN FOR AUTOMATIC FIXED GASEOUS FIRE SUPPRESSION SYSTEM</t>
  </si>
  <si>
    <t>EC-MY-CON-PCC-FF-DWG-630-24003</t>
  </si>
  <si>
    <t>SUBSTATION 3
- LAYOUT PLAN FOR FIXED WATER SPRAY SYSTEM</t>
  </si>
  <si>
    <t>EC-MY-DED-AA-FIFI-DWG-630-23003</t>
  </si>
  <si>
    <t>SUBSTATION 3 :
- FIRST FLOOR PLAN (RAISED FLOOR): LAYOUT PLAN FOR AUTOMATIC FIXED GASEOUS FIRE SUPPRESSION SYSTEM
- ISOMETRIC DIAGRAM &amp; SCHEMATIC DIAGRAM FOR FIXED GASEOUS FIRE SUPPRESSION SYSTEM</t>
  </si>
  <si>
    <t>EC-MY-CON-PCC-FF-DWG-630-24004</t>
  </si>
  <si>
    <t>SUBSTATION 3- SECTION DRAWINGS</t>
  </si>
  <si>
    <t>EC-MY-DED-AA-FIFI-DWG-630-23004</t>
  </si>
  <si>
    <t>SUBSTATION 3 :
TRANSFORMER ROOMS: OPEN-TYPE OIL-FILLED TRANSFORMERS:
- LAYOUT PLAN &amp; SCHEMATIC DIAGRAM FOR FIXED WATER SPRAY SYSTEM</t>
  </si>
  <si>
    <t>EC-MY-CON-PCC-FF-DWG-630-24005</t>
  </si>
  <si>
    <t>SUBSTATION 3 - INSTRUMENT CABLE ROUTING</t>
  </si>
  <si>
    <t>EC-MY-DED-AA-FIFI-DWG-630-23005</t>
  </si>
  <si>
    <t>SUBSTATION 3
UPPER ROOF PLAN
SOUTH ELEVATION
NORTH ELEVATION</t>
  </si>
  <si>
    <t>EC-MY-CON-PCC-FF-DWG-630-24006</t>
  </si>
  <si>
    <t>SUBSTATION 3 - CABLE ROUTING LAYOUT FOR FIXED GASEOUS FIRE SUPPRESSION SYSTEM</t>
  </si>
  <si>
    <t>EC-MY-DED-AA-FIFI-DWG-630-23006</t>
  </si>
  <si>
    <t>SUBSTATION 3
WEST ELEVATION
EAST ELEVATION
SECTION A-A
SECTION B-B</t>
  </si>
  <si>
    <t>EC-MY-CON-PCC-FF-DWG-630-24007</t>
  </si>
  <si>
    <t>SUBSTATION 3
- ISOMETRIC DIAGRAM &amp; PIPING LAYOUT FOR FIXED GASEOUS FIRE SUPPRESSION SYSTEM</t>
  </si>
  <si>
    <t>EC-MY-CON-PCC-FF-DWG-630-24008</t>
  </si>
  <si>
    <t>SUBSTATION 3
- ISOMETRIC DIAGRAM FOR WATER SPRAY SYSTEM</t>
  </si>
  <si>
    <t>EC-MY-CON-PCC-FF-DWG-630-24009</t>
  </si>
  <si>
    <t>SUBSTATION 3
- GENERAL ARRANGEMENT DRAWINGS FOR AFGS PANEL</t>
  </si>
  <si>
    <t>EC-MY-CON-PCC-FF-DWG-630-24010</t>
  </si>
  <si>
    <t>SUBSTATION 3 - AFGS PANEL SCHEMATIC DIAGRAM</t>
  </si>
  <si>
    <t>EC-MY-CON-PCC-FF-DWG-630-24011</t>
  </si>
  <si>
    <t>SUBSTATION 3 - INSTRUMENT LOOP DIAGRAM</t>
  </si>
  <si>
    <t>EC-MY-CON-PCC-FF-DWG-630-24012</t>
  </si>
  <si>
    <t>SUBSTATION 3
- GENERAL ARRANGEMENT DRAWINGS FOR FIXED GASEOUS FIRE SUPPRESSION CYLINDER</t>
  </si>
  <si>
    <t>EC-MY-CON-PCC-FF-DWG-630-24013</t>
  </si>
  <si>
    <t>SUBSTATION 3 - MIMIC DRAWING</t>
  </si>
  <si>
    <t>EC-MY-CON-PCC-FF-DWG-630-24014</t>
  </si>
  <si>
    <t>SUBSTATION 3
- POWER DISTRIBUTION DRAWING</t>
  </si>
  <si>
    <t>EC-MY-CON-PCC-HVAC-DWG-630-24001</t>
  </si>
  <si>
    <t>EC-MY-DED-AA-HVAC-DWG-630-23001</t>
  </si>
  <si>
    <t>HVAC SYSTEM
SUBSTATION 3 CHILLED WATER SYSTEM</t>
  </si>
  <si>
    <t>EC-MY-CON-PCC-HVAC-DWG-630-24002</t>
  </si>
  <si>
    <t>EC-MY-DED-AA-HVAC-DWG-630-23002</t>
  </si>
  <si>
    <t>HVAC SYSTEM
SUBSTATION 3 GROUND AND FIRST FLOOR PLAN</t>
  </si>
  <si>
    <t>EC-MY-CON-PCC-HVAC-DWG-630-24003</t>
  </si>
  <si>
    <t>EC-MY-DED-AA-HVAC-DWG-630-23003</t>
  </si>
  <si>
    <t>HVAC SYSTEM
SUBSTATION 3 ROOF AND SCHEDILE OF EQUIPMENT</t>
  </si>
  <si>
    <t>EC-MY-CON-PCC-HVAC-DWG-630-24004</t>
  </si>
  <si>
    <t>EC-MY-DED-AA-HVAC-DWG-630-23004</t>
  </si>
  <si>
    <t>HVAC SYSTEM
SUBSTATION 3 ELEVATION 1</t>
  </si>
  <si>
    <t>EC-MY-CON-PCC-HVAC-DWG-630-24005</t>
  </si>
  <si>
    <t>Equipment List</t>
  </si>
  <si>
    <t>EC-MY-DED-AA-HVAC-DWG-630-23005</t>
  </si>
  <si>
    <t>HVAC SYSTEM
SUBSTATION 3 ELEVATION 2</t>
  </si>
  <si>
    <t>EC-MY-CON-PCC-HVAC-DWG-630-24006</t>
  </si>
  <si>
    <t>EC-MY-DED-AA-HVAC-DWG-630-23006</t>
  </si>
  <si>
    <t>HVAC SYSTEM
SUBSTATION 3 SINGLE LINE DIAGRAM</t>
  </si>
  <si>
    <t>EC-MY-CON-PCC-HVAC-DWG-630-24007</t>
  </si>
  <si>
    <t>EC-MY-DED-AA-HVAC-ESC-630-23001</t>
  </si>
  <si>
    <t>SUBSTATION 3 HVAC SCHEDULE OF EQUIPMENT</t>
  </si>
  <si>
    <t>EC-MY-CON-PCC-HVAC-DWG-630-24008</t>
  </si>
  <si>
    <t>EC-MY-DED-AA-HVAC-RPT-630-23001</t>
  </si>
  <si>
    <t>AHU SUB3 INSTRUMENT -DMA6-0407</t>
  </si>
  <si>
    <t>EC-MY-CON-PCC-HVAC-DWG-630-24009</t>
  </si>
  <si>
    <t>EC-MY-DED-AA-HVAC-RPT-630-23002</t>
  </si>
  <si>
    <t>AHU SUB3 SWITCHGEAR-DMA6-0407</t>
  </si>
  <si>
    <t>EC-MY-CON-PCC-HVAC-DWG-630-24010</t>
  </si>
  <si>
    <t>Ground AndF First Floor Plan Of Air Duct</t>
  </si>
  <si>
    <t>EC-MY-DED-AA-HVAC-RPT-630-23003</t>
  </si>
  <si>
    <t>EC-MY-CON-PCC-HVAC-DWG-630-24011</t>
  </si>
  <si>
    <t>EC-MY-CON-PCC-HVAC-DWG-630-24012</t>
  </si>
  <si>
    <t>Ground And First Floor Plan</t>
  </si>
  <si>
    <t>EC-MY-CON-PCC-HVAC-DWG-630-24013</t>
  </si>
  <si>
    <t>Roof And Equipment Schedule</t>
  </si>
  <si>
    <t>EC-MY-CON-PCC-HVAC-DWG-630-24014</t>
  </si>
  <si>
    <t>EC-MY-CON-PCC-HVAC-DWG-630-24015</t>
  </si>
  <si>
    <t>EC-MY-CON-PCC-HVAC-DWG-630-24016</t>
  </si>
  <si>
    <t>EC-MY-CON-PCC-HVAC-DWG-630-24017</t>
  </si>
  <si>
    <t>EC-MY-CON-PCC-HVAC-DWG-630-25001</t>
  </si>
  <si>
    <t>CHWR ROOF FLOOR 630</t>
  </si>
  <si>
    <t>EC-MY-CON-PCC-HVAC-DWG-630-25002</t>
  </si>
  <si>
    <t>CHWS ROOF FLOOR 630</t>
  </si>
  <si>
    <t>EC-MY-CON-PCC-ELE-DWG-630-25011</t>
  </si>
  <si>
    <t>630-DB-F-1</t>
  </si>
  <si>
    <t>EC-MY-DED-AA-ELEC-DWG-630-23001</t>
  </si>
  <si>
    <t>SUBSTATION 3
GROUND FLOOR &amp; FIRST FLOOR PLAN
LIGHTING LAYOUT</t>
  </si>
  <si>
    <t>EC-MY-CON-PCC-ELE-DWG-630-25012</t>
  </si>
  <si>
    <t>630-DB-G-1</t>
  </si>
  <si>
    <t>EC-MY-DED-AA-ELEC-DWG-630-23002</t>
  </si>
  <si>
    <t>SUBSTATION 3
SECOND FLOOR &amp; ROOF PLAN
LIGHTING LAYOUT</t>
  </si>
  <si>
    <t>EC-MY-CON-PCC-ELE-DWG-630-25013</t>
  </si>
  <si>
    <t>630-SSB-G-1</t>
  </si>
  <si>
    <t>EC-MY-DED-AA-ELEC-DWG-630-23003</t>
  </si>
  <si>
    <t>SUBSTATION 3
GROUND FLOOR &amp; FIRST FLOOR PLAN
POWER LAYOUT</t>
  </si>
  <si>
    <t>EC-MY-CON-PCC-ELV-DWG-630-25001</t>
  </si>
  <si>
    <t>SUBSTATION 3 GROUND FLOOR &amp; FIRST FLOOR PLAN CCTV LAYOUT LOCAL AREA NETWORK LAYOUT CARD ACCESS LAYOUT</t>
  </si>
  <si>
    <t>EC-MY-DED-AA-ELEC-DWG-630-23004</t>
  </si>
  <si>
    <t>SUBSTATION 3
SECOND FLOOR PLAN
POWER LAYOUT</t>
  </si>
  <si>
    <t>EC-MY-DED-AA-ELEC-DWG-630-23005</t>
  </si>
  <si>
    <t>SUBSTATION 3
ROOF PLAN &amp; SOUTH ELEVATION
LIGHTNING PROTECTION LAYOUT
STANDARD DETAILS</t>
  </si>
  <si>
    <t>EC-MY-DED-AA-ELEC-DWG-630-23006</t>
  </si>
  <si>
    <t>SUBSTATION 3
SINGLE LINE DIAGRAM
SUB SWITCH BOARD (630/SSB/G/1)
DISTRIBUTION BOARD (630/DB/G/1 &amp; 630/DB/F/1)</t>
  </si>
  <si>
    <t>EC-MY-DED-AA-ELEC-DWG-630-23007</t>
  </si>
  <si>
    <t>SUBSTATION 3
ROOF PLAN &amp; EAST ELEVATION
FRAME EARTH LAYOUT
STANDARD DETAILS</t>
  </si>
  <si>
    <t>EC-MY-DED-AA-ELEC-DWG-630-23008</t>
  </si>
  <si>
    <t>SUBSTATION 3
GROUND FLOOR PLAN
FRAME EARTH LAYOUT
STANDARD DETAILS</t>
  </si>
  <si>
    <t>EC-MY-DED-AA-ELEC-DWG-630-23009</t>
  </si>
  <si>
    <t>SUBSTATION 3
GROUND FLOOR &amp; FIRST FLOOR PLAN
CABLE TRUNKING LAYOUT</t>
  </si>
  <si>
    <t>EC-MY-DED-AA-ELEC-DWG-630-23010</t>
  </si>
  <si>
    <t>SUBSTATION 3
CABLE TAG NO</t>
  </si>
  <si>
    <t>EC-MY-DED-AA-ELV-DWG-630-23001</t>
  </si>
  <si>
    <t>GROUND&amp;FIRST FLOOR ELV SYSTEM</t>
  </si>
  <si>
    <t>ECRF01-630-CE-DW-00-0001</t>
  </si>
  <si>
    <t>ECRF01-630-CE-DW-00-0002</t>
  </si>
  <si>
    <t>ECRF01-630-CE-DW-00-0003</t>
  </si>
  <si>
    <t xml:space="preserve">TELECOM CABINET LAYOUT </t>
  </si>
  <si>
    <t>ECRF01-630-CE-EL-00-0001</t>
  </si>
  <si>
    <t>ECRF01-630-EE-DW-00-0001</t>
  </si>
  <si>
    <t>ECRF01-630-EE-DW-00-0002</t>
  </si>
  <si>
    <t>Single Line Diagram For 11kV Switchgear</t>
  </si>
  <si>
    <t>ECRF01-630-EE-DW-00-0003</t>
  </si>
  <si>
    <t>ECRF01-630-EE-DW-00-0004</t>
  </si>
  <si>
    <t>ECRF01-630-EE-DW-00-0005</t>
  </si>
  <si>
    <t>ECRF01-630-EE-DW-00-0006</t>
  </si>
  <si>
    <t>ECRF01-630-EE-DW-00-0007</t>
  </si>
  <si>
    <t>Electrical Foundation Layout &amp; Section</t>
  </si>
  <si>
    <t>ECRF01-630-EE-DW-00-0008</t>
  </si>
  <si>
    <t>Single Line Diagram for LV System</t>
  </si>
  <si>
    <t>ECRF01-630-EE-DW-00-0009</t>
  </si>
  <si>
    <t>ECRF01-630-EE-EL-00-0001</t>
  </si>
  <si>
    <t>ECRF01-630-EE-MTO-00-0001</t>
  </si>
  <si>
    <t>ECRF01-630-EE-MTO-00-0002</t>
  </si>
  <si>
    <t xml:space="preserve">GROUNDING SYSTEM MATERIAL TAKE OFF  </t>
  </si>
  <si>
    <t>ECRF01-630-EE-NM-00-0001</t>
  </si>
  <si>
    <t>ECRF01-630-EE-NM-00-0002</t>
  </si>
  <si>
    <t>EC-MY-CON-PCC-ELE-DWG-640-25011</t>
  </si>
  <si>
    <t>640-DB-F-1</t>
  </si>
  <si>
    <t>EC-MY-DED-AA-ELEC-DWG-640-23001</t>
  </si>
  <si>
    <t>MAINTENANCE ROOM &amp; SUBSTATION 4
GROUND FLOOR &amp; FIRST FLOOR PLAN
LIGHTING LAYOUT</t>
  </si>
  <si>
    <t>EC-MY-CON-PCC-ELE-DWG-640-25012</t>
  </si>
  <si>
    <t>640-DB-F-2</t>
  </si>
  <si>
    <t>EC-MY-DED-AA-ELEC-DWG-640-23002</t>
  </si>
  <si>
    <t>MAINTENANCE ROOM &amp; SUBSTATION 4
SECOND FLOOR PLAN
LIGHTING LAYOUT</t>
  </si>
  <si>
    <t>EC-MY-CON-PCC-ELE-DWG-640-25013</t>
  </si>
  <si>
    <t>640-DB-G-1</t>
  </si>
  <si>
    <t>EC-MY-DED-AA-ELEC-DWG-640-23003</t>
  </si>
  <si>
    <t>MAINTENANCE ROOM &amp; SUBSTATION 4
GROUND FLOOR &amp; FIRST FLOOR PLAN
POWER LAYOUT</t>
  </si>
  <si>
    <t>EC-MY-CON-PCC-ELE-DWG-640-25014</t>
  </si>
  <si>
    <t>640-DB-S-1</t>
  </si>
  <si>
    <t>EC-MY-DED-AA-ELEC-DWG-640-23004</t>
  </si>
  <si>
    <t>MAINTENANCE ROOM &amp; SUBSTATION 4
SECOND FLOOR PLAN
POWER LAYOUT</t>
  </si>
  <si>
    <t>EC-MY-CON-PCC-ELE-DWG-640-25016</t>
  </si>
  <si>
    <t>640-SSB-G-1</t>
  </si>
  <si>
    <t>EC-MY-DED-AA-ELEC-DWG-640-23005</t>
  </si>
  <si>
    <t>MAINTENANCE ROOM &amp; SUBSTATION 4
ROOF PLAN &amp; REAR ELEVATION
LIGHTNING PROTECTION LAYOUT
STANDARD DETAIL</t>
  </si>
  <si>
    <t>EC-MY-DED-AA-ELEC-DWG-640-23006</t>
  </si>
  <si>
    <t>SUBSTATION 4
SINGLE LINE DIAGRAM
SUB SWITH BOARD (640/SSB/G/1)
DISTRIBUTION BOARD (640/DB/G/1, 640/DB/F/1 &amp; 640/DB/S/1)</t>
  </si>
  <si>
    <t>EC-MY-DED-AA-ELEC-DWG-640-23007</t>
  </si>
  <si>
    <t>MAINTENANCE ROOM &amp; SUBSTATION 4
GROUND FLOOR &amp; FIRST FLOOR PLAN
CABLE TRUNKING LAYOUT</t>
  </si>
  <si>
    <t>EC-MY-DED-AA-ELEC-DWG-640-23008</t>
  </si>
  <si>
    <t>MAINTENANCE ROOM &amp; SUBSTATION 4
SECOND FLOOR PLAN
CABLE TRUNKING LAYOUT</t>
  </si>
  <si>
    <t>EC-MY-DED-AA-ELEC-DWG-640-23009</t>
  </si>
  <si>
    <t>MAINTENANCE ROOM &amp; SUBSTATION 4
GROUND FLOOR PLAN
FRAME EARTH LAYOUT
STANDARD DETAILS</t>
  </si>
  <si>
    <t>EC-MY-DED-AA-ELEC-DWG-640-23010</t>
  </si>
  <si>
    <t>SUBSTATION 4
CABLE TAG NO</t>
  </si>
  <si>
    <t>ECRF01-640-EE-DW-00-0001</t>
  </si>
  <si>
    <t>ECRF01-640-EE-DW-00-0002</t>
  </si>
  <si>
    <t>ECRF01-640-EE-DW-00-0003</t>
  </si>
  <si>
    <t>ECRF01-640-EE-DW-00-0004</t>
  </si>
  <si>
    <t>ECRF01-640-EE-DW-00-0005</t>
  </si>
  <si>
    <t>ECRF01-640-EE-DW-00-0006</t>
  </si>
  <si>
    <t>ELECTRICAL EQUIPMENT LAYOUT</t>
  </si>
  <si>
    <t>ECRF01-640-EE-DW-00-0007</t>
  </si>
  <si>
    <t>ELECTRICAL FOUNDATION LAYOUT &amp; SECTION</t>
  </si>
  <si>
    <t>ECRF01-640-EE-DW-00-0008</t>
  </si>
  <si>
    <t>ECRF01-640-EE-DW-00-0009</t>
  </si>
  <si>
    <t>MAIN CABLE ROUTE LAYOUT</t>
  </si>
  <si>
    <t>ECRF01-640-EE-EL-00-0001</t>
  </si>
  <si>
    <t>ECRF01-640-EE-MTO-00-0001</t>
  </si>
  <si>
    <t>ECRF01-640-EE-MTO-00-0002</t>
  </si>
  <si>
    <t>GROUNDING SYSTEM MATERIAL TAKE OFF</t>
  </si>
  <si>
    <t>ECRF01-640-EE-NM-00-0001</t>
  </si>
  <si>
    <t>ECRF01-640-EE-NM-00-0002</t>
  </si>
  <si>
    <t>EC-MY-CON-PCC-FF-DWG-700-24001</t>
  </si>
  <si>
    <t>PRE TREATMENT - LAYOUT PLAN DRAWINGS</t>
  </si>
  <si>
    <t>EC-MY-DED-AA-FIFI-DWG-700-23001</t>
  </si>
  <si>
    <t xml:space="preserve">PRE TREATMENT 
GROUND FLOOR PLAN
-LAYOUT PLAN FOR HOSE REEL SYSTEM, FIRE ALARM AND DETECTION SYSTEM &amp; PORTABLE FIRE EXTINGUISHER </t>
  </si>
  <si>
    <t>EC-MY-CON-PCC-FF-DWG-700-24002</t>
  </si>
  <si>
    <t>PRE TREATMENT - LOCATION LAYOUT FOR FIXED GASEOUS SUPPRESSION SYSTEM</t>
  </si>
  <si>
    <t>EC-MY-DED-AA-FIFI-DWG-700-23002</t>
  </si>
  <si>
    <t>PRE TREATMENT 
FIRST FLOOR PLAN
-LAYOUT PLAN FOR HOSE REEL SYSTEM, FIRE ALARM AND DETECTION SYSTEM &amp; PORTABLE FIRE EXTINGUISHER</t>
  </si>
  <si>
    <t>EC-MY-CON-PCC-FF-DWG-700-24003</t>
  </si>
  <si>
    <t>PRE TREATMENT
- LAYOUT PLAN FOR FIXED WATER SPRAY SYSTEM</t>
  </si>
  <si>
    <t>EC-MY-DED-AA-FIFI-DWG-700-23003</t>
  </si>
  <si>
    <t>PRE TREATMENT 
+20.25M LEVEL PLAN
-LAYOUT PLAN FOR HOSE REEL SYSTEM, FIRE ALARM AND DETECTION SYSTEM &amp; PORTABLE FIRE EXTINGUISHER</t>
  </si>
  <si>
    <t>EC-MY-CON-PCC-FF-DWG-700-24004</t>
  </si>
  <si>
    <t>PRE TREATMENT- SECTION DRAWINGS</t>
  </si>
  <si>
    <t>EC-MY-DED-AA-FIFI-DWG-700-23004</t>
  </si>
  <si>
    <t>PRE TREATMENT 
+27.25M, +32.25M, +35.75M LEVEL PLAN
-LAYOUT PLAN FOR HOSE REEL SYSTEM, FIRE ALARM AND DETECTION SYSTEM &amp; PORTABLE FIRE EXTINGUISHER</t>
  </si>
  <si>
    <t>EC-MY-CON-PCC-FF-DWG-700-24005</t>
  </si>
  <si>
    <t>PRE TREATMENT - INSTRUMENT CABLE ROUTING FOR FIRE AND GAS SYSTEM</t>
  </si>
  <si>
    <t>EC-MY-DED-AA-FIFI-DWG-700-23005</t>
  </si>
  <si>
    <t>PRE TREATMENT 
GROUND FLOOR PLAN, FIRST FLOOR PLAN
-LAYOUT PLAN FOR AUTOMATIC FIXED GASEOUS FIRE SUPPRESSION SYSTEM</t>
  </si>
  <si>
    <t>EC-MY-CON-PCC-FF-DWG-700-24006</t>
  </si>
  <si>
    <t>PRE TREATMENT - INSTRUMENT CABLE ROUTING LAYOUT FOR FIXED GASEOUS FIRE  SUPPRESSION SYSTEM</t>
  </si>
  <si>
    <t>EC-MY-DED-AA-FIFI-DWG-700-23006</t>
  </si>
  <si>
    <t>PRE TREATMENT 
FIRST FLOOR PLAN (RAISED FLOOR)
-LAYOUT PLAN FOR AUTOMATIC FIXED GASEOUS FIRE SUPPRESSION SYSTEM
TRANSFORMER ROOMS (OPEN-TYPE OIL-FILLED TRANSFORMERS):
-LAYOUT PLAN FOR FIXED WATER SPRAY SYSTEM</t>
  </si>
  <si>
    <t>EC-MY-CON-PCC-FF-DWG-700-24007</t>
  </si>
  <si>
    <t>PRE TREATMENT
- ISOMETRIC DIAGRAM &amp; PIPING LAYOUT FOR FIXED GASEOUS FIRE SUPPRESSION SYSTEM</t>
  </si>
  <si>
    <t>EC-MY-DED-AA-FIFI-DWG-700-23007A</t>
  </si>
  <si>
    <t>PRE TREATMENT 
-ISOMETRIC DIAGRAM FOR HOSE REEL SYSTEM</t>
  </si>
  <si>
    <t>EC-MY-CON-PCC-FF-DWG-700-24008</t>
  </si>
  <si>
    <t>PRE TREATMENT - ISOMETRIC DIAGRAM FOR HOSE REEL SYSTEM</t>
  </si>
  <si>
    <t>EC-MY-DED-AA-FIFI-DWG-700-23007B</t>
  </si>
  <si>
    <t>EC-MY-CON-PCC-FF-DWG-700-24009</t>
  </si>
  <si>
    <t>PRE TREATMENT
- ISOMETRIC DIAGRAM FOR WATER SPRAY SYSTEM</t>
  </si>
  <si>
    <t>EC-MY-DED-AA-FIFI-DWG-700-23007C</t>
  </si>
  <si>
    <t>PRE TREATMENT 
-SCHEMATIC DIAGRAM FOR FIXED WATER SPRAY SYSTEM</t>
  </si>
  <si>
    <t>EC-MY-CON-PCC-FF-DWG-700-24010</t>
  </si>
  <si>
    <t>PRE TREATMENT
- GENERAL ARRANGEMENT DRAWINGS FOR FIXED GASEOUS FIRE SUPPRESSION CYLINDER</t>
  </si>
  <si>
    <t>EC-MY-DED-AA-FIFI-DWG-700-23008</t>
  </si>
  <si>
    <t>PRE TREATMENT 
- ISOMETRIC DIAGRAM &amp; SCHEMATIC DIAGRAM FOR FIXED GASEOUS FIRE 
SUPPRESSION SYSTEM</t>
  </si>
  <si>
    <t>EC-MY-CON-PCC-FF-DWG-700-24011</t>
  </si>
  <si>
    <t>PRE TREATMENT - INSTRUMENT HOOK-UP DRAWINGS FOR FIRE AND GAS SYSTEM</t>
  </si>
  <si>
    <t>EC-MY-DED-AA-FIFI-DWG-700-23009</t>
  </si>
  <si>
    <t>PRE TREATMENT 
SECTION A-A
PIPE RACK - SECTION H-H
EQUIPMENT - SECTION G-G</t>
  </si>
  <si>
    <t>EC-MY-DED-AA-FIFI-DWG-700-23009A</t>
  </si>
  <si>
    <t>PRE TREATMENT 
NORTH ELEVATION
SOUTH ELEVATION
EAST ELEVATION
WEST ELEVATION</t>
  </si>
  <si>
    <t>EC-MY-DED-AA-FIFI-DWG-700-23009B</t>
  </si>
  <si>
    <t>PRE TREATMENT 
SOUTH ELEVATION
EAST ELEVATION
WEST ELEVATION</t>
  </si>
  <si>
    <t>EC-MY-DED-AA-FIFI-DWG-700-23010</t>
  </si>
  <si>
    <t>PRE TREATMENT 
SECTION B-B</t>
  </si>
  <si>
    <t>EC-MY-DED-AA-FIFI-DWG-700-23011</t>
  </si>
  <si>
    <t>PRE TREATMENT 
SECTION C-C</t>
  </si>
  <si>
    <t>EC-MY-DED-AA-FIFI-DWG-700-23011A</t>
  </si>
  <si>
    <t>PRE TREATMENT 
SECTION A-A</t>
  </si>
  <si>
    <t>EC-MY-DED-AA-FIFI-DWG-700-23012</t>
  </si>
  <si>
    <t>PRE TREATMENT 
EQUIPMENT - SECTION A-A</t>
  </si>
  <si>
    <t>EC-MY-DED-AA-FIFI-DWG-700-23013</t>
  </si>
  <si>
    <t>PRE TREATMENT 
EQUIPMENT - SECTION B-B</t>
  </si>
  <si>
    <t>EC-MY-DED-AA-FIFI-DWG-700-23014</t>
  </si>
  <si>
    <t>PRE TREATMENT 
EQUIPMENT - SECTION C-C</t>
  </si>
  <si>
    <t>EC-MY-DED-AA-FIFI-DWG-700-23015</t>
  </si>
  <si>
    <t>PRE TREATMENT 
EQUIPMENT - SECTION D-D</t>
  </si>
  <si>
    <t>EC-MY-DED-AA-FIFI-DWG-700-23016</t>
  </si>
  <si>
    <t>PRE TREATMENT 
EQUIPMENT - SECTION F-F</t>
  </si>
  <si>
    <t>EC-MY-DED-AA-FIFI-ISO-700-23001A</t>
  </si>
  <si>
    <t>EC-MY-DED-AA-FIFI-ISO-700-23001B</t>
  </si>
  <si>
    <t>EC-MY-DED-AA-FIFI-ISO-700-23001C</t>
  </si>
  <si>
    <t>EC-MY-CON-PCC-HVAC-DWG-700-24001</t>
  </si>
  <si>
    <t>EC-MY-DED-AA-HVAC-DWG-700-23001</t>
  </si>
  <si>
    <t>HVAC SYSTEM
PRETREATMENT CHILLED WATER SYSTEM</t>
  </si>
  <si>
    <t>EC-MY-CON-PCC-HVAC-DWG-700-24002</t>
  </si>
  <si>
    <t>EC-MY-DED-AA-HVAC-DWG-700-23002</t>
  </si>
  <si>
    <t>HVAC SYSTEM
PRETREATMENT GROUND FLOOR PLAN</t>
  </si>
  <si>
    <t>EC-MY-CON-PCC-HVAC-DWG-700-24003</t>
  </si>
  <si>
    <t>EC-MY-DED-AA-HVAC-DWG-700-23003</t>
  </si>
  <si>
    <t>HVAC SYSTEM
PRETREATMENT FIRST FLOOR PLAN</t>
  </si>
  <si>
    <t>EC-MY-CON-PCC-HVAC-DWG-700-24004</t>
  </si>
  <si>
    <t>EC-MY-DED-AA-HVAC-DWG-700-23004</t>
  </si>
  <si>
    <t>HVAC SYSTEM
PRETREATMENT ROOF TOP PLAN</t>
  </si>
  <si>
    <t>EC-MY-CON-PCC-HVAC-DWG-700-24005</t>
  </si>
  <si>
    <t>EC-MY-DED-AA-HVAC-DWG-700-23005</t>
  </si>
  <si>
    <t xml:space="preserve">HVAC SYSTEM
PRETREATMENT ELEVATION </t>
  </si>
  <si>
    <t>EC-MY-CON-PCC-HVAC-DWG-700-24006</t>
  </si>
  <si>
    <t>EC-MY-DED-AA-HVAC-DWG-700-23006</t>
  </si>
  <si>
    <t>HVAC SYSTEM
PRETREATMENT SCHEDULE OF EQUIPMENT</t>
  </si>
  <si>
    <t>EC-MY-CON-PCC-HVAC-DWG-700-24007</t>
  </si>
  <si>
    <t>EC-MY-DED-AA-HVAC-DWG-700-23007</t>
  </si>
  <si>
    <t>HVAC SYSTEM
PRETREATMENT DECANTER BUILDING</t>
  </si>
  <si>
    <t>EC-MY-CON-PCC-HVAC-DWG-700-24008</t>
  </si>
  <si>
    <t>EC-MY-DED-AA-HVAC-DWG-700-23008</t>
  </si>
  <si>
    <t>HVAC SYSTEM
PRETREATMENT SINGLE LINE DIAGRAM</t>
  </si>
  <si>
    <t>EC-MY-CON-PCC-HVAC-DWG-700-24009</t>
  </si>
  <si>
    <t>EC-MY-DED-AA-HVAC-DWG-700-23009</t>
  </si>
  <si>
    <t>EC-MY-CON-PCC-HVAC-DWG-700-24010</t>
  </si>
  <si>
    <t>Ground  Floor Plan Of Air Duct</t>
  </si>
  <si>
    <t>EC-MY-DED-AA-HVAC-ESC-700-23001</t>
  </si>
  <si>
    <t>PRETREATMENT HVAC SCHEDULE OF EQUIPMENT</t>
  </si>
  <si>
    <t>EC-MY-CON-PCC-HVAC-DWG-700-24011</t>
  </si>
  <si>
    <t>EC-MY-DED-AA-HVAC-RPT-700-23001</t>
  </si>
  <si>
    <t>AHU CABINET+OPERATION+UPS ROOM-DMA6-0713</t>
  </si>
  <si>
    <t>EC-MY-CON-PCC-HVAC-DWG-700-24012</t>
  </si>
  <si>
    <t>Slag Unloading Plan Of Air Duct And Pipe</t>
  </si>
  <si>
    <t>EC-MY-DED-AA-HVAC-RPT-700-23002</t>
  </si>
  <si>
    <t>AHU ELECTRICITY ROOM-DMA6-0713</t>
  </si>
  <si>
    <t>EC-MY-CON-PCC-HVAC-DWG-700-24013</t>
  </si>
  <si>
    <t>EC-MY-DED-AA-HVAC-RPT-700-23003</t>
  </si>
  <si>
    <t>EC-MY-CON-PCC-HVAC-DWG-700-24015</t>
  </si>
  <si>
    <t>EC-MY-CON-PCC-HVAC-DWG-700-24016</t>
  </si>
  <si>
    <t>Roof Floor Plan</t>
  </si>
  <si>
    <t>EC-MY-CON-PCC-HVAC-DWG-700-24017</t>
  </si>
  <si>
    <t>Slag Unloading</t>
  </si>
  <si>
    <t>EC-MY-CON-PCC-HVAC-DWG-700-24018</t>
  </si>
  <si>
    <t>EC-MY-CON-PCC-HVAC-DWG-700-24019</t>
  </si>
  <si>
    <t>EC-MY-CON-PCC-HVAC-DWG-700-24020</t>
  </si>
  <si>
    <t>EC-MY-CON-PCC-HVAC-DWG-700-24021</t>
  </si>
  <si>
    <t>EC-MY-CON-PCC-HVAC-DWG-700-24022</t>
  </si>
  <si>
    <t>EC-MY-CON-PCC-HVAC-DWG-700-24023</t>
  </si>
  <si>
    <t>Local HVAC civil construction conditions</t>
  </si>
  <si>
    <t>EC-MY-CON-PCC-HVAC-DWG-700-24024</t>
  </si>
  <si>
    <t>EC-MY-CON-PCC-HVAC-DWG-700-25001</t>
  </si>
  <si>
    <t>CHWR ROOF FLOOR 700</t>
  </si>
  <si>
    <t>EC-MY-CON-PCC-HVAC-DWG-700-25002</t>
  </si>
  <si>
    <t>CHWS ROOF FLOOR 700</t>
  </si>
  <si>
    <t>EC-MY-CON-PCC-ELE-DWG-700-25011</t>
  </si>
  <si>
    <t>700-DB-F-1</t>
  </si>
  <si>
    <t>2218E-700D-00-000-001</t>
  </si>
  <si>
    <t>EC-MY-CON-PCC-ELE-DWG-700-25012</t>
  </si>
  <si>
    <t>700-DB-G-1</t>
  </si>
  <si>
    <t>2218E-700D-00-010-001</t>
  </si>
  <si>
    <t>EC-MY-CON-PCC-ELE-DWG-700-25013</t>
  </si>
  <si>
    <t>700-SSB-G-1</t>
  </si>
  <si>
    <t>2218E-700D-00-042-001</t>
  </si>
  <si>
    <t>EC-MY-CON-PCC-ELE-DWG-700-25014</t>
  </si>
  <si>
    <t>700-SSB-G-2</t>
  </si>
  <si>
    <t>2218E-700D-00-042-002</t>
  </si>
  <si>
    <t>2218E-700D-00-043-001</t>
  </si>
  <si>
    <t>2218E-700D-00-250-001</t>
  </si>
  <si>
    <t>400/230V LV SINGLE LINE DIAGRAM</t>
  </si>
  <si>
    <t>2218E-700D-00-253-001</t>
  </si>
  <si>
    <t>SINGLE LINE DIAGRAM FOR FAN&amp;AIR CONDITIONING</t>
  </si>
  <si>
    <t>2218E-700D-00-253-002</t>
  </si>
  <si>
    <t>SINGLE LINE DIAGRAM FOR LIGHTING BOX</t>
  </si>
  <si>
    <t>2218E-700D-00-253-003</t>
  </si>
  <si>
    <t>2218E-700D-00-260-001</t>
  </si>
  <si>
    <t>400V 1# INCOMING SWITCHGEAR CONTROL SCHEMATIC DIAGRAM</t>
  </si>
  <si>
    <t>2218E-700D-00-260-002</t>
  </si>
  <si>
    <t>400V 2# INCOMING SWITCHGEAR CONTROL SCHEMATIC DIAGRAM</t>
  </si>
  <si>
    <t>2218E-700D-00-260-003</t>
  </si>
  <si>
    <t>400V 3# INCOMING SWITCHGEAR CONTROL SCHEMATIC DIAGRAM</t>
  </si>
  <si>
    <t>2218E-700D-00-260-004</t>
  </si>
  <si>
    <t>400V 4# INCOMING SWITCHGEAR CONTROL SCHEMATIC DIAGRAM</t>
  </si>
  <si>
    <t>2218E-700D-00-260-005</t>
  </si>
  <si>
    <t>TRANSFORMER TEMPERATURE CONTROL BOX SECONDARY TERMINAL WIRING DIAGRAM</t>
  </si>
  <si>
    <t>2218E-700D-00-260-006</t>
  </si>
  <si>
    <r>
      <rPr>
        <sz val="11"/>
        <rFont val="Times New Roman"/>
        <charset val="134"/>
      </rPr>
      <t>400V BUSS SWITCHGEAR CONTROL SCHEMATIC DIAGRAM</t>
    </r>
    <r>
      <rPr>
        <sz val="11"/>
        <rFont val="SimSun"/>
        <charset val="134"/>
      </rPr>
      <t>（</t>
    </r>
    <r>
      <rPr>
        <sz val="11"/>
        <rFont val="Times New Roman"/>
        <charset val="134"/>
      </rPr>
      <t>700AA100</t>
    </r>
    <r>
      <rPr>
        <sz val="11"/>
        <rFont val="SimSun"/>
        <charset val="134"/>
      </rPr>
      <t>）</t>
    </r>
  </si>
  <si>
    <t>2218E-700D-00-260-007</t>
  </si>
  <si>
    <r>
      <rPr>
        <sz val="11"/>
        <rFont val="Times New Roman"/>
        <charset val="134"/>
      </rPr>
      <t>400V BUSS SWITCHGEAR CONTROL SCHEMATIC DIAGRAM</t>
    </r>
    <r>
      <rPr>
        <sz val="11"/>
        <rFont val="SimSun"/>
        <charset val="134"/>
      </rPr>
      <t>（</t>
    </r>
    <r>
      <rPr>
        <sz val="11"/>
        <rFont val="Times New Roman"/>
        <charset val="134"/>
      </rPr>
      <t>700AA300</t>
    </r>
    <r>
      <rPr>
        <sz val="11"/>
        <rFont val="SimSun"/>
        <charset val="134"/>
      </rPr>
      <t>）</t>
    </r>
  </si>
  <si>
    <t>2218E-700D-00-260-008</t>
  </si>
  <si>
    <t>400V CAPASITOR CABINET CONTROL SCHEMATIC DIAGRAM</t>
  </si>
  <si>
    <t>2218E-700D-00-260-009</t>
  </si>
  <si>
    <t>400V FILTER CABINET CONTROL SCHEMATIC DIAGRAM</t>
  </si>
  <si>
    <t>2218E-700D-00-260-010</t>
  </si>
  <si>
    <t>2218E-700D-00-260-011</t>
  </si>
  <si>
    <t>400V MOTOR SWITCHGEAR CONTROL SCHEMATIC DIAGRAM(2)</t>
  </si>
  <si>
    <t>2218E-700D-00-260-012</t>
  </si>
  <si>
    <t>400V VFD MOTOR SWITCHGEAR CONTROL SCHEMATIC DIAGRAM(1)</t>
  </si>
  <si>
    <t>2218E-700D-00-260-013</t>
  </si>
  <si>
    <t>2218E-700D-00-260-014</t>
  </si>
  <si>
    <t>2218E-700D-00-260-015</t>
  </si>
  <si>
    <t>400V VFD MOTOR SWITCHGEAR CONTROL SCHEMATIC DIAGRAM(4)</t>
  </si>
  <si>
    <t>2218E-700D-00-260-016</t>
  </si>
  <si>
    <t>NETWORK TOPOLOGY DIAGRAM</t>
  </si>
  <si>
    <t>2218E-700D-00-260-017</t>
  </si>
  <si>
    <r>
      <rPr>
        <sz val="11"/>
        <rFont val="Times New Roman"/>
        <charset val="134"/>
      </rPr>
      <t>ELECTRIC HEATER CONTROL SCHEMATIC DIAGRAM</t>
    </r>
    <r>
      <rPr>
        <sz val="11"/>
        <rFont val="SimSun"/>
        <charset val="134"/>
      </rPr>
      <t>（</t>
    </r>
    <r>
      <rPr>
        <sz val="11"/>
        <rFont val="Times New Roman"/>
        <charset val="134"/>
      </rPr>
      <t>1</t>
    </r>
    <r>
      <rPr>
        <sz val="11"/>
        <rFont val="SimSun"/>
        <charset val="134"/>
      </rPr>
      <t>）</t>
    </r>
  </si>
  <si>
    <t>2218E-700D-00-260-018</t>
  </si>
  <si>
    <r>
      <rPr>
        <sz val="11"/>
        <rFont val="Times New Roman"/>
        <charset val="134"/>
      </rPr>
      <t>ELECTRIC HEATER CONTROL SCHEMATIC DIAGRAM</t>
    </r>
    <r>
      <rPr>
        <sz val="11"/>
        <rFont val="SimSun"/>
        <charset val="134"/>
      </rPr>
      <t>（</t>
    </r>
    <r>
      <rPr>
        <sz val="11"/>
        <rFont val="Times New Roman"/>
        <charset val="134"/>
      </rPr>
      <t>2</t>
    </r>
    <r>
      <rPr>
        <sz val="11"/>
        <rFont val="SimSun"/>
        <charset val="134"/>
      </rPr>
      <t>）</t>
    </r>
  </si>
  <si>
    <t>2218E-700D-00-260-019</t>
  </si>
  <si>
    <r>
      <rPr>
        <sz val="11"/>
        <rFont val="Times New Roman"/>
        <charset val="134"/>
      </rPr>
      <t>ELECTRIC HEATER CONTROL SCHEMATIC DIAGRAM</t>
    </r>
    <r>
      <rPr>
        <sz val="11"/>
        <rFont val="SimSun"/>
        <charset val="134"/>
      </rPr>
      <t>（</t>
    </r>
    <r>
      <rPr>
        <sz val="11"/>
        <rFont val="Times New Roman"/>
        <charset val="134"/>
      </rPr>
      <t>3</t>
    </r>
    <r>
      <rPr>
        <sz val="11"/>
        <rFont val="SimSun"/>
        <charset val="134"/>
      </rPr>
      <t>）</t>
    </r>
  </si>
  <si>
    <t>2218E-700D-00-260-020</t>
  </si>
  <si>
    <r>
      <rPr>
        <sz val="11"/>
        <rFont val="Times New Roman"/>
        <charset val="134"/>
      </rPr>
      <t>ELECTRIC HEATER CONTROL SCHEMATIC DIAGRAM</t>
    </r>
    <r>
      <rPr>
        <sz val="11"/>
        <rFont val="SimSun"/>
        <charset val="134"/>
      </rPr>
      <t>（</t>
    </r>
    <r>
      <rPr>
        <sz val="11"/>
        <rFont val="Times New Roman"/>
        <charset val="134"/>
      </rPr>
      <t>4</t>
    </r>
    <r>
      <rPr>
        <sz val="11"/>
        <rFont val="SimSun"/>
        <charset val="134"/>
      </rPr>
      <t>）</t>
    </r>
  </si>
  <si>
    <t>2218E-700D-00-260-021</t>
  </si>
  <si>
    <t>ELECTRIC HEATER CONTROL SCHEMATIC DIAGRAM</t>
  </si>
  <si>
    <t>2218E-700D-00-260-022</t>
  </si>
  <si>
    <t>SCHEMATIC DIAGRAM OF INTELLIGENT LIGHTING DEVICE</t>
  </si>
  <si>
    <t>2218E-700D-00-310-001</t>
  </si>
  <si>
    <t>EQUIPMENT LAYOUT</t>
  </si>
  <si>
    <t>2218E-700D-00-410-001</t>
  </si>
  <si>
    <t>CABLE LAYOUT</t>
  </si>
  <si>
    <t>2218E-700D-00-410-002</t>
  </si>
  <si>
    <t>FAN&amp;AIR CONDITIONING CABLE LAYOUT</t>
  </si>
  <si>
    <t>2218E-700D-00-420-001</t>
  </si>
  <si>
    <t>ELECTRICAL CABLE TRAY ROUTING LAYOUT</t>
  </si>
  <si>
    <t>2218E-700D-00-430-001</t>
  </si>
  <si>
    <t>LIGHTING LAYOUT</t>
  </si>
  <si>
    <t>2218E-700D-00-440-001</t>
  </si>
  <si>
    <t>LIGHTNING AND EARTHING LAYOUT</t>
  </si>
  <si>
    <t>2218E-700X-00-043-001</t>
  </si>
  <si>
    <t>TEL. EQU. &amp; MATERIAL LIST</t>
  </si>
  <si>
    <t>2218E-700X-00-210-002</t>
  </si>
  <si>
    <t>CLOSED CIRCUIT TELEVISION SYSTEM LAYOUT</t>
  </si>
  <si>
    <t>EC-MY-DED-AA-ELEC-DWG-700-23001</t>
  </si>
  <si>
    <t>PRE TREATMENT
GROUND FLOOR PLAN
LIGHTING LAYOUT</t>
  </si>
  <si>
    <t>EC-MY-DED-AA-ELEC-DWG-700-23002</t>
  </si>
  <si>
    <t>PRE TREATMENT
FIRST FLOOR PLAN
LIGHTING LAYOUT</t>
  </si>
  <si>
    <t>EC-MY-DED-AA-ELEC-DWG-700-23003</t>
  </si>
  <si>
    <t>PRE TREATMENT
ROOF PLAN
LIGHTING LAYOUT</t>
  </si>
  <si>
    <t>EC-MY-DED-AA-ELEC-DWG-700-23004</t>
  </si>
  <si>
    <t>PRE TREATMENT
GROUND FLOOR PLAN
POWER LAYOUT</t>
  </si>
  <si>
    <t>EC-MY-DED-AA-ELEC-DWG-700-23005</t>
  </si>
  <si>
    <t>PRE TREATMENT
FIRST FLOOR PLAN
POWER LAYOUT</t>
  </si>
  <si>
    <t>EC-MY-DED-AA-ELEC-DWG-700-23006</t>
  </si>
  <si>
    <t>PRE TREATMENT
SINGLE LINE DIAGRAM
SUB SWITCH BOARD (700/SSB/G/1 &amp; 700/SSB/G/2)
SUB SWITCH BOARD (700/DB/G/1 &amp; 700/DB/F/1)</t>
  </si>
  <si>
    <t>EC-MY-DED-AA-ELEC-DWG-700-23007</t>
  </si>
  <si>
    <t>PRE TREATMENT
ROOF PLAN
POWER LAYOUT</t>
  </si>
  <si>
    <t>EC-MY-DED-AA-ELEC-DWG-700-23008</t>
  </si>
  <si>
    <t>PRE TREATMENT
ROOF PLAN &amp; SOUTH ELEVATION
FRAME EARTH LAYOUT
STANDARD DETAILS</t>
  </si>
  <si>
    <t>EC-MY-DED-AA-ELEC-DWG-700-23009</t>
  </si>
  <si>
    <t>PRE TREATMENT
GROUND FLOOR PLAN
FRAME EARTH LAYOUT
STANDARD DETAILS</t>
  </si>
  <si>
    <t>EC-MY-DED-AA-ELEC-DWG-700-23010</t>
  </si>
  <si>
    <t>PRE TREATMENT
GROUND FLOOR PLAN
CABLE TRUNKING LAYOUT</t>
  </si>
  <si>
    <t>EC-MY-DED-AA-ELEC-DWG-700-23011</t>
  </si>
  <si>
    <t>PRE TREATMENT
FIRST FLOOR PLAN
CABLE TRUNKING LAYOUT</t>
  </si>
  <si>
    <t>EC-MY-DED-AA-ELEC-DWG-700-23012</t>
  </si>
  <si>
    <t>PRE TREATMENT
CABLE TAG NO</t>
  </si>
  <si>
    <t>EC-MY-CON-PCC-ELV-DWG-700-25001</t>
  </si>
  <si>
    <t>Second floor PLAN CCTV LAYOUT LOCAL AREA NETWORK LAYOUT CARD ACCESS LAOUT</t>
  </si>
  <si>
    <t>EC-MY-DED-AA-ELV-DWG-700-23001</t>
  </si>
  <si>
    <t xml:space="preserve">GROUND FLOOR ELV SYSTEM </t>
  </si>
  <si>
    <t>EC-MY-CON-PCC-ELV-DWG-700-25002</t>
  </si>
  <si>
    <t>RETREATMENT 1ST floor PLAN CCTV LAYOUT LOCAL AREA NETWORK LAYOUT CARD ACCESS LAYOUT</t>
  </si>
  <si>
    <t>EC-MY-DED-AA-ELV-DWG-700-23002</t>
  </si>
  <si>
    <t xml:space="preserve">FIRST FLOOR ELV SYSTEM </t>
  </si>
  <si>
    <t>EC-MY-CON-PCC-ELV-DWG-700-25003</t>
  </si>
  <si>
    <t>PRE TREATMENT GROUND FLOOR PLAN CCTV LAYOUT LOCAL AREA NETWORK LAYOUT CARD ACCESS LAYOUT</t>
  </si>
  <si>
    <t>EC-MY-CON-PCC-ELV-DWG-700-25004</t>
  </si>
  <si>
    <t>PRE TREATMENT First floor PLAN CCTV LAYOUT LOCAL AREA NETWORK LAYOUT CARD ACCESS LAYOUT</t>
  </si>
  <si>
    <t>EC-MY-CON-PCC-ELV-DWG-700-25005</t>
  </si>
  <si>
    <t>3rd floor video surveillance plan CCTV LAYOUT LOCAL</t>
  </si>
  <si>
    <t>EC-MY-CON-PCC-FF-DWG-800-24001</t>
  </si>
  <si>
    <t>RENEWABLE FUELS PRODUCTION UNIT (RFP) : - LAYOUT PLAN DRAWINGS</t>
  </si>
  <si>
    <t>EC-MY-DED-AA-FIFI-DWG-800-23001</t>
  </si>
  <si>
    <t>RENEWABLE FUELS PRODUCTION UNIT (RFP):
OVERALL PLOT PLAN 
+7.100 LEVEL
- LAYOUT PLAN FOR HOSE REEL SYSTEM, FIRE ALARM SYSTEM &amp; PORTABLE FIRE EXTINGUISHER</t>
  </si>
  <si>
    <t>EC-MY-CON-PCC-FF-DWG-800-24002</t>
  </si>
  <si>
    <t>RENEWABLE FUELS PRODUCTION UNIT (RFP)- SECTION DRAWING</t>
  </si>
  <si>
    <t>EC-MY-DED-AA-FIFI-DWG-800-23001A</t>
  </si>
  <si>
    <t>RENEWABLE FUELS PRODUCTION UNIT (RFP):
OVERALL PLOT PLAN 
+7.100 LEVEL
- LAYOUT PLAN FOR HOSE REEL SYSTEM, FIRE ALARM SYSTEM &amp; PORTABLE FIRE EXTINGUISHER</t>
  </si>
  <si>
    <t>EC-MY-CON-PCC-FF-DWG-800-24003</t>
  </si>
  <si>
    <t>RENEWABLE FUELS PRODUCTION UNIT (RFP) - INSTRUMENT CABLE ROUTING FOR FIRE AND GAS SYSTEM</t>
  </si>
  <si>
    <t>EC-MY-DED-AA-FIFI-DWG-800-23002</t>
  </si>
  <si>
    <t>RENEWABLE FUELS PRODUCTION UNIT (RFP):
COMPRESSOR SHED
+10.700 LEVEL
- LAYOUT PLAN FOR HOSE REEL SYSTEM, FIRE ALARM SYSTEM &amp; PORTABLE FIRE EXTINGUISHER</t>
  </si>
  <si>
    <t>EC-MY-CON-PCC-FF-DWG-800-24004</t>
  </si>
  <si>
    <t>RENEWABLE FUELS PRODUCTION UNIT (RFP)  - LAYOUT FOR HOSE REEL SYSTEM</t>
  </si>
  <si>
    <t>EC-MY-DED-AA-FIFI-DWG-800-23003</t>
  </si>
  <si>
    <t>RENEWABLE FUELS PRODUCTION UNIT (RFP):
DESULPHURIZATION FRAME AND REACTION FRAME
+12.100M LEVEL, +14.100M LEVEL, +15.600M LEVEL, +17.100M LEVEL, +19.900M LEVEL, +20.700M LEVEL, +22.100M LEVEL, +27.600M LEVEL
- LAYOUT PLAN FOR HOSE REEL SYSTEM, FIRE ALARM SYSTEM &amp; PORTABLE FIRE EXTINGUISHER</t>
  </si>
  <si>
    <t>EC-MY-CON-PCC-FF-DWG-800-24005</t>
  </si>
  <si>
    <t>RENEWABLE FUELS PRODUCTION UNIT (RFP)  - ISOMETRIC DIAGRAM FOR HOSE REEL SYSTEM</t>
  </si>
  <si>
    <t>EC-MY-DED-AA-FIFI-DWG-800-23004</t>
  </si>
  <si>
    <t>RENEWABLE FUELS PRODUCTION UNIT (RFP):
REACTION FRAME
+25.800M LEVEL, +31.200M LEVEL, +35.400M LEVEL, +39.100M LEVEL, +45.100M LEVEL, +51.100M LEVEL
- LAYOUT PLAN FOR HOSE REEL SYSTEM, FIRE ALARM SYSTEM &amp; PORTABLE FIRE EXTINGUISHER</t>
  </si>
  <si>
    <t>EC-MY-CON-PCC-FF-DWG-800-24006</t>
  </si>
  <si>
    <t>RENEWABLE FUELS PRODUCTION UNIT (RFP) : - INSTRUMENT HOOK-UP DRAWINGS FOR FIRE AND GAS SYSTEM</t>
  </si>
  <si>
    <t>EC-MY-DED-AA-FIFI-DWG-800-23005</t>
  </si>
  <si>
    <t>RENEWABLE FUELS PRODUCTION UNIT (RFP):
DISTILLATION FRAME
+13.100M LEVEL, +19.100M LEVEL, +25.100M LEVEL
- LAYOUT PLAN FOR HOSE REEL SYSTEM, FIRE ALARM SYSTEM &amp; PORTABLE FIRE EXTINGUISHER</t>
  </si>
  <si>
    <t>EC-MY-DED-AA-FIFI-DWG-800-23006</t>
  </si>
  <si>
    <t>RENEWABLE FUELS PRODUCTION UNIT (RFP):
- ISOMETRIC DIAGRAM FOR HOSE REEL SYSTEM</t>
  </si>
  <si>
    <t>EC-MY-DED-AA-FIFI-DWG-800-23006A</t>
  </si>
  <si>
    <t>RENEWABLE FUELS PRODUCTION UNIT (RFP):
- ISOMETRIC DIAGRAM FOR HOSE REEL SYSTEM</t>
  </si>
  <si>
    <t>EC-MY-DED-AA-FIFI-DWG-800-23006B</t>
  </si>
  <si>
    <t>EC-MY-DED-AA-FIFI-DWG-800-23006C</t>
  </si>
  <si>
    <t>EC-MY-DED-AA-FIFI-DWG-800-23007</t>
  </si>
  <si>
    <t>RENEWABLE FUELS PRODUCTION UNIT (RFP):
OVERALL PLOT PLAN 
+7.100 LEVEL
- LAYOUT PLAN FOR FIXED WATER SPRAY SYSTEM</t>
  </si>
  <si>
    <t>EC-MY-DED-AA-FIFI-DWG-800-23007A</t>
  </si>
  <si>
    <t>RENEWABLE FUELS PRODUCTION UNIT (RFP):
OVERALL PLOT PLAN
+7.100 LEVEL
- LAYOUT PLAN FOR FIXED WATER SPRAY SYSTEM</t>
  </si>
  <si>
    <t>EC-MY-DED-AA-FIFI-DWG-800-23008</t>
  </si>
  <si>
    <t>RENEWABLE FUELS PRODUCTION UNIT (RFP):
COMPRESSOR SHED
+10.800 LEVEL
- LAYOUT PLAN FOR FIXED WATER SPRAY SYSTEM</t>
  </si>
  <si>
    <t>EC-MY-DED-AA-FIFI-DWG-800-23009</t>
  </si>
  <si>
    <t>RENEWABLE FUELS PRODUCTION UNIT (RFP):
DESULPHURIZATION FRAME AND REACTION FRAME
+12.100M LEVEL, +14.100M LEVEL, +15.600M LEVEL, +17.100M LEVEL, +19.900M
LEVEL, +20.800M LEVEL, +22.100M LEVEL, +27.600M LEVEL
- LAYOUT PLAN FOR FIXED WATER SPRAY SYSTEM</t>
  </si>
  <si>
    <t>EC-MY-DED-AA-FIFI-DWG-800-23010</t>
  </si>
  <si>
    <t>RENEWABLE FUELS PRODUCTION UNIT (RFP):
REACTION FRAME
+25.800M LEVEL, +31.200M LEVEL, +35.400M LEVEL, +39.100M LEVEL, +45.100M 
LEVEL, +51.100M LEVEL
- LAYOUT PLAN FOR FIXED WATER SPRAY SYSTEM</t>
  </si>
  <si>
    <t>EC-MY-DED-AA-FIFI-DWG-800-23011</t>
  </si>
  <si>
    <t>RENEWABLE FUELS PRODUCTION UNIT (RFP):
DISTILLATION FRAME
+13.100M LEVEL, +19.100M LEVEL, +25.100M LEVEL
- LAYOUT PLAN FOR FIXED WATER SPRAY SYSTEM</t>
  </si>
  <si>
    <t>EC-MY-DED-AA-FIFI-DWG-800-23012</t>
  </si>
  <si>
    <t>RENEWABLE FUELS PRODUCTION UNIT (RFP):
- ISOMETRIC DIAGRAM FOR FIXED WATER SPRAY SYSTEM</t>
  </si>
  <si>
    <t>EC-MY-DED-AA-FIFI-DWG-800-23013</t>
  </si>
  <si>
    <t>RENEWABLE FUELS PRODUCTION UNIT (RFP):
- ISOMETRIC DIAGRAM FOR FIXED WATER SPRAY SYSTEM</t>
  </si>
  <si>
    <t>EC-MY-DED-AA-FIFI-DWG-800-23014</t>
  </si>
  <si>
    <t>EC-MY-DED-AA-FIFI-DWG-800-23015</t>
  </si>
  <si>
    <t>RENEWABLE FUELS PRODUCTION UNIT (RFP):
- SCHEDULE OF GAS DETECTION SYSTEM</t>
  </si>
  <si>
    <t>EC-MY-DED-AA-FIFI-DWG-800-23016</t>
  </si>
  <si>
    <t>RENEWABLE FUELS PRODUCTION UNIT (RFP):
OVERALL PLOT PLAN 
+7.100 LEVEL
- LAYOUT PLAN FOR GAS DETECTION SYSTEM</t>
  </si>
  <si>
    <t>EC-MY-DED-AA-FIFI-DWG-800-23016A</t>
  </si>
  <si>
    <t>RENEWABLE FUELS PRODUCTION UNIT (RFP):
OVERALL PLOT PLAN
+7.100 LEVEL
- LAYOUT PLAN FOR GAS DETECTION SYSTEM</t>
  </si>
  <si>
    <t>EC-MY-DED-AA-FIFI-DWG-800-23018</t>
  </si>
  <si>
    <t>RENEWABLE FUELS PRODUCTION UNIT (RFP):
DESULPHURIZATION FRAME AND REACTION FRAME
+12.100M LEVEL, +14.100M LEVEL, +15.600M LEVEL, +17.100M LEVEL, +19.900M LEVEL, +20.800M LEVEL, +22.100M LEVEL, +27.600M LEVEL
- LAYOUT PLAN FOR GAS DETECTION SYSTEM</t>
  </si>
  <si>
    <t>EC-MY-DED-AA-FIFI-DWG-800-23019</t>
  </si>
  <si>
    <t>RENEWABLE FUELS PRODUCTION UNIT (RFP):
REACTION FRAME
+25.800M LEVEL, +31.200M LEVEL, +35.400M LEVEL, +39.100M LEVEL, +45.100M LEVEL, +51.100M LEVEL
- LAYOUT PLAN FOR GAS DETECTION SYSTEM</t>
  </si>
  <si>
    <t>EC-MY-DED-AA-FIFI-DWG-800-23020</t>
  </si>
  <si>
    <t>RENEWABLE FUELS PRODUCTION UNIT (RFP):
DISTILLATION FRAME
+13.100M LEVEL, +19.100M LEVEL, +25.100M LEVEL
- LAYOUT PLAN FOR GAS DETECTION SYSTEM</t>
  </si>
  <si>
    <t>EC-MY-DED-AA-FIFI-DWG-800-23021</t>
  </si>
  <si>
    <t>RENEWABLE FUELS PRODUCTION UNIT (RFP):
- SCHEDULE OF FLAME DETECTION SYSTEM</t>
  </si>
  <si>
    <t>EC-MY-DED-AA-FIFI-DWG-800-23022</t>
  </si>
  <si>
    <t>RENEWABLE FUELS PRODUCTION UNIT (RFP):
OVERALL PLOT PLAN 
+7.100 LEVEL
- LAYOUT PLAN FOR FLAME DETECTION SYSTEM</t>
  </si>
  <si>
    <t>EC-MY-DED-AA-FIFI-DWG-800-23022A</t>
  </si>
  <si>
    <t>RENEWABLE FUELS PRODUCTION UNIT (RFP):
OVERALL PLOT PLAN 
+7.100 LEVEL
- LAYOUT PLAN FOR FLAME DETECTION SYSTEM</t>
  </si>
  <si>
    <t>EC-MY-DED-AA-FIFI-DWG-800-23024</t>
  </si>
  <si>
    <t>RENEWABLE FUELS PRODUCTION UNIT (RFP):
DESULPHURIZATION FRAME AND REACTION FRAME
+12.100M LEVEL, +14.100M LEVEL, +15.600M LEVEL, +17.100M LEVEL, +19.900M LEVEL, +20.800M LEVEL, +22.100M LEVEL, +27.600M LEVEL
- LAYOUT PLAN FOR FLAME DETECTION SYSTEM</t>
  </si>
  <si>
    <t>EC-MY-DED-AA-FIFI-DWG-800-23025</t>
  </si>
  <si>
    <t>RENEWABLE FUELS PRODUCTION UNIT (RFP):
REACTION FRAME
+25.800M LEVEL, +31.200M LEVEL, +35.400M LEVEL, +39.100M LEVEL, +45.100M LEVEL, +51.100M LEVEL
- LAYOUT PLAN FOR FLAME DETECTION SYSTEM</t>
  </si>
  <si>
    <t>EC-MY-DED-AA-FIFI-DWG-800-23026</t>
  </si>
  <si>
    <t>RENEWABLE FUELS PRODUCTION UNIT (RFP):
DISTILLATION FRAME
+13.100M LEVEL, +19.100M LEVEL, +25.100M LEVEL
- LAYOUT PLAN FOR FLAME DETECTION SYSTEM</t>
  </si>
  <si>
    <t>EC-MY-DED-AA-FIFI-DWG-800-23027</t>
  </si>
  <si>
    <t>RENEWABLE FUELS PRODUCTION UNIT (RFP):
ELEVATION VIEW OF COMPRESSOR SHED, DISTILLATION FRAME AND HEATER PART</t>
  </si>
  <si>
    <t>EC-MY-DED-AA-FIFI-DWG-800-23028</t>
  </si>
  <si>
    <t>RENEWABLE FUELS PRODUCTION UNIT (RFP):
ELEVATION VIEW OF DESULPHURIZATION FRAME AND REACTION FRAME</t>
  </si>
  <si>
    <t>EC-MY-DED-AA-FIFI-DWG-800-23029</t>
  </si>
  <si>
    <t>RENEWABLE FUELS PRODUCTION UNIT (RFP):
ELEVATION VIEW OF PIPE RACKS</t>
  </si>
  <si>
    <t>EC-MY-DED-AA-FIFI-DWG-800-23030</t>
  </si>
  <si>
    <t>RENEWABLE FUELS PRODUCTION UNIT
(RFP): OVERALL PLOT PLAN +7.100 LEVEL - OVERALL HOSE REEL AND FIXED WATER SPRAY SYSTEMS</t>
  </si>
  <si>
    <t>EC-MY-DED-AA-FIFI-DWG-800-23030A</t>
  </si>
  <si>
    <t>EC-MY-DED-AA-FIFI-DWG-800-23031</t>
  </si>
  <si>
    <t>RENEWABLE FUELS PRODUCTION UNIT
(RFP): COMPRESSOR SHED  +10.700 LEVEL - OVERALL HOSE REEL AND FIXED WATER SPRAY SYSTEMS</t>
  </si>
  <si>
    <t>EC-MY-DED-AA-FIFI-DWG-800-23032</t>
  </si>
  <si>
    <t>RENEWABLE FUELS PRODUCTION UNIT
(RFP): DESULPHURIZATION FRAME AND REACTION FRAME +12.100M LEVEL, +14.100M LEVEL, +15.600M LEVEL, +17.100M LEVEL, +19.900M LEVEL, +20.700M LEVEL, +22.100M LEVEL, +27.600M LEVEL - OVERALL HOSE REEL AND FIXED WATER SPRAY SYSTEMS</t>
  </si>
  <si>
    <t>EC-MY-DED-AA-FIFI-DWG-800-23033</t>
  </si>
  <si>
    <t>RENEWABLE FUELS PRODUCTION UNIT (RFP): REACTION FRAME  +25.800M LEVEL, +31.200M LEVEL, +35.400M LEVEL, +39.100M LEVEL, +45.100M LEVEL, +51.100M LEVEL - OVERALL HOSE REEL AND FIXED WATER SPRAY SYSTEMS</t>
  </si>
  <si>
    <t>EC-MY-DED-AA-FIFI-DWG-800-23034</t>
  </si>
  <si>
    <t>RENEWABLE FUELS PRODUCTION UNIT (RFP): DISTILLATION FRAME +13.100M LEVEL, +19.100M LEVEL, +25.100M LEVEL</t>
  </si>
  <si>
    <t>EC-MY-DED-AA-FIFI-DWG-800-23035</t>
  </si>
  <si>
    <t>Fire Fighting - Schedule of Water Spray Nozzle</t>
  </si>
  <si>
    <t>EC-MY-DED-AA-FIFI-ISO-800-23001A</t>
  </si>
  <si>
    <t>EC-MY-DED-AA-FIFI-ISO-800-23001B</t>
  </si>
  <si>
    <t>EC-MY-DED-AA-FIFI-ISO-800-23001C</t>
  </si>
  <si>
    <t>EC-MY-DED-AA-FIFI-ISO-800-23001D</t>
  </si>
  <si>
    <t>EC-MY-DED-AA-FIFI-ISO-800-23001E</t>
  </si>
  <si>
    <t>EC-MY-DED-AA-FIFI-ISO-800-23001F</t>
  </si>
  <si>
    <t>EC-MY-DED-AA-FIFI-ISO-800-23001G</t>
  </si>
  <si>
    <t>EC-MY-DED-AA-FIFI-ISO-800-23001H</t>
  </si>
  <si>
    <t>EC-MY-DED-AA-FIFI-ISO-800-23001I</t>
  </si>
  <si>
    <t>EC-MY-DED-AA-FIFI-ISO-800-23001J</t>
  </si>
  <si>
    <t>EC-MY-DED-AA-FIFI-ISO-800-23001K</t>
  </si>
  <si>
    <t>EC-MY-DED-AA-FIFI-ISO-800-23001L</t>
  </si>
  <si>
    <t>EC-MY-CON-PCC-ELV-DWG-800-25001</t>
  </si>
  <si>
    <t>800#1st floor video surveillance</t>
  </si>
  <si>
    <t>2218E-800D-00-000-001</t>
  </si>
  <si>
    <t>EC-MY-CON-PCC-ELV-DWG-800-25002</t>
  </si>
  <si>
    <t>800# Second floor video surveillance CCTV LAYOUT</t>
  </si>
  <si>
    <t>2218E-800D-00-010-001</t>
  </si>
  <si>
    <t>EC-MY-CON-PCC-ELV-DWG-800-25003</t>
  </si>
  <si>
    <t>800#3rd floor video surveillance CCTV LAYOUT</t>
  </si>
  <si>
    <t>2218E-800D-00-042-001</t>
  </si>
  <si>
    <t>2218E-800D-00-042-002</t>
  </si>
  <si>
    <t>2218E-800D-00-043-001</t>
  </si>
  <si>
    <t>2218E-800D-00-253-001</t>
  </si>
  <si>
    <t>2218E-800D-00-253-002</t>
  </si>
  <si>
    <t>2218E-800D-00-400-001</t>
  </si>
  <si>
    <t>EXPLOSION HAZARDOUS AREA CLASSIFICATION DIAGRAM</t>
  </si>
  <si>
    <t>2218E-800D-00-410-001</t>
  </si>
  <si>
    <t>2218E-800D-00-420-001</t>
  </si>
  <si>
    <t>2218E-800D-00-430-001</t>
  </si>
  <si>
    <t>2218E-800D-00-440-001</t>
  </si>
  <si>
    <t>2218E-800X-00-043-001</t>
  </si>
  <si>
    <t>2218E-800X-00-210-002</t>
  </si>
  <si>
    <t>EC-MY-CON-PCC-FF-DWG-900-24001</t>
  </si>
  <si>
    <t>HYDROGEN PRODUCTION UNIT (HPU)- LAYOUT PLAN DRAWINGS</t>
  </si>
  <si>
    <t>EC-MY-DED-AA-FIFI-DWG-900-23001</t>
  </si>
  <si>
    <t>HYDROGEN PRODUCTION UNIT (HPU):
OVERALL PLAN VIEW
-LAYOUT PLAN FOR HOSE REEL SYSTEM, FIRE ALARM SYSTEM AND PORTABLE FIRE EXTINGUISHER</t>
  </si>
  <si>
    <t>EC-MY-CON-PCC-FF-DWG-900-24003</t>
  </si>
  <si>
    <t>HYDROGEN PRODUCTION UNIT (HPU)- SECTION DRAWINGS</t>
  </si>
  <si>
    <t>EC-MY-DED-AA-FIFI-DWG-900-23002</t>
  </si>
  <si>
    <t>HYDROGEN PRODUCTION UNIT (HPU):
STRUCTURE "A"
-LAYOUT PLAN FOR HOSE REEL SYSTEM, FIRE ALARM SYSTEM AND PORTABLE FIRE EXTINGUISHER</t>
  </si>
  <si>
    <t>EC-MY-CON-PCC-FF-DWG-900-24004</t>
  </si>
  <si>
    <t>HYDROGEN PRODUCTION UNIT (HPU)- INSTRUMENT CABLE ROUTING FOR FIRE AND GAS SYSTEM</t>
  </si>
  <si>
    <t>EC-MY-DED-AA-FIFI-DWG-900-23003</t>
  </si>
  <si>
    <t>HYDROGEN PRODUCTION UNIT (HPU):
STRUCTURE "B" AND STRUCTURE "C"
-LAYOUT PLAN FOR HOSE REEL SYSTEM, FIRE ALARM SYSTEM AND PORTABLE FIRE EXTINGUISHER</t>
  </si>
  <si>
    <t>EC-MY-CON-PCC-FF-DWG-900-24005</t>
  </si>
  <si>
    <t>HYDROGEN PRODUCTION UNIT (HPU) - ISOMETRIC DIAGRAM FOR HOSE REEL SYSTEM</t>
  </si>
  <si>
    <t>EC-MY-DED-AA-FIFI-DWG-900-23004</t>
  </si>
  <si>
    <t>HYDROGEN PRODUCTION UNIT (HPU):
- ISOMETRIC DIAGRAM FOR HOSE REEL SYSTEM</t>
  </si>
  <si>
    <t>EC-MY-CON-PCC-FF-DWG-900-24006</t>
  </si>
  <si>
    <t>HYDROGEN PRODUCTION UNIT (HPU) - INSTRUMENT HOOK-UP DRAWINGS FOR FIRE AND GAS SYSTEM</t>
  </si>
  <si>
    <t>EC-MY-DED-AA-FIFI-DWG-900-23005</t>
  </si>
  <si>
    <t>HYDROGEN PRODUCTION UNIT (HPU):
- SCHEDULE OF GAS DETECTION SYSTEM
- SCHEDULE OF FLAME DETECTION SYSTEM</t>
  </si>
  <si>
    <t>EC-MY-DED-AA-FIFI-DWG-900-23012</t>
  </si>
  <si>
    <t>HYDROGEN PRODUCTION UNIT (HPU):
ELEVATION VIEW OF STRUCTURE "A", STRUCTURE "B" &amp; STRUCTURE "C"</t>
  </si>
  <si>
    <t>EC-MY-DED-AA-FIFI-DWG-900-23013</t>
  </si>
  <si>
    <t>HYDROGEN PRODUCTION UNIT (HPU):
ELEVATION VIEW
PLAN VIEW AND ELEVATION VIEW OF PIPE RACK</t>
  </si>
  <si>
    <t>EC-MY-DED-AA-FIFI-DWG-900-23014</t>
  </si>
  <si>
    <t>HYDROGEN PRODUCTION UNIT (HPU):
ELEVATION VIEW OF PIPE RACK</t>
  </si>
  <si>
    <t>EC-MY-DED-AA-FIFI-DWG-900-23015</t>
  </si>
  <si>
    <t>HYDROGEN PRODUCTION UNIT (HPU):
E9101 AND F9101
- LAYOUT PLAN FOR GAS DETECTION SYSTEM
- LAYOUT PLAN FOR FLAME DETECTION SYSTEM</t>
  </si>
  <si>
    <t>EC-MY-DED-AA-FIFI-DWG-900-23016</t>
  </si>
  <si>
    <t>HYDROGEN PRODUCTION UNIT (HPU):
STRUCTURE "A" AND 2# PIPE RACK
- LAYOUT PLAN FOR GAS DETECTION SYSTEM
- LAYOUT PLAN FOR FLAME DETECTION SYSTEM</t>
  </si>
  <si>
    <t>EC-MY-DED-AA-FIFI-DWG-900-23017</t>
  </si>
  <si>
    <t>HYDROGEN PRODUCTION UNIT (HPU):
STRUCTURE "B" AND 1# PIPE RACK
- LAYOUT PLAN FOR GAS DETECTION SYSTEM
- LAYOUT PLAN FOR FLAME DETECTION SYSTEM</t>
  </si>
  <si>
    <t>EC-MY-DED-AA-FIFI-DWG-900-23018</t>
  </si>
  <si>
    <t>HYDROGEN PRODUCTION UNIT (HPU):
STRUCTURE "B" EL+10.1M &amp; EL+13.6M
- LAYOUT PLAN FOR GAS DETECTION SYSTEM
- LAYOUT PLAN FOR FLAME DETECTION SYSTEM</t>
  </si>
  <si>
    <t>EC-MY-DED-AA-FIFI-DWG-900-23019</t>
  </si>
  <si>
    <t>HYDROGEN PRODUCTION UNIT (HPU):
STRUCTURE "B" EL+17.6M/19.6M &amp; EL+23.6M
- LAYOUT PLAN FOR GAS DETECTION SYSTEM
- LAYOUT PLAN FOR FLAME DETECTION SYSTEM</t>
  </si>
  <si>
    <t>EC-MY-DED-AA-FIFI-DWG-900-23020</t>
  </si>
  <si>
    <t>HYDROGEN PRODUCTION UNIT (HPU):
STRUCTURE "C" AND 3# PIPE RACK
- LAYOUT PLAN FOR GAS DETECTION SYSTEM
- LAYOUT PLAN FOR FLAME DETECTION SYSTEM</t>
  </si>
  <si>
    <t>EC-MY-DED-AA-FIFI-DWG-900-23021</t>
  </si>
  <si>
    <t>HYDROGEN PRODUCTION UNIT (HPU):
4# PIPE RACK
- LAYOUT PLAN FOR GAS DETECTION SYSTEM
- LAYOUT PLAN FOR FLAME DETECTION SYSTEM</t>
  </si>
  <si>
    <t>EC-MY-CON-PCC-ELV-DWG-900-25001</t>
  </si>
  <si>
    <t>900#1st floor video surveillance plan CCTV LAYOUT</t>
  </si>
  <si>
    <t>22103D900-DQ-00-01</t>
  </si>
  <si>
    <t>22103D900-DQ-00-02</t>
  </si>
  <si>
    <t>GROUNDING  LAYOUT</t>
  </si>
  <si>
    <t>22103D900-DQ-00-03</t>
  </si>
  <si>
    <t>CABLE TRAY LAYOUT</t>
  </si>
  <si>
    <t>22103D900-DQ-00-04</t>
  </si>
  <si>
    <t>CABLE  LAYOUT</t>
  </si>
  <si>
    <t>22103D900-DQ-00-05</t>
  </si>
  <si>
    <t>LIGHTING  LAYOUT  (1)</t>
  </si>
  <si>
    <t>22103D900-DQ-00-06</t>
  </si>
  <si>
    <t>LIGHTING  LAYOUT  (2)</t>
  </si>
  <si>
    <t>22103D900-DQ-00-07</t>
  </si>
  <si>
    <t>AERONAUTICAL OBSTACLE LIGHTING  LAYOUT</t>
  </si>
  <si>
    <t>22103D900-DQ-00-08</t>
  </si>
  <si>
    <t>SINGLE LINE DIAGRAM FOR LIGHTING PANEL 900LP1</t>
  </si>
  <si>
    <t>22103D900-DQ-00-09</t>
  </si>
  <si>
    <t>SINGLE LINE DIAGRAM FOR LIGHTING PANEL 900LP2</t>
  </si>
  <si>
    <t>22103D900-DQ-00-10</t>
  </si>
  <si>
    <t>SINGLE LINE DIAGRAM FOR MAINTENANCE POWER PANEL</t>
  </si>
  <si>
    <t>22103D900-DQ-00-CS</t>
  </si>
  <si>
    <t>ELECTRICAL CABLE LIST</t>
  </si>
  <si>
    <t>22103D900-DQ-00-E10</t>
  </si>
  <si>
    <t>ELECTRICAL MATERIAL TAKE-OFF</t>
  </si>
  <si>
    <t>22103D900-DQ-00-L1</t>
  </si>
  <si>
    <t>22103D900-DQ-00-Q</t>
  </si>
  <si>
    <t>22103D900-DX-00-01</t>
  </si>
  <si>
    <t>22103D900-DX-00-E10</t>
  </si>
  <si>
    <t>22103D900-DX-00-L1</t>
  </si>
  <si>
    <t>DRAWING LIST OF TELECOM DISCIPLINE</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</si>
</sst>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00"/>
    <numFmt numFmtId="181" formatCode="0.00_);[Red]\(0.00\)"/>
    <numFmt numFmtId="182" formatCode="0_);[Red]\(0\)"/>
    <numFmt numFmtId="183" formatCode="0.0%"/>
    <numFmt numFmtId="184" formatCode="0.0"/>
  </numFmts>
  <fonts count="51">
    <font>
      <sz val="11"/>
      <color theme="1"/>
      <name val="宋体"/>
      <charset val="134"/>
      <scheme val="minor"/>
    </font>
    <font>
      <sz val="12"/>
      <color theme="1"/>
      <name val="Times New Roman"/>
      <charset val="134"/>
    </font>
    <font>
      <b/>
      <sz val="12"/>
      <color theme="1"/>
      <name val="Times New Roman"/>
      <charset val="134"/>
    </font>
    <font>
      <sz val="12"/>
      <name val="Times New Roman"/>
      <charset val="134"/>
    </font>
    <font>
      <b/>
      <sz val="11"/>
      <name val="Times New Roman"/>
      <charset val="134"/>
    </font>
    <font>
      <b/>
      <sz val="14"/>
      <name val="Times New Roman"/>
      <charset val="134"/>
    </font>
    <font>
      <b/>
      <sz val="12"/>
      <name val="Times New Roman"/>
      <charset val="134"/>
    </font>
    <font>
      <sz val="11"/>
      <name val="Times New Roman"/>
      <charset val="134"/>
    </font>
    <font>
      <sz val="11"/>
      <color rgb="FFFF0000"/>
      <name val="宋体"/>
      <charset val="134"/>
      <scheme val="minor"/>
    </font>
    <font>
      <sz val="11"/>
      <color theme="0"/>
      <name val="宋体"/>
      <charset val="134"/>
      <scheme val="minor"/>
    </font>
    <font>
      <b/>
      <sz val="10"/>
      <color theme="1"/>
      <name val="宋体"/>
      <charset val="134"/>
      <scheme val="minor"/>
    </font>
    <font>
      <b/>
      <sz val="11"/>
      <color theme="1"/>
      <name val="宋体"/>
      <charset val="134"/>
      <scheme val="minor"/>
    </font>
    <font>
      <b/>
      <sz val="11"/>
      <color theme="1"/>
      <name val="Arial"/>
      <charset val="134"/>
    </font>
    <font>
      <sz val="10"/>
      <color rgb="FF0000FF"/>
      <name val="宋体"/>
      <charset val="134"/>
      <scheme val="minor"/>
    </font>
    <font>
      <sz val="10"/>
      <color rgb="FF0000FF"/>
      <name val="Arial"/>
      <charset val="134"/>
    </font>
    <font>
      <sz val="10"/>
      <color theme="0"/>
      <name val="Arial"/>
      <charset val="134"/>
    </font>
    <font>
      <sz val="11"/>
      <color theme="1"/>
      <name val="Arial"/>
      <charset val="134"/>
    </font>
    <font>
      <sz val="10"/>
      <color rgb="FF0000FF"/>
      <name val="Times New Roman"/>
      <charset val="134"/>
    </font>
    <font>
      <i/>
      <sz val="10"/>
      <color rgb="FF0000FF"/>
      <name val="Times New Roman"/>
      <charset val="134"/>
    </font>
    <font>
      <b/>
      <sz val="11"/>
      <color rgb="FF0000FF"/>
      <name val="宋体"/>
      <charset val="134"/>
      <scheme val="minor"/>
    </font>
    <font>
      <b/>
      <sz val="11"/>
      <color rgb="FFFF0000"/>
      <name val="Arial"/>
      <charset val="134"/>
    </font>
    <font>
      <sz val="7"/>
      <color theme="1"/>
      <name val="宋体"/>
      <charset val="134"/>
      <scheme val="minor"/>
    </font>
    <font>
      <sz val="10"/>
      <color theme="1"/>
      <name val="宋体"/>
      <charset val="134"/>
      <scheme val="minor"/>
    </font>
    <font>
      <sz val="6"/>
      <color theme="1"/>
      <name val="宋体"/>
      <charset val="134"/>
      <scheme val="minor"/>
    </font>
    <font>
      <sz val="7"/>
      <color rgb="FF0000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2"/>
      <name val="新細明體"/>
      <charset val="136"/>
    </font>
    <font>
      <sz val="14"/>
      <name val="Arial"/>
      <charset val="134"/>
    </font>
    <font>
      <sz val="11"/>
      <name val="Arial"/>
      <charset val="134"/>
    </font>
    <font>
      <sz val="11"/>
      <name val="宋体"/>
      <charset val="134"/>
    </font>
    <font>
      <sz val="11"/>
      <name val="SimSun"/>
      <charset val="134"/>
    </font>
    <font>
      <sz val="11"/>
      <name val="微软雅黑"/>
      <charset val="134"/>
    </font>
  </fonts>
  <fills count="36">
    <fill>
      <patternFill patternType="none"/>
    </fill>
    <fill>
      <patternFill patternType="gray125"/>
    </fill>
    <fill>
      <patternFill patternType="solid">
        <fgColor theme="6" tint="0.6"/>
        <bgColor indexed="64"/>
      </patternFill>
    </fill>
    <fill>
      <patternFill patternType="solid">
        <fgColor theme="3" tint="0.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theme="0" tint="-0.149906918546098"/>
      </left>
      <right style="thin">
        <color theme="0" tint="-0.149906918546098"/>
      </right>
      <top style="thin">
        <color theme="0" tint="-0.149906918546098"/>
      </top>
      <bottom style="thin">
        <color theme="0" tint="-0.14990691854609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5" borderId="5"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6" applyNumberFormat="0" applyFill="0" applyAlignment="0" applyProtection="0">
      <alignment vertical="center"/>
    </xf>
    <xf numFmtId="0" fontId="31" fillId="0" borderId="6" applyNumberFormat="0" applyFill="0" applyAlignment="0" applyProtection="0">
      <alignment vertical="center"/>
    </xf>
    <xf numFmtId="0" fontId="32" fillId="0" borderId="7" applyNumberFormat="0" applyFill="0" applyAlignment="0" applyProtection="0">
      <alignment vertical="center"/>
    </xf>
    <xf numFmtId="0" fontId="32" fillId="0" borderId="0" applyNumberFormat="0" applyFill="0" applyBorder="0" applyAlignment="0" applyProtection="0">
      <alignment vertical="center"/>
    </xf>
    <xf numFmtId="0" fontId="33" fillId="6" borderId="8" applyNumberFormat="0" applyAlignment="0" applyProtection="0">
      <alignment vertical="center"/>
    </xf>
    <xf numFmtId="0" fontId="34" fillId="7" borderId="9" applyNumberFormat="0" applyAlignment="0" applyProtection="0">
      <alignment vertical="center"/>
    </xf>
    <xf numFmtId="0" fontId="35" fillId="7" borderId="8" applyNumberFormat="0" applyAlignment="0" applyProtection="0">
      <alignment vertical="center"/>
    </xf>
    <xf numFmtId="0" fontId="36" fillId="8" borderId="10" applyNumberFormat="0" applyAlignment="0" applyProtection="0">
      <alignment vertical="center"/>
    </xf>
    <xf numFmtId="0" fontId="37" fillId="0" borderId="11" applyNumberFormat="0" applyFill="0" applyAlignment="0" applyProtection="0">
      <alignment vertical="center"/>
    </xf>
    <xf numFmtId="0" fontId="38" fillId="0" borderId="12" applyNumberFormat="0" applyFill="0" applyAlignment="0" applyProtection="0">
      <alignment vertical="center"/>
    </xf>
    <xf numFmtId="0" fontId="39" fillId="9" borderId="0" applyNumberFormat="0" applyBorder="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2" fillId="12" borderId="0" applyNumberFormat="0" applyBorder="0" applyAlignment="0" applyProtection="0">
      <alignment vertical="center"/>
    </xf>
    <xf numFmtId="0" fontId="43" fillId="13" borderId="0" applyNumberFormat="0" applyBorder="0" applyAlignment="0" applyProtection="0">
      <alignment vertical="center"/>
    </xf>
    <xf numFmtId="0" fontId="43" fillId="14"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2" fillId="35" borderId="0" applyNumberFormat="0" applyBorder="0" applyAlignment="0" applyProtection="0">
      <alignment vertical="center"/>
    </xf>
    <xf numFmtId="0" fontId="44" fillId="0" borderId="0"/>
    <xf numFmtId="0" fontId="16" fillId="0" borderId="0"/>
    <xf numFmtId="0" fontId="45" fillId="0" borderId="0"/>
    <xf numFmtId="0" fontId="46" fillId="0" borderId="0"/>
  </cellStyleXfs>
  <cellXfs count="103">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wrapText="1"/>
    </xf>
    <xf numFmtId="180" fontId="4" fillId="0" borderId="0" xfId="0" applyNumberFormat="1" applyFont="1" applyAlignment="1">
      <alignment horizontal="center" vertical="center"/>
    </xf>
    <xf numFmtId="181" fontId="4" fillId="0" borderId="0" xfId="0" applyNumberFormat="1"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left" vertical="center" wrapText="1"/>
    </xf>
    <xf numFmtId="49" fontId="4" fillId="0" borderId="0" xfId="0" applyNumberFormat="1" applyFont="1" applyAlignment="1">
      <alignment horizontal="center" vertical="center"/>
    </xf>
    <xf numFmtId="0" fontId="3" fillId="0" borderId="0" xfId="0" applyFont="1" applyAlignment="1">
      <alignment vertical="center"/>
    </xf>
    <xf numFmtId="0" fontId="3" fillId="0" borderId="1" xfId="0" applyFont="1" applyBorder="1" applyAlignment="1">
      <alignment horizontal="center" vertical="center"/>
    </xf>
    <xf numFmtId="180" fontId="3"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180" fontId="6" fillId="2" borderId="1" xfId="0" applyNumberFormat="1" applyFont="1" applyFill="1" applyBorder="1" applyAlignment="1">
      <alignment horizontal="center" vertical="center" wrapText="1"/>
    </xf>
    <xf numFmtId="180" fontId="6"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181" fontId="6" fillId="2" borderId="1" xfId="0" applyNumberFormat="1" applyFont="1" applyFill="1" applyBorder="1" applyAlignment="1">
      <alignment vertical="center"/>
    </xf>
    <xf numFmtId="181" fontId="6" fillId="2" borderId="1" xfId="0" applyNumberFormat="1" applyFont="1" applyFill="1" applyBorder="1" applyAlignment="1">
      <alignment horizontal="center" vertical="center" wrapText="1"/>
    </xf>
    <xf numFmtId="181" fontId="6" fillId="3" borderId="1" xfId="0" applyNumberFormat="1" applyFont="1" applyFill="1" applyBorder="1" applyAlignment="1">
      <alignment vertical="center"/>
    </xf>
    <xf numFmtId="181" fontId="6" fillId="3" borderId="1" xfId="0" applyNumberFormat="1" applyFont="1" applyFill="1" applyBorder="1" applyAlignment="1">
      <alignment horizontal="center" vertical="center" wrapText="1"/>
    </xf>
    <xf numFmtId="0" fontId="7" fillId="0" borderId="1" xfId="0" applyFont="1" applyBorder="1" applyAlignment="1">
      <alignment horizontal="center" vertical="center" wrapText="1"/>
    </xf>
    <xf numFmtId="182" fontId="4" fillId="0" borderId="1" xfId="0" applyNumberFormat="1" applyFon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vertical="center"/>
    </xf>
    <xf numFmtId="0" fontId="0" fillId="0" borderId="1" xfId="0" applyFill="1" applyBorder="1" applyAlignment="1">
      <alignment vertical="center"/>
    </xf>
    <xf numFmtId="0" fontId="4" fillId="0" borderId="1" xfId="0" applyFont="1" applyBorder="1" applyAlignment="1">
      <alignment horizontal="left" vertical="center"/>
    </xf>
    <xf numFmtId="0" fontId="7" fillId="0" borderId="1" xfId="0" applyFont="1" applyBorder="1" applyAlignment="1">
      <alignment vertical="center"/>
    </xf>
    <xf numFmtId="49" fontId="7" fillId="0" borderId="1" xfId="0" applyNumberFormat="1" applyFont="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horizontal="left" vertical="center" wrapText="1"/>
    </xf>
    <xf numFmtId="49" fontId="4" fillId="0" borderId="1" xfId="0" applyNumberFormat="1" applyFont="1" applyBorder="1" applyAlignment="1">
      <alignment horizontal="center" vertical="center"/>
    </xf>
    <xf numFmtId="0" fontId="8" fillId="4" borderId="0" xfId="0" applyFont="1" applyFill="1"/>
    <xf numFmtId="0" fontId="9" fillId="4" borderId="0" xfId="0" applyFont="1" applyFill="1"/>
    <xf numFmtId="0" fontId="0" fillId="4" borderId="0" xfId="0" applyFill="1"/>
    <xf numFmtId="0" fontId="0" fillId="4" borderId="0" xfId="0" applyFill="1" applyAlignment="1">
      <alignment horizontal="center" vertical="center"/>
    </xf>
    <xf numFmtId="58" fontId="10" fillId="4" borderId="0" xfId="0" applyNumberFormat="1" applyFont="1" applyFill="1" applyAlignment="1">
      <alignment horizontal="right"/>
    </xf>
    <xf numFmtId="58" fontId="10" fillId="4" borderId="0" xfId="0" applyNumberFormat="1" applyFont="1" applyFill="1" applyAlignment="1">
      <alignment horizontal="left"/>
    </xf>
    <xf numFmtId="0" fontId="11" fillId="4" borderId="0" xfId="0" applyFont="1" applyFill="1" applyAlignment="1">
      <alignment horizontal="center" vertical="center"/>
    </xf>
    <xf numFmtId="0" fontId="11" fillId="4" borderId="1" xfId="0" applyFont="1" applyFill="1" applyBorder="1" applyAlignment="1">
      <alignment horizontal="center" vertical="center"/>
    </xf>
    <xf numFmtId="0" fontId="11" fillId="4" borderId="1" xfId="0" applyFont="1" applyFill="1" applyBorder="1" applyAlignment="1">
      <alignment horizontal="center" vertical="center" wrapText="1"/>
    </xf>
    <xf numFmtId="0" fontId="12" fillId="4" borderId="1" xfId="0" applyFont="1" applyFill="1" applyBorder="1" applyAlignment="1">
      <alignment horizontal="center" vertical="center"/>
    </xf>
    <xf numFmtId="0" fontId="12" fillId="4" borderId="1" xfId="0" applyFont="1" applyFill="1" applyBorder="1" applyAlignment="1">
      <alignment horizontal="left" vertical="center"/>
    </xf>
    <xf numFmtId="183" fontId="12" fillId="4" borderId="1" xfId="0" applyNumberFormat="1" applyFont="1" applyFill="1" applyBorder="1" applyAlignment="1">
      <alignment horizontal="center"/>
    </xf>
    <xf numFmtId="0" fontId="13" fillId="4" borderId="1" xfId="0" applyFont="1" applyFill="1" applyBorder="1" applyAlignment="1">
      <alignment horizontal="right"/>
    </xf>
    <xf numFmtId="0" fontId="14" fillId="4" borderId="1" xfId="0" applyFont="1" applyFill="1" applyBorder="1" applyAlignment="1">
      <alignment horizontal="right" vertical="center"/>
    </xf>
    <xf numFmtId="0" fontId="14" fillId="4" borderId="1" xfId="0" applyFont="1" applyFill="1" applyBorder="1" applyAlignment="1">
      <alignment horizontal="left" vertical="center"/>
    </xf>
    <xf numFmtId="183" fontId="14" fillId="4" borderId="1" xfId="0" applyNumberFormat="1" applyFont="1" applyFill="1" applyBorder="1"/>
    <xf numFmtId="9" fontId="14" fillId="4" borderId="1" xfId="0" applyNumberFormat="1" applyFont="1" applyFill="1" applyBorder="1"/>
    <xf numFmtId="9" fontId="12" fillId="4" borderId="1" xfId="0" applyNumberFormat="1" applyFont="1" applyFill="1" applyBorder="1" applyAlignment="1">
      <alignment horizontal="center"/>
    </xf>
    <xf numFmtId="0" fontId="14" fillId="4" borderId="1" xfId="0" applyFont="1" applyFill="1" applyBorder="1" applyAlignment="1">
      <alignment horizontal="center" vertical="center"/>
    </xf>
    <xf numFmtId="0" fontId="14" fillId="4" borderId="1" xfId="0" applyFont="1" applyFill="1" applyBorder="1" applyAlignment="1">
      <alignment vertical="center"/>
    </xf>
    <xf numFmtId="183" fontId="14" fillId="4" borderId="1" xfId="0" applyNumberFormat="1" applyFont="1" applyFill="1" applyBorder="1" applyAlignment="1">
      <alignment horizontal="left"/>
    </xf>
    <xf numFmtId="183" fontId="14" fillId="4" borderId="1" xfId="0" applyNumberFormat="1" applyFont="1" applyFill="1" applyBorder="1" applyAlignment="1">
      <alignment horizontal="right"/>
    </xf>
    <xf numFmtId="9" fontId="14" fillId="4" borderId="1" xfId="0" applyNumberFormat="1" applyFont="1" applyFill="1" applyBorder="1" applyAlignment="1">
      <alignment horizontal="left"/>
    </xf>
    <xf numFmtId="183" fontId="15" fillId="4" borderId="1" xfId="0" applyNumberFormat="1" applyFont="1" applyFill="1" applyBorder="1" applyAlignment="1">
      <alignment horizontal="right"/>
    </xf>
    <xf numFmtId="2" fontId="14" fillId="4" borderId="1" xfId="0" applyNumberFormat="1" applyFont="1" applyFill="1" applyBorder="1" applyAlignment="1">
      <alignment horizontal="center" vertical="center"/>
    </xf>
    <xf numFmtId="0" fontId="14" fillId="4" borderId="1" xfId="0" applyFont="1" applyFill="1" applyBorder="1" applyAlignment="1">
      <alignment horizontal="right"/>
    </xf>
    <xf numFmtId="0" fontId="14" fillId="4" borderId="1" xfId="0" applyFont="1" applyFill="1" applyBorder="1" applyAlignment="1">
      <alignment vertical="center" wrapText="1"/>
    </xf>
    <xf numFmtId="2" fontId="14" fillId="4" borderId="1" xfId="0" applyNumberFormat="1" applyFont="1" applyFill="1" applyBorder="1" applyAlignment="1">
      <alignment horizontal="right"/>
    </xf>
    <xf numFmtId="0" fontId="14" fillId="4" borderId="1" xfId="0" applyFont="1" applyFill="1" applyBorder="1" applyAlignment="1">
      <alignment horizontal="center" vertical="center" wrapText="1"/>
    </xf>
    <xf numFmtId="183" fontId="16" fillId="4" borderId="1" xfId="0" applyNumberFormat="1" applyFont="1" applyFill="1" applyBorder="1"/>
    <xf numFmtId="0" fontId="14" fillId="4" borderId="1" xfId="0" applyFont="1" applyFill="1" applyBorder="1" applyAlignment="1">
      <alignment horizontal="right" vertical="center" wrapText="1"/>
    </xf>
    <xf numFmtId="0" fontId="14" fillId="4" borderId="1" xfId="0" applyFont="1" applyFill="1" applyBorder="1" applyAlignment="1">
      <alignment horizontal="left" vertical="center" wrapText="1"/>
    </xf>
    <xf numFmtId="2" fontId="14" fillId="4" borderId="1" xfId="0" applyNumberFormat="1" applyFont="1" applyFill="1" applyBorder="1" applyAlignment="1">
      <alignment horizontal="center" vertical="center" wrapText="1"/>
    </xf>
    <xf numFmtId="183" fontId="14" fillId="4" borderId="1" xfId="0" applyNumberFormat="1" applyFont="1" applyFill="1" applyBorder="1" applyAlignment="1">
      <alignment horizontal="center"/>
    </xf>
    <xf numFmtId="0" fontId="17" fillId="4" borderId="1" xfId="0" applyFont="1" applyFill="1" applyBorder="1" applyAlignment="1">
      <alignment horizontal="center" vertical="center"/>
    </xf>
    <xf numFmtId="0" fontId="17" fillId="4" borderId="1" xfId="0" applyFont="1" applyFill="1" applyBorder="1" applyAlignment="1">
      <alignment vertical="center"/>
    </xf>
    <xf numFmtId="0" fontId="0" fillId="4" borderId="1" xfId="0" applyFill="1" applyBorder="1"/>
    <xf numFmtId="0" fontId="17" fillId="4" borderId="1" xfId="0" applyFont="1" applyFill="1" applyBorder="1" applyAlignment="1">
      <alignment horizontal="right" vertical="center"/>
    </xf>
    <xf numFmtId="0" fontId="18" fillId="4" borderId="1" xfId="0" applyFont="1" applyFill="1" applyBorder="1" applyAlignment="1">
      <alignment vertical="center"/>
    </xf>
    <xf numFmtId="0" fontId="17" fillId="4" borderId="2" xfId="0" applyFont="1" applyFill="1" applyBorder="1" applyAlignment="1">
      <alignment horizontal="right" vertical="center"/>
    </xf>
    <xf numFmtId="0" fontId="18" fillId="4" borderId="2" xfId="0" applyFont="1" applyFill="1" applyBorder="1" applyAlignment="1">
      <alignment vertical="center"/>
    </xf>
    <xf numFmtId="0" fontId="0" fillId="4" borderId="3" xfId="0" applyFill="1" applyBorder="1"/>
    <xf numFmtId="184" fontId="17" fillId="4" borderId="1" xfId="0" applyNumberFormat="1" applyFont="1" applyFill="1" applyBorder="1" applyAlignment="1">
      <alignment horizontal="center" vertical="center"/>
    </xf>
    <xf numFmtId="2" fontId="17" fillId="4" borderId="1" xfId="0" applyNumberFormat="1" applyFont="1" applyFill="1" applyBorder="1" applyAlignment="1">
      <alignment horizontal="center" vertical="center"/>
    </xf>
    <xf numFmtId="0" fontId="0" fillId="4" borderId="1" xfId="0" applyFill="1" applyBorder="1" applyAlignment="1">
      <alignment horizontal="center" vertical="center"/>
    </xf>
    <xf numFmtId="0" fontId="19" fillId="4" borderId="0" xfId="0" applyFont="1" applyFill="1" applyAlignment="1">
      <alignment horizontal="right"/>
    </xf>
    <xf numFmtId="10" fontId="19" fillId="4" borderId="0" xfId="0" applyNumberFormat="1" applyFont="1" applyFill="1"/>
    <xf numFmtId="0" fontId="8" fillId="4" borderId="0" xfId="0" applyFont="1" applyFill="1" applyAlignment="1">
      <alignment horizontal="center" vertical="center"/>
    </xf>
    <xf numFmtId="10" fontId="8" fillId="4" borderId="0" xfId="0" applyNumberFormat="1" applyFont="1" applyFill="1"/>
    <xf numFmtId="0" fontId="20" fillId="4" borderId="0" xfId="0" applyFont="1" applyFill="1" applyAlignment="1">
      <alignment horizontal="center" vertical="center"/>
    </xf>
    <xf numFmtId="183" fontId="20" fillId="4" borderId="0" xfId="0" applyNumberFormat="1" applyFont="1" applyFill="1" applyAlignment="1">
      <alignment horizontal="center"/>
    </xf>
    <xf numFmtId="9" fontId="20" fillId="4" borderId="0" xfId="0" applyNumberFormat="1" applyFont="1" applyFill="1" applyAlignment="1">
      <alignment horizontal="center"/>
    </xf>
    <xf numFmtId="0" fontId="9" fillId="4" borderId="0" xfId="0" applyFont="1" applyFill="1" applyAlignment="1">
      <alignment horizontal="center" vertical="center"/>
    </xf>
    <xf numFmtId="0" fontId="0" fillId="4" borderId="0" xfId="0" applyFill="1" applyAlignment="1">
      <alignment horizontal="right" vertical="center" textRotation="90" wrapText="1"/>
    </xf>
    <xf numFmtId="0" fontId="21" fillId="4" borderId="4" xfId="0" applyFont="1" applyFill="1" applyBorder="1" applyAlignment="1">
      <alignment horizontal="center" vertical="center"/>
    </xf>
    <xf numFmtId="0" fontId="22" fillId="4" borderId="0" xfId="0" applyFont="1" applyFill="1" applyAlignment="1">
      <alignment horizontal="center" vertical="center"/>
    </xf>
    <xf numFmtId="0" fontId="23" fillId="4" borderId="4" xfId="0" applyFont="1" applyFill="1" applyBorder="1" applyAlignment="1">
      <alignment horizontal="center" vertical="center"/>
    </xf>
    <xf numFmtId="0" fontId="21" fillId="4" borderId="4" xfId="0" applyFont="1" applyFill="1" applyBorder="1" applyAlignment="1">
      <alignment horizontal="center"/>
    </xf>
    <xf numFmtId="0" fontId="21" fillId="4" borderId="4" xfId="0" applyFont="1" applyFill="1" applyBorder="1" applyAlignment="1">
      <alignment horizontal="center" vertical="center" wrapText="1"/>
    </xf>
    <xf numFmtId="0" fontId="23" fillId="4" borderId="4" xfId="0" applyFont="1" applyFill="1" applyBorder="1" applyAlignment="1">
      <alignment horizontal="center" vertical="center" wrapText="1"/>
    </xf>
    <xf numFmtId="0" fontId="23" fillId="4" borderId="0" xfId="0" applyFont="1" applyFill="1" applyAlignment="1">
      <alignment horizontal="center" wrapText="1"/>
    </xf>
    <xf numFmtId="0" fontId="21" fillId="4" borderId="4" xfId="0" applyFont="1" applyFill="1" applyBorder="1" applyAlignment="1">
      <alignment horizontal="left" vertical="center" wrapText="1"/>
    </xf>
    <xf numFmtId="0" fontId="24" fillId="4" borderId="4" xfId="0" applyFont="1" applyFill="1" applyBorder="1" applyAlignment="1">
      <alignment horizontal="center" vertical="center"/>
    </xf>
    <xf numFmtId="0" fontId="24" fillId="4" borderId="4" xfId="0" applyFont="1" applyFill="1" applyBorder="1" applyAlignment="1">
      <alignment horizontal="left" vertical="center" wrapText="1"/>
    </xf>
    <xf numFmtId="0" fontId="24" fillId="4" borderId="4" xfId="0" applyFont="1" applyFill="1" applyBorder="1" applyAlignment="1">
      <alignment horizontal="left" vertical="center"/>
    </xf>
    <xf numFmtId="0" fontId="0" fillId="4" borderId="0" xfId="0" applyFill="1" applyAlignment="1">
      <alignment horizontal="center"/>
    </xf>
    <xf numFmtId="0" fontId="21" fillId="4" borderId="0" xfId="0" applyFont="1" applyFill="1"/>
    <xf numFmtId="0" fontId="23" fillId="4" borderId="0" xfId="0" applyFont="1" applyFill="1"/>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3" xfId="50"/>
    <cellStyle name="Normal 4" xfId="51"/>
    <cellStyle name="ปกติ_DEL_REG_PROC_GEN_31_5_2005" xfId="52"/>
  </cellStyles>
  <dxfs count="3">
    <dxf>
      <font>
        <name val="Calibri"/>
        <scheme val="none"/>
        <b val="0"/>
        <i val="0"/>
        <strike val="0"/>
        <u val="none"/>
        <sz val="11"/>
        <color rgb="FFFF0000"/>
      </font>
      <fill>
        <patternFill patternType="solid">
          <bgColor theme="0"/>
        </patternFill>
      </fill>
      <alignment horizontal="center" vertical="center"/>
    </dxf>
    <dxf>
      <font>
        <name val="Calibri"/>
        <scheme val="none"/>
        <b val="0"/>
        <i val="0"/>
        <strike val="0"/>
        <u val="none"/>
        <sz val="11"/>
        <color rgb="FFFF0000"/>
      </font>
      <numFmt numFmtId="10" formatCode="0.00%"/>
      <fill>
        <patternFill patternType="solid">
          <bgColor theme="0"/>
        </patternFill>
      </fill>
    </dxf>
    <dxf>
      <font>
        <name val="Calibri"/>
        <scheme val="none"/>
        <b val="0"/>
        <i val="0"/>
        <strike val="0"/>
        <u val="none"/>
        <sz val="11"/>
        <color rgb="FFFF0000"/>
      </font>
      <numFmt numFmtId="10" formatCode="0.00%"/>
      <fill>
        <patternFill patternType="solid">
          <bgColor theme="0"/>
        </patternFill>
      </fill>
    </dxf>
  </dxfs>
  <tableStyles count="0" defaultTableStyle="TableStyleMedium2" defaultPivotStyle="PivotStyleMedium9"/>
  <colors>
    <mruColors>
      <color rgb="000000FF"/>
      <color rgb="00FFFF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www.wps.cn/officeDocument/2020/cellImage" Target="cellimag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400" b="1" i="0" u="none" strike="noStrike" kern="1200" cap="none" baseline="0">
                <a:solidFill>
                  <a:schemeClr val="lt1">
                    <a:lumMod val="85000"/>
                  </a:schemeClr>
                </a:solidFill>
                <a:latin typeface="+mn-lt"/>
                <a:ea typeface="+mn-ea"/>
                <a:cs typeface="+mn-cs"/>
              </a:defRPr>
            </a:pPr>
            <a:r>
              <a:rPr lang="en-MY"/>
              <a:t>Final Documentation Softcopy</a:t>
            </a:r>
            <a:r>
              <a:rPr lang="en-MY" baseline="0"/>
              <a:t> &amp; Hardcopy Compilation Status By Volume</a:t>
            </a:r>
            <a:endParaRPr lang="en-MY"/>
          </a:p>
        </c:rich>
      </c:tx>
      <c:layout/>
      <c:overlay val="0"/>
      <c:spPr>
        <a:noFill/>
        <a:ln>
          <a:noFill/>
        </a:ln>
        <a:effectLst/>
      </c:spPr>
    </c:title>
    <c:autoTitleDeleted val="0"/>
    <c:plotArea>
      <c:layout/>
      <c:barChart>
        <c:barDir val="col"/>
        <c:grouping val="clustered"/>
        <c:varyColors val="0"/>
        <c:ser>
          <c:idx val="0"/>
          <c:order val="0"/>
          <c:tx>
            <c:strRef>
              <c:f>"Softcopy"</c:f>
              <c:strCache>
                <c:ptCount val="1"/>
                <c:pt idx="0">
                  <c:v>Softcopy</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dLbl>
              <c:idx val="4"/>
              <c:layout>
                <c:manualLayout>
                  <c:x val="-0.00653061112550455"/>
                  <c:y val="-0.019008820953558"/>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0103646106815557"/>
                  <c:y val="-0.00237610261919478"/>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00901506509657832"/>
                  <c:y val="-0.0204588715466391"/>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lt1">
                        <a:lumMod val="7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movingAvg"/>
            <c:period val="2"/>
            <c:dispRSqr val="0"/>
            <c:dispEq val="0"/>
          </c:trendline>
          <c:cat>
            <c:strRef>
              <c:f>'Summary Report'!$B$7:$B$907</c:f>
              <c:strCache>
                <c:ptCount val="12"/>
                <c:pt idx="0">
                  <c:v>Vol. 1</c:v>
                </c:pt>
                <c:pt idx="1">
                  <c:v>Vol. 2</c:v>
                </c:pt>
                <c:pt idx="2">
                  <c:v>Vol. 3</c:v>
                </c:pt>
                <c:pt idx="3">
                  <c:v>Vol. 4</c:v>
                </c:pt>
                <c:pt idx="4">
                  <c:v>Vol. 5</c:v>
                </c:pt>
                <c:pt idx="5">
                  <c:v>Vol. 6</c:v>
                </c:pt>
                <c:pt idx="6">
                  <c:v>Vol. 7</c:v>
                </c:pt>
                <c:pt idx="7">
                  <c:v>Vol. 8</c:v>
                </c:pt>
                <c:pt idx="8">
                  <c:v>Vol. 9</c:v>
                </c:pt>
                <c:pt idx="9">
                  <c:v>Vol. 10</c:v>
                </c:pt>
                <c:pt idx="10">
                  <c:v>Vol. 11</c:v>
                </c:pt>
                <c:pt idx="11">
                  <c:v>Vol. 12</c:v>
                </c:pt>
              </c:strCache>
            </c:strRef>
          </c:cat>
          <c:val>
            <c:numRef>
              <c:f>'Summary Report'!$D$7:$D$907</c:f>
              <c:numCache>
                <c:formatCode>0.0%</c:formatCode>
                <c:ptCount val="12"/>
                <c:pt idx="0">
                  <c:v>0</c:v>
                </c:pt>
                <c:pt idx="1">
                  <c:v>0</c:v>
                </c:pt>
                <c:pt idx="2" c:formatCode="0%">
                  <c:v>0</c:v>
                </c:pt>
                <c:pt idx="3">
                  <c:v>0</c:v>
                </c:pt>
                <c:pt idx="4">
                  <c:v>0</c:v>
                </c:pt>
                <c:pt idx="5">
                  <c:v>0</c:v>
                </c:pt>
                <c:pt idx="6">
                  <c:v>0</c:v>
                </c:pt>
                <c:pt idx="7">
                  <c:v>0</c:v>
                </c:pt>
                <c:pt idx="8">
                  <c:v>0</c:v>
                </c:pt>
                <c:pt idx="9">
                  <c:v>0</c:v>
                </c:pt>
                <c:pt idx="10">
                  <c:v>0</c:v>
                </c:pt>
                <c:pt idx="11">
                  <c:v>0</c:v>
                </c:pt>
              </c:numCache>
            </c:numRef>
          </c:val>
        </c:ser>
        <c:ser>
          <c:idx val="1"/>
          <c:order val="1"/>
          <c:tx>
            <c:strRef>
              <c:f>"Hardcopy"</c:f>
              <c:strCache>
                <c:ptCount val="1"/>
                <c:pt idx="0">
                  <c:v>Hardcopy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dLbl>
              <c:idx val="4"/>
              <c:layout>
                <c:manualLayout>
                  <c:x val="0.00653061112550455"/>
                  <c:y val="-0.0142566157151686"/>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0.00701171729733862"/>
                  <c:y val="-0.0163670972373114"/>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10"/>
              <c:layout>
                <c:manualLayout>
                  <c:x val="0.00621876640893335"/>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lt1">
                        <a:lumMod val="7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trendline>
            <c:spPr>
              <a:ln w="25400" cap="rnd">
                <a:solidFill>
                  <a:schemeClr val="accent2">
                    <a:alpha val="50000"/>
                  </a:schemeClr>
                </a:solidFill>
              </a:ln>
              <a:effectLst/>
            </c:spPr>
            <c:trendlineType val="movingAvg"/>
            <c:period val="2"/>
            <c:dispRSqr val="0"/>
            <c:dispEq val="0"/>
          </c:trendline>
          <c:cat>
            <c:strRef>
              <c:f>'Summary Report'!$B$7:$B$907</c:f>
              <c:strCache>
                <c:ptCount val="12"/>
                <c:pt idx="0">
                  <c:v>Vol. 1</c:v>
                </c:pt>
                <c:pt idx="1">
                  <c:v>Vol. 2</c:v>
                </c:pt>
                <c:pt idx="2">
                  <c:v>Vol. 3</c:v>
                </c:pt>
                <c:pt idx="3">
                  <c:v>Vol. 4</c:v>
                </c:pt>
                <c:pt idx="4">
                  <c:v>Vol. 5</c:v>
                </c:pt>
                <c:pt idx="5">
                  <c:v>Vol. 6</c:v>
                </c:pt>
                <c:pt idx="6">
                  <c:v>Vol. 7</c:v>
                </c:pt>
                <c:pt idx="7">
                  <c:v>Vol. 8</c:v>
                </c:pt>
                <c:pt idx="8">
                  <c:v>Vol. 9</c:v>
                </c:pt>
                <c:pt idx="9">
                  <c:v>Vol. 10</c:v>
                </c:pt>
                <c:pt idx="10">
                  <c:v>Vol. 11</c:v>
                </c:pt>
                <c:pt idx="11">
                  <c:v>Vol. 12</c:v>
                </c:pt>
              </c:strCache>
            </c:strRef>
          </c:cat>
          <c:val>
            <c:numRef>
              <c:f>'Summary Report'!$E$7:$E$907</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315"/>
        <c:overlap val="-40"/>
        <c:axId val="587957880"/>
        <c:axId val="587958208"/>
      </c:barChart>
      <c:catAx>
        <c:axId val="5879578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p>
        </c:txPr>
        <c:crossAx val="587958208"/>
        <c:crosses val="autoZero"/>
        <c:auto val="1"/>
        <c:lblAlgn val="ctr"/>
        <c:lblOffset val="100"/>
        <c:noMultiLvlLbl val="0"/>
      </c:catAx>
      <c:valAx>
        <c:axId val="5879582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layout/>
          <c:overlay val="0"/>
          <c:spPr>
            <a:noFill/>
            <a:ln>
              <a:noFill/>
            </a:ln>
            <a:effectLst/>
          </c:spPr>
          <c:txPr>
            <a:bodyPr rot="-5400000" spcFirstLastPara="1" vertOverflow="ellipsis" vert="horz" wrap="square" anchor="ctr" anchorCtr="1"/>
            <a:lstStyle/>
            <a:p>
              <a:pPr>
                <a:defRPr lang="zh-CN" sz="900" b="1" i="0" u="none" strike="noStrike" kern="1200" baseline="0">
                  <a:solidFill>
                    <a:schemeClr val="lt1">
                      <a:lumMod val="75000"/>
                    </a:schemeClr>
                  </a:solidFill>
                  <a:latin typeface="+mn-lt"/>
                  <a:ea typeface="+mn-ea"/>
                  <a:cs typeface="+mn-cs"/>
                </a:defRPr>
              </a:pPr>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p>
        </c:txPr>
        <c:crossAx val="587957880"/>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p>
        </c:txPr>
      </c:dTable>
      <c:spPr>
        <a:noFill/>
        <a:ln>
          <a:noFill/>
        </a:ln>
        <a:effectLst/>
      </c:spPr>
    </c:plotArea>
    <c:legend>
      <c:legendPos val="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lt1">
                  <a:lumMod val="75000"/>
                </a:schemeClr>
              </a:solidFill>
              <a:latin typeface="+mn-lt"/>
              <a:ea typeface="+mn-ea"/>
              <a:cs typeface="+mn-cs"/>
            </a:defRPr>
          </a:pPr>
        </a:p>
      </c:txPr>
    </c:legend>
    <c:plotVisOnly val="1"/>
    <c:dispBlanksAs val="gap"/>
    <c:showDLblsOverMax val="0"/>
    <c:extLst>
      <c:ext uri="{0b15fc19-7d7d-44ad-8c2d-2c3a37ce22c3}">
        <chartProps xmlns="https://web.wps.cn/et/2018/main" chartId="{9e6014be-b683-4c69-ac61-df780d4ca630}"/>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zh-CN" sz="1600" b="1" i="0" u="none" strike="noStrike" kern="1200" baseline="0">
                <a:solidFill>
                  <a:schemeClr val="tx1">
                    <a:lumMod val="65000"/>
                    <a:lumOff val="35000"/>
                  </a:schemeClr>
                </a:solidFill>
                <a:latin typeface="+mn-lt"/>
                <a:ea typeface="+mn-ea"/>
                <a:cs typeface="+mn-cs"/>
              </a:defRPr>
            </a:pPr>
            <a:r>
              <a:rPr lang="en-MY"/>
              <a:t>ATB-PU Overall Weekly Progress Status Final Documentation Compilation</a:t>
            </a:r>
            <a:endParaRPr lang="en-MY"/>
          </a:p>
        </c:rich>
      </c:tx>
      <c:layout/>
      <c:overlay val="0"/>
      <c:spPr>
        <a:noFill/>
        <a:ln>
          <a:noFill/>
        </a:ln>
        <a:effectLst/>
      </c:spPr>
    </c:title>
    <c:autoTitleDeleted val="0"/>
    <c:plotArea>
      <c:layout>
        <c:manualLayout>
          <c:layoutTarget val="inner"/>
          <c:xMode val="edge"/>
          <c:yMode val="edge"/>
          <c:x val="0.0812213788591741"/>
          <c:y val="0.225094850948509"/>
          <c:w val="0.909769612131817"/>
          <c:h val="0.527959370932292"/>
        </c:manualLayout>
      </c:layout>
      <c:lineChart>
        <c:grouping val="standard"/>
        <c:varyColors val="0"/>
        <c:ser>
          <c:idx val="0"/>
          <c:order val="0"/>
          <c:tx>
            <c:strRef>
              <c:f>'Summary Report'!$L$1115</c:f>
              <c:strCache>
                <c:ptCount val="1"/>
                <c:pt idx="0">
                  <c:v>Softcopy</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dLbls>
            <c:dLbl>
              <c:idx val="0"/>
              <c:delete val="1"/>
            </c:dLbl>
            <c:dLbl>
              <c:idx val="1"/>
              <c:delete val="1"/>
            </c:dLbl>
            <c:dLbl>
              <c:idx val="2"/>
              <c:delete val="1"/>
            </c:dLbl>
            <c:dLbl>
              <c:idx val="3"/>
              <c:layout>
                <c:manualLayout>
                  <c:x val="-0.0561776737367289"/>
                  <c:y val="-0.06615368200926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530530530530531"/>
                  <c:y val="-0.048780487804878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8"/>
              <c:layout>
                <c:manualLayout>
                  <c:x val="-0.0211487020192292"/>
                  <c:y val="-0.065708404725831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'Summary Report'!$K$1116:$K$1134</c:f>
              <c:strCache>
                <c:ptCount val="19"/>
                <c:pt idx="0">
                  <c:v>31.01.2022</c:v>
                </c:pt>
                <c:pt idx="1">
                  <c:v>07.02.2022</c:v>
                </c:pt>
                <c:pt idx="2">
                  <c:v>14.02.2022</c:v>
                </c:pt>
                <c:pt idx="3">
                  <c:v>21.02.2022</c:v>
                </c:pt>
                <c:pt idx="4">
                  <c:v>28.02.2022</c:v>
                </c:pt>
                <c:pt idx="5">
                  <c:v>07.03.2022</c:v>
                </c:pt>
                <c:pt idx="6">
                  <c:v>14.03.2022</c:v>
                </c:pt>
                <c:pt idx="7">
                  <c:v>21.03.2022</c:v>
                </c:pt>
                <c:pt idx="8">
                  <c:v>28.03.2022</c:v>
                </c:pt>
                <c:pt idx="9">
                  <c:v>04.04.2022</c:v>
                </c:pt>
                <c:pt idx="10">
                  <c:v>11.04.2022</c:v>
                </c:pt>
                <c:pt idx="11">
                  <c:v>18.04.2022</c:v>
                </c:pt>
                <c:pt idx="12">
                  <c:v>25.04.2022</c:v>
                </c:pt>
                <c:pt idx="13">
                  <c:v>02.05.2022</c:v>
                </c:pt>
                <c:pt idx="14">
                  <c:v>09.05.2022</c:v>
                </c:pt>
                <c:pt idx="15">
                  <c:v>16.05.2022</c:v>
                </c:pt>
                <c:pt idx="16">
                  <c:v>23.05.2022</c:v>
                </c:pt>
                <c:pt idx="17">
                  <c:v>30.05.2022</c:v>
                </c:pt>
                <c:pt idx="18">
                  <c:v>06.06.2022</c:v>
                </c:pt>
              </c:strCache>
            </c:strRef>
          </c:cat>
          <c:val>
            <c:numRef>
              <c:f>'Summary Report'!$L$1116:$L$1134</c:f>
              <c:numCache>
                <c:formatCode>0.00%</c:formatCode>
                <c:ptCount val="19"/>
                <c:pt idx="0">
                  <c:v>0.2067</c:v>
                </c:pt>
                <c:pt idx="1">
                  <c:v>0.2149</c:v>
                </c:pt>
                <c:pt idx="2">
                  <c:v>0.2156</c:v>
                </c:pt>
                <c:pt idx="3">
                  <c:v>0.2266</c:v>
                </c:pt>
                <c:pt idx="4">
                  <c:v>0.2607</c:v>
                </c:pt>
              </c:numCache>
            </c:numRef>
          </c:val>
          <c:smooth val="0"/>
        </c:ser>
        <c:ser>
          <c:idx val="1"/>
          <c:order val="1"/>
          <c:tx>
            <c:strRef>
              <c:f>'Summary Report'!$M$1115</c:f>
              <c:strCache>
                <c:ptCount val="1"/>
                <c:pt idx="0">
                  <c:v>Hardcopy</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dLbls>
            <c:dLbl>
              <c:idx val="0"/>
              <c:delete val="1"/>
            </c:dLbl>
            <c:dLbl>
              <c:idx val="1"/>
              <c:delete val="1"/>
            </c:dLbl>
            <c:dLbl>
              <c:idx val="2"/>
              <c:delete val="1"/>
            </c:dLbl>
            <c:dLbl>
              <c:idx val="3"/>
              <c:layout>
                <c:manualLayout>
                  <c:x val="-0.0472112269750065"/>
                  <c:y val="-0.0769937904103451"/>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510510510510511"/>
                  <c:y val="-0.11382113821138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8"/>
              <c:layout>
                <c:manualLayout>
                  <c:x val="-0.0201416209706946"/>
                  <c:y val="-0.0711841051196505"/>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zh-CN" sz="900" b="0" i="0" u="none" strike="noStrike" kern="1200" baseline="0">
                    <a:solidFill>
                      <a:schemeClr val="tx1">
                        <a:lumMod val="75000"/>
                        <a:lumOff val="25000"/>
                      </a:schemeClr>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'Summary Report'!$K$1116:$K$1134</c:f>
              <c:strCache>
                <c:ptCount val="19"/>
                <c:pt idx="0">
                  <c:v>31.01.2022</c:v>
                </c:pt>
                <c:pt idx="1">
                  <c:v>07.02.2022</c:v>
                </c:pt>
                <c:pt idx="2">
                  <c:v>14.02.2022</c:v>
                </c:pt>
                <c:pt idx="3">
                  <c:v>21.02.2022</c:v>
                </c:pt>
                <c:pt idx="4">
                  <c:v>28.02.2022</c:v>
                </c:pt>
                <c:pt idx="5">
                  <c:v>07.03.2022</c:v>
                </c:pt>
                <c:pt idx="6">
                  <c:v>14.03.2022</c:v>
                </c:pt>
                <c:pt idx="7">
                  <c:v>21.03.2022</c:v>
                </c:pt>
                <c:pt idx="8">
                  <c:v>28.03.2022</c:v>
                </c:pt>
                <c:pt idx="9">
                  <c:v>04.04.2022</c:v>
                </c:pt>
                <c:pt idx="10">
                  <c:v>11.04.2022</c:v>
                </c:pt>
                <c:pt idx="11">
                  <c:v>18.04.2022</c:v>
                </c:pt>
                <c:pt idx="12">
                  <c:v>25.04.2022</c:v>
                </c:pt>
                <c:pt idx="13">
                  <c:v>02.05.2022</c:v>
                </c:pt>
                <c:pt idx="14">
                  <c:v>09.05.2022</c:v>
                </c:pt>
                <c:pt idx="15">
                  <c:v>16.05.2022</c:v>
                </c:pt>
                <c:pt idx="16">
                  <c:v>23.05.2022</c:v>
                </c:pt>
                <c:pt idx="17">
                  <c:v>30.05.2022</c:v>
                </c:pt>
                <c:pt idx="18">
                  <c:v>06.06.2022</c:v>
                </c:pt>
              </c:strCache>
            </c:strRef>
          </c:cat>
          <c:val>
            <c:numRef>
              <c:f>'Summary Report'!$M$1116:$M$1134</c:f>
              <c:numCache>
                <c:formatCode>0.00%</c:formatCode>
                <c:ptCount val="19"/>
                <c:pt idx="0">
                  <c:v>0.1031</c:v>
                </c:pt>
                <c:pt idx="1">
                  <c:v>0.1045</c:v>
                </c:pt>
                <c:pt idx="2">
                  <c:v>0.1052</c:v>
                </c:pt>
                <c:pt idx="3">
                  <c:v>0.1171</c:v>
                </c:pt>
                <c:pt idx="4">
                  <c:v>0.1319</c:v>
                </c:pt>
              </c:numCache>
            </c:numRef>
          </c:val>
          <c:smooth val="0"/>
        </c:ser>
        <c:dLbls>
          <c:showLegendKey val="0"/>
          <c:showVal val="0"/>
          <c:showCatName val="0"/>
          <c:showSerName val="0"/>
          <c:showPercent val="0"/>
          <c:showBubbleSize val="0"/>
        </c:dLbls>
        <c:marker val="0"/>
        <c:smooth val="0"/>
        <c:axId val="604927360"/>
        <c:axId val="604929984"/>
      </c:lineChart>
      <c:catAx>
        <c:axId val="6049273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04929984"/>
        <c:crosses val="autoZero"/>
        <c:auto val="1"/>
        <c:lblAlgn val="ctr"/>
        <c:lblOffset val="100"/>
        <c:noMultiLvlLbl val="0"/>
      </c:catAx>
      <c:valAx>
        <c:axId val="604929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r>
                  <a:rPr lang="en-MY"/>
                  <a:t>% Compiled</a:t>
                </a:r>
                <a:endParaRPr lang="en-MY"/>
              </a:p>
            </c:rich>
          </c:tx>
          <c:layout>
            <c:manualLayout>
              <c:xMode val="edge"/>
              <c:yMode val="edge"/>
              <c:x val="0.023023023023023"/>
              <c:y val="0.308803533704628"/>
            </c:manualLayout>
          </c:layout>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049273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dTable>
      <c:spPr>
        <a:noFill/>
        <a:ln>
          <a:noFill/>
        </a:ln>
        <a:effectLst/>
      </c:spPr>
    </c:plotArea>
    <c:plotVisOnly val="1"/>
    <c:dispBlanksAs val="gap"/>
    <c:showDLblsOverMax val="0"/>
    <c:extLst>
      <c:ext uri="{0b15fc19-7d7d-44ad-8c2d-2c3a37ce22c3}">
        <chartProps xmlns="https://web.wps.cn/et/2018/main" chartId="{0ef35f9c-8f1d-470c-a97f-edb3d77c31bf}"/>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12</xdr:row>
      <xdr:rowOff>66678</xdr:rowOff>
    </xdr:from>
    <xdr:to>
      <xdr:col>24</xdr:col>
      <xdr:colOff>305802</xdr:colOff>
      <xdr:row>28</xdr:row>
      <xdr:rowOff>122466</xdr:rowOff>
    </xdr:to>
    <xdr:graphicFrame>
      <xdr:nvGraphicFramePr>
        <xdr:cNvPr id="2" name="Chart 1"/>
        <xdr:cNvGraphicFramePr/>
      </xdr:nvGraphicFramePr>
      <xdr:xfrm>
        <a:off x="0" y="2200275"/>
        <a:ext cx="13195935" cy="290004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25</xdr:col>
      <xdr:colOff>0</xdr:colOff>
      <xdr:row>12</xdr:row>
      <xdr:rowOff>57150</xdr:rowOff>
    </xdr:to>
    <xdr:graphicFrame>
      <xdr:nvGraphicFramePr>
        <xdr:cNvPr id="6" name="Chart 5"/>
        <xdr:cNvGraphicFramePr/>
      </xdr:nvGraphicFramePr>
      <xdr:xfrm>
        <a:off x="0" y="0"/>
        <a:ext cx="13220700" cy="21907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WORK\P0811\Progress%20Measurement\Users\User\Documents\Keje\PROJECTS\REGAS\REGAS%20FEL%202\PROJECTS\SAMUR%202010\IPA\IPA%20Site-Summary%20Cost%20v10-20-10%20(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ctions"/>
      <sheetName val="Total Summary Cost"/>
      <sheetName val="Summary Cost AMMONIA"/>
      <sheetName val="Summary Cost UREA"/>
      <sheetName val="Summary Cost GARANULATION "/>
      <sheetName val="Sum. Cost UTILITIES &amp; OFFSITE"/>
      <sheetName val=" Wage Form"/>
      <sheetName val="Cost Gloss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ables/table1.xml><?xml version="1.0" encoding="utf-8"?>
<table xmlns="http://schemas.openxmlformats.org/spreadsheetml/2006/main" id="1" name="Table1" displayName="Table1" ref="K1115:M1134" totalsRowShown="0">
  <autoFilter xmlns:etc="http://www.wps.cn/officeDocument/2017/etCustomData" ref="K1115:M1134" etc:filterBottomFollowUsedRange="0"/>
  <tableColumns count="3">
    <tableColumn id="1" name="Weekly" dataDxfId="0"/>
    <tableColumn id="2" name="Softcopy" dataDxfId="1"/>
    <tableColumn id="3" name="Hardcopy" dataDxfId="2"/>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9:Y50"/>
  <sheetViews>
    <sheetView zoomScale="80" zoomScaleNormal="80" workbookViewId="0">
      <selection activeCell="M13" sqref="M13"/>
    </sheetView>
  </sheetViews>
  <sheetFormatPr defaultColWidth="9.09090909090909" defaultRowHeight="14"/>
  <cols>
    <col min="1" max="1" width="4.72727272727273" style="37" customWidth="1"/>
    <col min="2" max="2" width="5.45454545454545" style="37" customWidth="1"/>
    <col min="3" max="3" width="9.09090909090909" style="37" customWidth="1"/>
    <col min="4" max="6" width="9.09090909090909" style="37"/>
    <col min="7" max="7" width="4.18181818181818" style="37" customWidth="1"/>
    <col min="8" max="8" width="5.45454545454545" style="37" customWidth="1"/>
    <col min="9" max="12" width="9.09090909090909" style="37"/>
    <col min="13" max="13" width="4.18181818181818" style="37" customWidth="1"/>
    <col min="14" max="14" width="5.45454545454545" style="37" customWidth="1"/>
    <col min="15" max="18" width="9.09090909090909" style="37"/>
    <col min="19" max="19" width="4.18181818181818" style="37" customWidth="1"/>
    <col min="20" max="20" width="5.45454545454545" style="37" customWidth="1"/>
    <col min="21" max="24" width="9.09090909090909" style="37"/>
    <col min="25" max="25" width="4.72727272727273" style="37" customWidth="1"/>
    <col min="26" max="16384" width="9.09090909090909" style="37"/>
  </cols>
  <sheetData>
    <row r="29" spans="2:25">
      <c r="Y29" s="88"/>
    </row>
    <row r="30" spans="2:25">
      <c r="B30" s="89" t="s">
        <v>0</v>
      </c>
      <c r="C30" s="89" t="s">
        <v>1</v>
      </c>
      <c r="D30" s="89"/>
      <c r="E30" s="89"/>
      <c r="F30" s="89"/>
      <c r="H30" s="89" t="s">
        <v>2</v>
      </c>
      <c r="I30" s="89" t="s">
        <v>3</v>
      </c>
      <c r="J30" s="89"/>
      <c r="K30" s="89"/>
      <c r="L30" s="89"/>
      <c r="M30" s="90"/>
      <c r="N30" s="91" t="s">
        <v>4</v>
      </c>
      <c r="O30" s="91" t="s">
        <v>5</v>
      </c>
      <c r="P30" s="91"/>
      <c r="Q30" s="91"/>
      <c r="R30" s="91"/>
      <c r="T30" s="89" t="s">
        <v>6</v>
      </c>
      <c r="U30" s="92" t="s">
        <v>7</v>
      </c>
      <c r="V30" s="92"/>
      <c r="W30" s="92"/>
      <c r="X30" s="92"/>
      <c r="Y30" s="88"/>
    </row>
    <row r="31" ht="18.75" customHeight="1" spans="2:25">
      <c r="B31" s="89"/>
      <c r="C31" s="93" t="s">
        <v>8</v>
      </c>
      <c r="D31" s="93"/>
      <c r="E31" s="93"/>
      <c r="F31" s="93"/>
      <c r="H31" s="89"/>
      <c r="I31" s="94" t="s">
        <v>9</v>
      </c>
      <c r="J31" s="94"/>
      <c r="K31" s="94"/>
      <c r="L31" s="94"/>
      <c r="M31" s="95"/>
      <c r="N31" s="91"/>
      <c r="O31" s="94" t="s">
        <v>10</v>
      </c>
      <c r="P31" s="94"/>
      <c r="Q31" s="94"/>
      <c r="R31" s="94"/>
      <c r="T31" s="89"/>
      <c r="U31" s="96" t="s">
        <v>11</v>
      </c>
      <c r="V31" s="96"/>
      <c r="W31" s="96"/>
      <c r="X31" s="96"/>
      <c r="Y31" s="88"/>
    </row>
    <row r="32" ht="18.75" customHeight="1" spans="2:25">
      <c r="B32" s="89"/>
      <c r="C32" s="93"/>
      <c r="D32" s="93"/>
      <c r="E32" s="93"/>
      <c r="F32" s="93"/>
      <c r="H32" s="89"/>
      <c r="I32" s="94"/>
      <c r="J32" s="94"/>
      <c r="K32" s="94"/>
      <c r="L32" s="94"/>
      <c r="M32" s="95"/>
      <c r="N32" s="91"/>
      <c r="O32" s="94"/>
      <c r="P32" s="94"/>
      <c r="Q32" s="94"/>
      <c r="R32" s="94"/>
      <c r="T32" s="89"/>
      <c r="U32" s="96"/>
      <c r="V32" s="96"/>
      <c r="W32" s="96"/>
      <c r="X32" s="96"/>
      <c r="Y32" s="88"/>
    </row>
    <row r="33" spans="2:25">
      <c r="B33" s="89"/>
      <c r="C33" s="97" t="s">
        <v>12</v>
      </c>
      <c r="D33" s="97"/>
      <c r="E33" s="97"/>
      <c r="F33" s="97"/>
      <c r="H33" s="89"/>
      <c r="I33" s="97" t="s">
        <v>12</v>
      </c>
      <c r="J33" s="97"/>
      <c r="K33" s="97"/>
      <c r="L33" s="97"/>
      <c r="M33" s="90"/>
      <c r="N33" s="91"/>
      <c r="O33" s="97" t="s">
        <v>12</v>
      </c>
      <c r="P33" s="97"/>
      <c r="Q33" s="97"/>
      <c r="R33" s="97"/>
      <c r="T33" s="89"/>
      <c r="U33" s="97" t="s">
        <v>12</v>
      </c>
      <c r="V33" s="97"/>
      <c r="W33" s="97"/>
      <c r="X33" s="97"/>
      <c r="Y33" s="88"/>
    </row>
    <row r="34" ht="91.5" customHeight="1" spans="2:25">
      <c r="B34" s="89"/>
      <c r="C34" s="98" t="s">
        <v>13</v>
      </c>
      <c r="D34" s="99"/>
      <c r="E34" s="99"/>
      <c r="F34" s="99"/>
      <c r="H34" s="89"/>
      <c r="I34" s="98" t="s">
        <v>14</v>
      </c>
      <c r="J34" s="99"/>
      <c r="K34" s="99"/>
      <c r="L34" s="99"/>
      <c r="M34" s="100"/>
      <c r="N34" s="91"/>
      <c r="O34" s="98" t="s">
        <v>15</v>
      </c>
      <c r="P34" s="99"/>
      <c r="Q34" s="99"/>
      <c r="R34" s="99"/>
      <c r="T34" s="89"/>
      <c r="U34" s="98" t="s">
        <v>16</v>
      </c>
      <c r="V34" s="99"/>
      <c r="W34" s="99"/>
      <c r="X34" s="99"/>
      <c r="Y34" s="88"/>
    </row>
    <row r="35" spans="2:25">
      <c r="B35" s="89"/>
      <c r="C35" s="99"/>
      <c r="D35" s="99"/>
      <c r="E35" s="99"/>
      <c r="F35" s="99"/>
      <c r="H35" s="89"/>
      <c r="I35" s="99"/>
      <c r="J35" s="99"/>
      <c r="K35" s="99"/>
      <c r="L35" s="99"/>
      <c r="M35" s="100"/>
      <c r="N35" s="91"/>
      <c r="O35" s="99"/>
      <c r="P35" s="99"/>
      <c r="Q35" s="99"/>
      <c r="R35" s="99"/>
      <c r="T35" s="89"/>
      <c r="U35" s="99"/>
      <c r="V35" s="99"/>
      <c r="W35" s="99"/>
      <c r="X35" s="99"/>
      <c r="Y35" s="88"/>
    </row>
    <row r="36" ht="6" customHeight="1" spans="2:25">
      <c r="B36" s="101"/>
      <c r="C36" s="101"/>
      <c r="D36" s="101"/>
      <c r="E36" s="101"/>
      <c r="F36" s="101"/>
      <c r="H36" s="101"/>
      <c r="I36" s="101"/>
      <c r="J36" s="101"/>
      <c r="K36" s="101"/>
      <c r="L36" s="101"/>
      <c r="N36" s="102"/>
      <c r="O36" s="102"/>
      <c r="P36" s="102"/>
      <c r="Q36" s="102"/>
      <c r="R36" s="102"/>
      <c r="Y36" s="88"/>
    </row>
    <row r="37" spans="2:25">
      <c r="B37" s="89" t="s">
        <v>17</v>
      </c>
      <c r="C37" s="89" t="s">
        <v>3</v>
      </c>
      <c r="D37" s="89"/>
      <c r="E37" s="89"/>
      <c r="F37" s="89"/>
      <c r="H37" s="91" t="s">
        <v>18</v>
      </c>
      <c r="I37" s="91" t="s">
        <v>19</v>
      </c>
      <c r="J37" s="91"/>
      <c r="K37" s="91"/>
      <c r="L37" s="91"/>
      <c r="N37" s="89" t="s">
        <v>20</v>
      </c>
      <c r="O37" s="92" t="s">
        <v>21</v>
      </c>
      <c r="P37" s="92"/>
      <c r="Q37" s="92"/>
      <c r="R37" s="92"/>
      <c r="T37" s="89" t="s">
        <v>22</v>
      </c>
      <c r="U37" s="92" t="s">
        <v>23</v>
      </c>
      <c r="V37" s="92"/>
      <c r="W37" s="92"/>
      <c r="X37" s="92"/>
      <c r="Y37" s="88"/>
    </row>
    <row r="38" ht="18.75" customHeight="1" spans="2:25">
      <c r="B38" s="89"/>
      <c r="C38" s="93" t="s">
        <v>24</v>
      </c>
      <c r="D38" s="93"/>
      <c r="E38" s="93"/>
      <c r="F38" s="93"/>
      <c r="H38" s="91"/>
      <c r="I38" s="94" t="s">
        <v>25</v>
      </c>
      <c r="J38" s="94"/>
      <c r="K38" s="94"/>
      <c r="L38" s="94"/>
      <c r="N38" s="89"/>
      <c r="O38" s="93" t="s">
        <v>26</v>
      </c>
      <c r="P38" s="93"/>
      <c r="Q38" s="93"/>
      <c r="R38" s="93"/>
      <c r="T38" s="89"/>
      <c r="U38" s="93" t="s">
        <v>27</v>
      </c>
      <c r="V38" s="93"/>
      <c r="W38" s="93"/>
      <c r="X38" s="93"/>
      <c r="Y38" s="88"/>
    </row>
    <row r="39" ht="18.75" customHeight="1" spans="2:25">
      <c r="B39" s="89"/>
      <c r="C39" s="93"/>
      <c r="D39" s="93"/>
      <c r="E39" s="93"/>
      <c r="F39" s="93"/>
      <c r="H39" s="91"/>
      <c r="I39" s="94"/>
      <c r="J39" s="94"/>
      <c r="K39" s="94"/>
      <c r="L39" s="94"/>
      <c r="N39" s="89"/>
      <c r="O39" s="93"/>
      <c r="P39" s="93"/>
      <c r="Q39" s="93"/>
      <c r="R39" s="93"/>
      <c r="T39" s="89"/>
      <c r="U39" s="93"/>
      <c r="V39" s="93"/>
      <c r="W39" s="93"/>
      <c r="X39" s="93"/>
      <c r="Y39" s="88"/>
    </row>
    <row r="40" spans="2:25">
      <c r="B40" s="89"/>
      <c r="C40" s="97" t="s">
        <v>12</v>
      </c>
      <c r="D40" s="97"/>
      <c r="E40" s="97"/>
      <c r="F40" s="97"/>
      <c r="H40" s="91"/>
      <c r="I40" s="97" t="s">
        <v>12</v>
      </c>
      <c r="J40" s="97"/>
      <c r="K40" s="97"/>
      <c r="L40" s="97"/>
      <c r="N40" s="89"/>
      <c r="O40" s="97" t="s">
        <v>12</v>
      </c>
      <c r="P40" s="97"/>
      <c r="Q40" s="97"/>
      <c r="R40" s="97"/>
      <c r="T40" s="89"/>
      <c r="U40" s="97" t="s">
        <v>12</v>
      </c>
      <c r="V40" s="97"/>
      <c r="W40" s="97"/>
      <c r="X40" s="97"/>
      <c r="Y40" s="88"/>
    </row>
    <row r="41" ht="81.75" customHeight="1" spans="2:25">
      <c r="B41" s="89"/>
      <c r="C41" s="98" t="s">
        <v>28</v>
      </c>
      <c r="D41" s="99"/>
      <c r="E41" s="99"/>
      <c r="F41" s="99"/>
      <c r="H41" s="91"/>
      <c r="I41" s="98" t="s">
        <v>29</v>
      </c>
      <c r="J41" s="99"/>
      <c r="K41" s="99"/>
      <c r="L41" s="99"/>
      <c r="N41" s="89"/>
      <c r="O41" s="98" t="s">
        <v>30</v>
      </c>
      <c r="P41" s="99"/>
      <c r="Q41" s="99"/>
      <c r="R41" s="99"/>
      <c r="T41" s="89"/>
      <c r="U41" s="98" t="s">
        <v>31</v>
      </c>
      <c r="V41" s="99"/>
      <c r="W41" s="99"/>
      <c r="X41" s="99"/>
      <c r="Y41" s="88"/>
    </row>
    <row r="42" spans="2:25">
      <c r="B42" s="89"/>
      <c r="C42" s="99"/>
      <c r="D42" s="99"/>
      <c r="E42" s="99"/>
      <c r="F42" s="99"/>
      <c r="H42" s="91"/>
      <c r="I42" s="99"/>
      <c r="J42" s="99"/>
      <c r="K42" s="99"/>
      <c r="L42" s="99"/>
      <c r="N42" s="89"/>
      <c r="O42" s="99"/>
      <c r="P42" s="99"/>
      <c r="Q42" s="99"/>
      <c r="R42" s="99"/>
      <c r="T42" s="89"/>
      <c r="U42" s="99"/>
      <c r="V42" s="99"/>
      <c r="W42" s="99"/>
      <c r="X42" s="99"/>
      <c r="Y42" s="88"/>
    </row>
    <row r="43" ht="6" customHeight="1" spans="2:25">
      <c r="B43" s="101"/>
      <c r="C43" s="101"/>
      <c r="D43" s="101"/>
      <c r="E43" s="101"/>
      <c r="F43" s="101"/>
      <c r="Y43" s="88"/>
    </row>
    <row r="44" spans="2:25">
      <c r="B44" s="89" t="s">
        <v>32</v>
      </c>
      <c r="C44" s="92" t="s">
        <v>33</v>
      </c>
      <c r="D44" s="92"/>
      <c r="E44" s="92"/>
      <c r="F44" s="92"/>
      <c r="H44" s="89" t="s">
        <v>34</v>
      </c>
      <c r="I44" s="92" t="s">
        <v>35</v>
      </c>
      <c r="J44" s="92"/>
      <c r="K44" s="92"/>
      <c r="L44" s="92"/>
      <c r="N44" s="89" t="s">
        <v>36</v>
      </c>
      <c r="O44" s="92" t="s">
        <v>37</v>
      </c>
      <c r="P44" s="92"/>
      <c r="Q44" s="92"/>
      <c r="R44" s="92"/>
      <c r="T44" s="89" t="s">
        <v>38</v>
      </c>
      <c r="U44" s="92" t="s">
        <v>39</v>
      </c>
      <c r="V44" s="92"/>
      <c r="W44" s="92"/>
      <c r="X44" s="92"/>
      <c r="Y44" s="88"/>
    </row>
    <row r="45" ht="18.75" customHeight="1" spans="2:25">
      <c r="B45" s="89"/>
      <c r="C45" s="96" t="s">
        <v>40</v>
      </c>
      <c r="D45" s="96"/>
      <c r="E45" s="96"/>
      <c r="F45" s="96"/>
      <c r="H45" s="89"/>
      <c r="I45" s="93" t="s">
        <v>41</v>
      </c>
      <c r="J45" s="93"/>
      <c r="K45" s="93"/>
      <c r="L45" s="93"/>
      <c r="N45" s="89"/>
      <c r="O45" s="93" t="s">
        <v>42</v>
      </c>
      <c r="P45" s="93"/>
      <c r="Q45" s="93"/>
      <c r="R45" s="93"/>
      <c r="T45" s="89"/>
      <c r="U45" s="93" t="s">
        <v>43</v>
      </c>
      <c r="V45" s="93"/>
      <c r="W45" s="93"/>
      <c r="X45" s="93"/>
      <c r="Y45" s="88"/>
    </row>
    <row r="46" ht="18.75" customHeight="1" spans="2:25">
      <c r="B46" s="89"/>
      <c r="C46" s="96"/>
      <c r="D46" s="96"/>
      <c r="E46" s="96"/>
      <c r="F46" s="96"/>
      <c r="H46" s="89"/>
      <c r="I46" s="93"/>
      <c r="J46" s="93"/>
      <c r="K46" s="93"/>
      <c r="L46" s="93"/>
      <c r="N46" s="89"/>
      <c r="O46" s="93"/>
      <c r="P46" s="93"/>
      <c r="Q46" s="93"/>
      <c r="R46" s="93"/>
      <c r="T46" s="89"/>
      <c r="U46" s="93"/>
      <c r="V46" s="93"/>
      <c r="W46" s="93"/>
      <c r="X46" s="93"/>
      <c r="Y46" s="88"/>
    </row>
    <row r="47" spans="2:25">
      <c r="B47" s="89"/>
      <c r="C47" s="97" t="s">
        <v>12</v>
      </c>
      <c r="D47" s="97"/>
      <c r="E47" s="97"/>
      <c r="F47" s="97"/>
      <c r="H47" s="89"/>
      <c r="I47" s="97" t="s">
        <v>12</v>
      </c>
      <c r="J47" s="97"/>
      <c r="K47" s="97"/>
      <c r="L47" s="97"/>
      <c r="N47" s="89"/>
      <c r="O47" s="97" t="s">
        <v>12</v>
      </c>
      <c r="P47" s="97"/>
      <c r="Q47" s="97"/>
      <c r="R47" s="97"/>
      <c r="T47" s="89"/>
      <c r="U47" s="97" t="s">
        <v>12</v>
      </c>
      <c r="V47" s="97"/>
      <c r="W47" s="97"/>
      <c r="X47" s="97"/>
      <c r="Y47" s="88"/>
    </row>
    <row r="48" ht="72" customHeight="1" spans="2:25">
      <c r="B48" s="89"/>
      <c r="C48" s="98" t="s">
        <v>44</v>
      </c>
      <c r="D48" s="99"/>
      <c r="E48" s="99"/>
      <c r="F48" s="99"/>
      <c r="H48" s="89"/>
      <c r="I48" s="98" t="s">
        <v>45</v>
      </c>
      <c r="J48" s="99"/>
      <c r="K48" s="99"/>
      <c r="L48" s="99"/>
      <c r="N48" s="89"/>
      <c r="O48" s="98" t="s">
        <v>46</v>
      </c>
      <c r="P48" s="99"/>
      <c r="Q48" s="99"/>
      <c r="R48" s="99"/>
      <c r="T48" s="89"/>
      <c r="U48" s="98" t="s">
        <v>47</v>
      </c>
      <c r="V48" s="99"/>
      <c r="W48" s="99"/>
      <c r="X48" s="99"/>
      <c r="Y48" s="88"/>
    </row>
    <row r="49" ht="53.25" customHeight="1" spans="2:25">
      <c r="B49" s="89"/>
      <c r="C49" s="99"/>
      <c r="D49" s="99"/>
      <c r="E49" s="99"/>
      <c r="F49" s="99"/>
      <c r="H49" s="89"/>
      <c r="I49" s="99"/>
      <c r="J49" s="99"/>
      <c r="K49" s="99"/>
      <c r="L49" s="99"/>
      <c r="N49" s="89"/>
      <c r="O49" s="99"/>
      <c r="P49" s="99"/>
      <c r="Q49" s="99"/>
      <c r="R49" s="99"/>
      <c r="T49" s="89"/>
      <c r="U49" s="99"/>
      <c r="V49" s="99"/>
      <c r="W49" s="99"/>
      <c r="X49" s="99"/>
      <c r="Y49" s="88"/>
    </row>
    <row r="50" spans="2:25">
      <c r="B50" s="101"/>
      <c r="C50" s="101"/>
      <c r="D50" s="101"/>
      <c r="E50" s="101"/>
      <c r="F50" s="101"/>
    </row>
  </sheetData>
  <mergeCells count="61">
    <mergeCell ref="C30:F30"/>
    <mergeCell ref="I30:L30"/>
    <mergeCell ref="O30:R30"/>
    <mergeCell ref="U30:X30"/>
    <mergeCell ref="C33:F33"/>
    <mergeCell ref="I33:L33"/>
    <mergeCell ref="O33:R33"/>
    <mergeCell ref="U33:X33"/>
    <mergeCell ref="C37:F37"/>
    <mergeCell ref="I37:L37"/>
    <mergeCell ref="O37:R37"/>
    <mergeCell ref="U37:X37"/>
    <mergeCell ref="C40:F40"/>
    <mergeCell ref="I40:L40"/>
    <mergeCell ref="O40:R40"/>
    <mergeCell ref="U40:X40"/>
    <mergeCell ref="C44:F44"/>
    <mergeCell ref="I44:L44"/>
    <mergeCell ref="O44:R44"/>
    <mergeCell ref="U44:X44"/>
    <mergeCell ref="C47:F47"/>
    <mergeCell ref="I47:L47"/>
    <mergeCell ref="O47:R47"/>
    <mergeCell ref="U47:X47"/>
    <mergeCell ref="B30:B35"/>
    <mergeCell ref="B37:B42"/>
    <mergeCell ref="B44:B49"/>
    <mergeCell ref="H30:H35"/>
    <mergeCell ref="H37:H42"/>
    <mergeCell ref="H44:H49"/>
    <mergeCell ref="N30:N35"/>
    <mergeCell ref="N37:N42"/>
    <mergeCell ref="N44:N49"/>
    <mergeCell ref="T30:T35"/>
    <mergeCell ref="T37:T42"/>
    <mergeCell ref="T44:T49"/>
    <mergeCell ref="Y29:Y49"/>
    <mergeCell ref="C31:F32"/>
    <mergeCell ref="O31:R32"/>
    <mergeCell ref="C34:F35"/>
    <mergeCell ref="O34:R35"/>
    <mergeCell ref="C45:F46"/>
    <mergeCell ref="O45:R46"/>
    <mergeCell ref="C48:F49"/>
    <mergeCell ref="O48:R49"/>
    <mergeCell ref="I31:L32"/>
    <mergeCell ref="U31:X32"/>
    <mergeCell ref="I34:L35"/>
    <mergeCell ref="U34:X35"/>
    <mergeCell ref="I38:L39"/>
    <mergeCell ref="U38:X39"/>
    <mergeCell ref="I41:L42"/>
    <mergeCell ref="U41:X42"/>
    <mergeCell ref="C38:F39"/>
    <mergeCell ref="O38:R39"/>
    <mergeCell ref="C41:F42"/>
    <mergeCell ref="O41:R42"/>
    <mergeCell ref="I45:L46"/>
    <mergeCell ref="U45:X46"/>
    <mergeCell ref="I48:L49"/>
    <mergeCell ref="U48:X49"/>
  </mergeCells>
  <printOptions horizontalCentered="1"/>
  <pageMargins left="0.118110236220472" right="0.118110236220472" top="0.31496062992126" bottom="0.275590551181102" header="0.31496062992126" footer="0.236220472440945"/>
  <pageSetup paperSize="8" orientation="landscape"/>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1138"/>
  <sheetViews>
    <sheetView zoomScale="85" zoomScaleNormal="85" topLeftCell="B4" workbookViewId="0">
      <selection activeCell="M13" sqref="M13"/>
    </sheetView>
  </sheetViews>
  <sheetFormatPr defaultColWidth="9.09090909090909" defaultRowHeight="14"/>
  <cols>
    <col min="1" max="1" width="9.09090909090909" style="37"/>
    <col min="2" max="2" width="12.0909090909091" style="38" customWidth="1"/>
    <col min="3" max="3" width="84.7272727272727" style="37" customWidth="1"/>
    <col min="4" max="4" width="12" style="37" customWidth="1"/>
    <col min="5" max="5" width="15.0909090909091" style="37" customWidth="1"/>
    <col min="6" max="6" width="48.1818181818182" style="37" customWidth="1"/>
    <col min="7" max="7" width="12.1818181818182" style="37" customWidth="1"/>
    <col min="8" max="10" width="9.09090909090909" style="37"/>
    <col min="11" max="11" width="12.1818181818182" style="37" customWidth="1"/>
    <col min="12" max="12" width="10.7272727272727" style="37" customWidth="1"/>
    <col min="13" max="13" width="11.4545454545455" style="37" customWidth="1"/>
    <col min="14" max="16384" width="9.09090909090909" style="37"/>
  </cols>
  <sheetData>
    <row r="1" spans="2:7">
      <c r="F1" s="39" t="s">
        <v>48</v>
      </c>
      <c r="G1" s="40">
        <f ca="1">TODAY()</f>
        <v>46130</v>
      </c>
    </row>
    <row r="2" spans="2:7">
      <c r="B2" s="41" t="s">
        <v>49</v>
      </c>
      <c r="C2" s="41"/>
      <c r="D2" s="41"/>
      <c r="E2" s="41"/>
      <c r="F2" s="41"/>
    </row>
    <row r="3" spans="2:7">
      <c r="B3" s="41" t="s">
        <v>50</v>
      </c>
      <c r="C3" s="41"/>
      <c r="D3" s="41"/>
      <c r="E3" s="41"/>
      <c r="F3" s="41"/>
    </row>
    <row r="5" ht="30" customHeight="1" spans="2:7">
      <c r="B5" s="42" t="s">
        <v>51</v>
      </c>
      <c r="C5" s="42" t="s">
        <v>52</v>
      </c>
      <c r="D5" s="43" t="s">
        <v>53</v>
      </c>
      <c r="E5" s="43"/>
      <c r="F5" s="42" t="s">
        <v>54</v>
      </c>
    </row>
    <row r="6" ht="19.5" customHeight="1" spans="2:7">
      <c r="B6" s="42"/>
      <c r="C6" s="42"/>
      <c r="D6" s="42" t="s">
        <v>55</v>
      </c>
      <c r="E6" s="42" t="s">
        <v>56</v>
      </c>
      <c r="F6" s="42"/>
    </row>
    <row r="7" spans="2:7">
      <c r="B7" s="44" t="s">
        <v>0</v>
      </c>
      <c r="C7" s="45" t="s">
        <v>1</v>
      </c>
      <c r="D7" s="46" t="e">
        <f>SUM(D8:D9)/2</f>
        <v>#REF!</v>
      </c>
      <c r="E7" s="46" t="e">
        <f>SUM(E8:E9)/2</f>
        <v>#REF!</v>
      </c>
      <c r="F7" s="47" t="s">
        <v>57</v>
      </c>
    </row>
    <row r="8" hidden="1" outlineLevel="1" spans="2:7">
      <c r="B8" s="48">
        <v>1.1</v>
      </c>
      <c r="C8" s="49" t="s">
        <v>58</v>
      </c>
      <c r="D8" s="50" t="e">
        <f>SUM(#REF!)</f>
        <v>#REF!</v>
      </c>
      <c r="E8" s="50" t="e">
        <f>SUM(#REF!)</f>
        <v>#REF!</v>
      </c>
      <c r="F8" s="47"/>
    </row>
    <row r="9" hidden="1" outlineLevel="1" spans="2:7">
      <c r="B9" s="48">
        <v>1.2</v>
      </c>
      <c r="C9" s="49" t="s">
        <v>59</v>
      </c>
      <c r="D9" s="50" t="e">
        <f>SUM(#REF!)</f>
        <v>#REF!</v>
      </c>
      <c r="E9" s="50" t="e">
        <f>SUM(#REF!)</f>
        <v>#REF!</v>
      </c>
      <c r="F9" s="47"/>
    </row>
    <row r="10" collapsed="1" spans="2:7">
      <c r="B10" s="44" t="s">
        <v>2</v>
      </c>
      <c r="C10" s="45" t="s">
        <v>3</v>
      </c>
      <c r="D10" s="46" t="e">
        <f>SUM(D11:D12)/2</f>
        <v>#REF!</v>
      </c>
      <c r="E10" s="46" t="e">
        <f>SUM(E11:E12)/2</f>
        <v>#REF!</v>
      </c>
      <c r="F10" s="47" t="s">
        <v>57</v>
      </c>
    </row>
    <row r="11" hidden="1" outlineLevel="1" spans="2:7">
      <c r="B11" s="48">
        <v>2.1</v>
      </c>
      <c r="C11" s="49" t="s">
        <v>60</v>
      </c>
      <c r="D11" s="51" t="e">
        <f>SUM(#REF!+#REF!+#REF!)/3</f>
        <v>#REF!</v>
      </c>
      <c r="E11" s="51" t="e">
        <f>SUM(#REF!+#REF!+#REF!)/3</f>
        <v>#REF!</v>
      </c>
      <c r="F11" s="47"/>
    </row>
    <row r="12" hidden="1" outlineLevel="1" spans="2:7">
      <c r="B12" s="48">
        <v>2.2</v>
      </c>
      <c r="C12" s="49" t="s">
        <v>61</v>
      </c>
      <c r="D12" s="51" t="e">
        <f>SUM(#REF!+#REF!+#REF!+#REF!)/4</f>
        <v>#REF!</v>
      </c>
      <c r="E12" s="51" t="e">
        <f>SUM(#REF!+#REF!+#REF!+#REF!)/4</f>
        <v>#REF!</v>
      </c>
      <c r="F12" s="47"/>
    </row>
    <row r="13" collapsed="1" spans="2:7">
      <c r="B13" s="44" t="s">
        <v>4</v>
      </c>
      <c r="C13" s="45" t="s">
        <v>5</v>
      </c>
      <c r="D13" s="52" t="e">
        <f>SUM(#REF!)</f>
        <v>#REF!</v>
      </c>
      <c r="E13" s="46" t="e">
        <f>SUM(#REF!)</f>
        <v>#REF!</v>
      </c>
      <c r="F13" s="47" t="s">
        <v>57</v>
      </c>
    </row>
    <row r="14" hidden="1" outlineLevel="1" spans="2:7">
      <c r="B14" s="53">
        <v>3.1</v>
      </c>
      <c r="C14" s="54" t="s">
        <v>62</v>
      </c>
      <c r="D14" s="55" t="e">
        <f>SUM(#REF!)</f>
        <v>#REF!</v>
      </c>
      <c r="E14" s="55" t="e">
        <f>SUM(#REF!)</f>
        <v>#REF!</v>
      </c>
      <c r="F14" s="47"/>
    </row>
    <row r="15" hidden="1" outlineLevel="2" spans="2:7">
      <c r="B15" s="48" t="s">
        <v>63</v>
      </c>
      <c r="C15" s="54" t="s">
        <v>64</v>
      </c>
      <c r="D15" s="56" t="e">
        <f>SUM(#REF!)</f>
        <v>#REF!</v>
      </c>
      <c r="E15" s="56" t="e">
        <f>SUM(#REF!)</f>
        <v>#REF!</v>
      </c>
      <c r="F15" s="47"/>
    </row>
    <row r="16" hidden="1" outlineLevel="2" spans="2:7">
      <c r="B16" s="48" t="s">
        <v>65</v>
      </c>
      <c r="C16" s="54" t="s">
        <v>66</v>
      </c>
      <c r="D16" s="56" t="e">
        <f>SUM(#REF!)</f>
        <v>#REF!</v>
      </c>
      <c r="E16" s="56" t="e">
        <f>SUM(#REF!)</f>
        <v>#REF!</v>
      </c>
      <c r="F16" s="47"/>
    </row>
    <row r="17" hidden="1" outlineLevel="2" spans="2:6">
      <c r="B17" s="48" t="s">
        <v>67</v>
      </c>
      <c r="C17" s="54" t="s">
        <v>68</v>
      </c>
      <c r="D17" s="56" t="e">
        <f>SUM(#REF!)</f>
        <v>#REF!</v>
      </c>
      <c r="E17" s="56" t="e">
        <f>SUM(#REF!)</f>
        <v>#REF!</v>
      </c>
      <c r="F17" s="47"/>
    </row>
    <row r="18" hidden="1" outlineLevel="2" spans="2:6">
      <c r="B18" s="48" t="s">
        <v>69</v>
      </c>
      <c r="C18" s="54" t="s">
        <v>70</v>
      </c>
      <c r="D18" s="56" t="e">
        <f>SUM(#REF!)</f>
        <v>#REF!</v>
      </c>
      <c r="E18" s="56" t="e">
        <f>SUM(#REF!)</f>
        <v>#REF!</v>
      </c>
      <c r="F18" s="47"/>
    </row>
    <row r="19" hidden="1" outlineLevel="2" spans="2:6">
      <c r="B19" s="48" t="s">
        <v>71</v>
      </c>
      <c r="C19" s="54" t="s">
        <v>72</v>
      </c>
      <c r="D19" s="56" t="e">
        <f>SUM(#REF!)</f>
        <v>#REF!</v>
      </c>
      <c r="E19" s="56" t="e">
        <f>SUM(#REF!)</f>
        <v>#REF!</v>
      </c>
      <c r="F19" s="47"/>
    </row>
    <row r="20" hidden="1" outlineLevel="2" spans="2:6">
      <c r="B20" s="48" t="s">
        <v>73</v>
      </c>
      <c r="C20" s="54" t="s">
        <v>74</v>
      </c>
      <c r="D20" s="56" t="e">
        <f>SUM(#REF!)</f>
        <v>#REF!</v>
      </c>
      <c r="E20" s="56" t="e">
        <f>SUM(#REF!)</f>
        <v>#REF!</v>
      </c>
      <c r="F20" s="47"/>
    </row>
    <row r="21" hidden="1" outlineLevel="2" spans="2:6">
      <c r="B21" s="48" t="s">
        <v>75</v>
      </c>
      <c r="C21" s="54" t="s">
        <v>76</v>
      </c>
      <c r="D21" s="56" t="e">
        <f>SUM(#REF!)</f>
        <v>#REF!</v>
      </c>
      <c r="E21" s="56" t="e">
        <f>SUM(#REF!)</f>
        <v>#REF!</v>
      </c>
      <c r="F21" s="47"/>
    </row>
    <row r="22" hidden="1" outlineLevel="2" spans="2:6">
      <c r="B22" s="48" t="s">
        <v>77</v>
      </c>
      <c r="C22" s="54" t="s">
        <v>78</v>
      </c>
      <c r="D22" s="56" t="e">
        <f>SUM(#REF!)</f>
        <v>#REF!</v>
      </c>
      <c r="E22" s="56" t="e">
        <f>SUM(#REF!)</f>
        <v>#REF!</v>
      </c>
      <c r="F22" s="47"/>
    </row>
    <row r="23" hidden="1" outlineLevel="2" spans="2:6">
      <c r="B23" s="48" t="s">
        <v>79</v>
      </c>
      <c r="C23" s="54" t="s">
        <v>80</v>
      </c>
      <c r="D23" s="56" t="e">
        <f>SUM(#REF!)</f>
        <v>#REF!</v>
      </c>
      <c r="E23" s="56" t="e">
        <f>SUM(#REF!)</f>
        <v>#REF!</v>
      </c>
      <c r="F23" s="47"/>
    </row>
    <row r="24" hidden="1" outlineLevel="2" spans="2:6">
      <c r="B24" s="48" t="s">
        <v>81</v>
      </c>
      <c r="C24" s="54" t="s">
        <v>82</v>
      </c>
      <c r="D24" s="56" t="e">
        <f>SUM(#REF!)</f>
        <v>#REF!</v>
      </c>
      <c r="E24" s="56" t="e">
        <f>SUM(#REF!)</f>
        <v>#REF!</v>
      </c>
      <c r="F24" s="47"/>
    </row>
    <row r="25" hidden="1" outlineLevel="2" spans="2:6">
      <c r="B25" s="48" t="s">
        <v>83</v>
      </c>
      <c r="C25" s="54" t="s">
        <v>84</v>
      </c>
      <c r="D25" s="56" t="e">
        <f>SUM(#REF!)</f>
        <v>#REF!</v>
      </c>
      <c r="E25" s="56" t="e">
        <f>SUM(#REF!)</f>
        <v>#REF!</v>
      </c>
      <c r="F25" s="47"/>
    </row>
    <row r="26" hidden="1" outlineLevel="2" spans="2:6">
      <c r="B26" s="48" t="s">
        <v>85</v>
      </c>
      <c r="C26" s="54" t="s">
        <v>86</v>
      </c>
      <c r="D26" s="56" t="e">
        <f>SUM(#REF!)</f>
        <v>#REF!</v>
      </c>
      <c r="E26" s="56" t="e">
        <f>SUM(#REF!)</f>
        <v>#REF!</v>
      </c>
      <c r="F26" s="47"/>
    </row>
    <row r="27" hidden="1" outlineLevel="2" spans="2:6">
      <c r="B27" s="48" t="s">
        <v>87</v>
      </c>
      <c r="C27" s="54" t="s">
        <v>88</v>
      </c>
      <c r="D27" s="56" t="e">
        <f>SUM(#REF!)</f>
        <v>#REF!</v>
      </c>
      <c r="E27" s="56" t="e">
        <f>SUM(#REF!)</f>
        <v>#REF!</v>
      </c>
      <c r="F27" s="47"/>
    </row>
    <row r="28" hidden="1" outlineLevel="2" spans="2:6">
      <c r="B28" s="48" t="s">
        <v>89</v>
      </c>
      <c r="C28" s="54" t="s">
        <v>90</v>
      </c>
      <c r="D28" s="56" t="e">
        <f>SUM(#REF!)</f>
        <v>#REF!</v>
      </c>
      <c r="E28" s="56" t="e">
        <f>SUM(#REF!)</f>
        <v>#REF!</v>
      </c>
      <c r="F28" s="47"/>
    </row>
    <row r="29" hidden="1" outlineLevel="2" spans="2:6">
      <c r="B29" s="48" t="s">
        <v>91</v>
      </c>
      <c r="C29" s="54" t="s">
        <v>92</v>
      </c>
      <c r="D29" s="56" t="e">
        <f>SUM(#REF!)</f>
        <v>#REF!</v>
      </c>
      <c r="E29" s="56" t="e">
        <f>SUM(#REF!)</f>
        <v>#REF!</v>
      </c>
      <c r="F29" s="47"/>
    </row>
    <row r="30" hidden="1" outlineLevel="2" spans="2:6">
      <c r="B30" s="48" t="s">
        <v>93</v>
      </c>
      <c r="C30" s="54" t="s">
        <v>94</v>
      </c>
      <c r="D30" s="56" t="e">
        <f>SUM(#REF!)</f>
        <v>#REF!</v>
      </c>
      <c r="E30" s="56" t="e">
        <f>SUM(#REF!)</f>
        <v>#REF!</v>
      </c>
      <c r="F30" s="47"/>
    </row>
    <row r="31" hidden="1" outlineLevel="2" spans="2:6">
      <c r="B31" s="48" t="s">
        <v>95</v>
      </c>
      <c r="C31" s="54" t="s">
        <v>96</v>
      </c>
      <c r="D31" s="56" t="e">
        <f>SUM(#REF!)</f>
        <v>#REF!</v>
      </c>
      <c r="E31" s="56" t="e">
        <f>SUM(#REF!)</f>
        <v>#REF!</v>
      </c>
      <c r="F31" s="47"/>
    </row>
    <row r="32" hidden="1" outlineLevel="1" collapsed="1" spans="2:6">
      <c r="B32" s="53">
        <v>3.2</v>
      </c>
      <c r="C32" s="54" t="s">
        <v>97</v>
      </c>
      <c r="D32" s="57" t="e">
        <f>SUM(#REF!)</f>
        <v>#REF!</v>
      </c>
      <c r="E32" s="57" t="e">
        <f>SUM(#REF!)</f>
        <v>#REF!</v>
      </c>
      <c r="F32" s="47"/>
    </row>
    <row r="33" hidden="1" outlineLevel="2" spans="2:6">
      <c r="B33" s="48" t="s">
        <v>98</v>
      </c>
      <c r="C33" s="54" t="s">
        <v>99</v>
      </c>
      <c r="D33" s="56" t="e">
        <f>SUM(#REF!)</f>
        <v>#REF!</v>
      </c>
      <c r="E33" s="56" t="e">
        <f>SUM(#REF!)</f>
        <v>#REF!</v>
      </c>
      <c r="F33" s="47"/>
    </row>
    <row r="34" hidden="1" outlineLevel="2" spans="2:6">
      <c r="B34" s="48" t="s">
        <v>100</v>
      </c>
      <c r="C34" s="54" t="s">
        <v>101</v>
      </c>
      <c r="D34" s="56" t="e">
        <f>SUM(#REF!)</f>
        <v>#REF!</v>
      </c>
      <c r="E34" s="56" t="e">
        <f>SUM(#REF!)</f>
        <v>#REF!</v>
      </c>
      <c r="F34" s="47"/>
    </row>
    <row r="35" hidden="1" outlineLevel="2" spans="2:6">
      <c r="B35" s="48" t="s">
        <v>102</v>
      </c>
      <c r="C35" s="54" t="s">
        <v>103</v>
      </c>
      <c r="D35" s="56" t="e">
        <f>SUM(#REF!)</f>
        <v>#REF!</v>
      </c>
      <c r="E35" s="56" t="e">
        <f>SUM(#REF!)</f>
        <v>#REF!</v>
      </c>
      <c r="F35" s="47"/>
    </row>
    <row r="36" hidden="1" outlineLevel="2" spans="2:6">
      <c r="B36" s="48" t="s">
        <v>104</v>
      </c>
      <c r="C36" s="54" t="s">
        <v>105</v>
      </c>
      <c r="D36" s="56" t="e">
        <f>SUM(#REF!)</f>
        <v>#REF!</v>
      </c>
      <c r="E36" s="56" t="e">
        <f>SUM(#REF!)</f>
        <v>#REF!</v>
      </c>
      <c r="F36" s="47"/>
    </row>
    <row r="37" hidden="1" outlineLevel="2" spans="2:6">
      <c r="B37" s="48" t="s">
        <v>106</v>
      </c>
      <c r="C37" s="54" t="s">
        <v>107</v>
      </c>
      <c r="D37" s="56" t="e">
        <f>SUM(#REF!)</f>
        <v>#REF!</v>
      </c>
      <c r="E37" s="56" t="e">
        <f>SUM(#REF!)</f>
        <v>#REF!</v>
      </c>
      <c r="F37" s="47"/>
    </row>
    <row r="38" hidden="1" outlineLevel="2" spans="2:6">
      <c r="B38" s="48" t="s">
        <v>108</v>
      </c>
      <c r="C38" s="54" t="s">
        <v>109</v>
      </c>
      <c r="D38" s="56" t="e">
        <f>SUM(#REF!)</f>
        <v>#REF!</v>
      </c>
      <c r="E38" s="56" t="e">
        <f>SUM(#REF!)</f>
        <v>#REF!</v>
      </c>
      <c r="F38" s="47"/>
    </row>
    <row r="39" hidden="1" outlineLevel="2" spans="2:6">
      <c r="B39" s="48" t="s">
        <v>110</v>
      </c>
      <c r="C39" s="54" t="s">
        <v>111</v>
      </c>
      <c r="D39" s="56" t="e">
        <f>SUM(#REF!)</f>
        <v>#REF!</v>
      </c>
      <c r="E39" s="56" t="e">
        <f>SUM(#REF!)</f>
        <v>#REF!</v>
      </c>
      <c r="F39" s="47"/>
    </row>
    <row r="40" hidden="1" outlineLevel="2" spans="2:6">
      <c r="B40" s="48" t="s">
        <v>112</v>
      </c>
      <c r="C40" s="54" t="s">
        <v>113</v>
      </c>
      <c r="D40" s="58" t="e">
        <f>SUM(#REF!)</f>
        <v>#REF!</v>
      </c>
      <c r="E40" s="58" t="e">
        <f>SUM(#REF!)</f>
        <v>#REF!</v>
      </c>
      <c r="F40" s="47"/>
    </row>
    <row r="41" hidden="1" outlineLevel="2" spans="2:6">
      <c r="B41" s="48" t="s">
        <v>114</v>
      </c>
      <c r="C41" s="54" t="s">
        <v>115</v>
      </c>
      <c r="D41" s="56" t="e">
        <f>SUM(#REF!)</f>
        <v>#REF!</v>
      </c>
      <c r="E41" s="56" t="e">
        <f>SUM(#REF!)</f>
        <v>#REF!</v>
      </c>
      <c r="F41" s="47"/>
    </row>
    <row r="42" hidden="1" outlineLevel="2" spans="2:6">
      <c r="B42" s="48" t="s">
        <v>116</v>
      </c>
      <c r="C42" s="54" t="s">
        <v>117</v>
      </c>
      <c r="D42" s="56" t="e">
        <f>SUM(#REF!)</f>
        <v>#REF!</v>
      </c>
      <c r="E42" s="56" t="e">
        <f>SUM(#REF!)</f>
        <v>#REF!</v>
      </c>
      <c r="F42" s="47"/>
    </row>
    <row r="43" hidden="1" outlineLevel="2" spans="2:6">
      <c r="B43" s="48" t="s">
        <v>118</v>
      </c>
      <c r="C43" s="54" t="s">
        <v>119</v>
      </c>
      <c r="D43" s="56" t="e">
        <f>SUM(#REF!)</f>
        <v>#REF!</v>
      </c>
      <c r="E43" s="56" t="e">
        <f>SUM(#REF!)</f>
        <v>#REF!</v>
      </c>
      <c r="F43" s="47"/>
    </row>
    <row r="44" hidden="1" outlineLevel="2" spans="2:6">
      <c r="B44" s="48" t="s">
        <v>120</v>
      </c>
      <c r="C44" s="54" t="s">
        <v>121</v>
      </c>
      <c r="D44" s="56" t="e">
        <f>SUM(#REF!)</f>
        <v>#REF!</v>
      </c>
      <c r="E44" s="56" t="e">
        <f>SUM(#REF!)</f>
        <v>#REF!</v>
      </c>
      <c r="F44" s="47"/>
    </row>
    <row r="45" hidden="1" outlineLevel="2" spans="2:6">
      <c r="B45" s="48" t="s">
        <v>122</v>
      </c>
      <c r="C45" s="54" t="s">
        <v>123</v>
      </c>
      <c r="D45" s="56" t="e">
        <f>SUM(#REF!)</f>
        <v>#REF!</v>
      </c>
      <c r="E45" s="56" t="e">
        <f>SUM(#REF!)</f>
        <v>#REF!</v>
      </c>
      <c r="F45" s="47"/>
    </row>
    <row r="46" hidden="1" outlineLevel="2" spans="2:6">
      <c r="B46" s="48" t="s">
        <v>124</v>
      </c>
      <c r="C46" s="54" t="s">
        <v>125</v>
      </c>
      <c r="D46" s="56" t="e">
        <f>SUM(#REF!)</f>
        <v>#REF!</v>
      </c>
      <c r="E46" s="56" t="e">
        <f>SUM(#REF!)</f>
        <v>#REF!</v>
      </c>
      <c r="F46" s="47"/>
    </row>
    <row r="47" hidden="1" outlineLevel="2" spans="2:6">
      <c r="B47" s="48" t="s">
        <v>126</v>
      </c>
      <c r="C47" s="54" t="s">
        <v>127</v>
      </c>
      <c r="D47" s="56" t="e">
        <f>SUM(#REF!)</f>
        <v>#REF!</v>
      </c>
      <c r="E47" s="56" t="e">
        <f>SUM(#REF!)</f>
        <v>#REF!</v>
      </c>
      <c r="F47" s="47"/>
    </row>
    <row r="48" hidden="1" outlineLevel="2" spans="2:6">
      <c r="B48" s="48" t="s">
        <v>128</v>
      </c>
      <c r="C48" s="54" t="s">
        <v>129</v>
      </c>
      <c r="D48" s="56" t="e">
        <f>SUM(#REF!)</f>
        <v>#REF!</v>
      </c>
      <c r="E48" s="56" t="e">
        <f>SUM(#REF!)</f>
        <v>#REF!</v>
      </c>
      <c r="F48" s="47"/>
    </row>
    <row r="49" hidden="1" outlineLevel="2" spans="2:6">
      <c r="B49" s="48" t="s">
        <v>130</v>
      </c>
      <c r="C49" s="54" t="s">
        <v>131</v>
      </c>
      <c r="D49" s="56" t="e">
        <f>SUM(#REF!)</f>
        <v>#REF!</v>
      </c>
      <c r="E49" s="56" t="e">
        <f>SUM(#REF!)</f>
        <v>#REF!</v>
      </c>
      <c r="F49" s="47"/>
    </row>
    <row r="50" hidden="1" outlineLevel="2" spans="2:6">
      <c r="B50" s="48" t="s">
        <v>132</v>
      </c>
      <c r="C50" s="54" t="s">
        <v>133</v>
      </c>
      <c r="D50" s="56" t="e">
        <f>SUM(#REF!)</f>
        <v>#REF!</v>
      </c>
      <c r="E50" s="56" t="e">
        <f>SUM(#REF!)</f>
        <v>#REF!</v>
      </c>
      <c r="F50" s="47"/>
    </row>
    <row r="51" hidden="1" outlineLevel="2" spans="2:6">
      <c r="B51" s="48" t="s">
        <v>134</v>
      </c>
      <c r="C51" s="54" t="s">
        <v>135</v>
      </c>
      <c r="D51" s="56" t="e">
        <f>SUM(#REF!)</f>
        <v>#REF!</v>
      </c>
      <c r="E51" s="56" t="e">
        <f>SUM(#REF!)</f>
        <v>#REF!</v>
      </c>
      <c r="F51" s="47"/>
    </row>
    <row r="52" hidden="1" outlineLevel="2" spans="2:6">
      <c r="B52" s="48" t="s">
        <v>136</v>
      </c>
      <c r="C52" s="54" t="s">
        <v>137</v>
      </c>
      <c r="D52" s="56" t="e">
        <f>SUM(#REF!)</f>
        <v>#REF!</v>
      </c>
      <c r="E52" s="56" t="e">
        <f>SUM(#REF!)</f>
        <v>#REF!</v>
      </c>
      <c r="F52" s="47"/>
    </row>
    <row r="53" hidden="1" outlineLevel="2" spans="2:6">
      <c r="B53" s="48" t="s">
        <v>138</v>
      </c>
      <c r="C53" s="54" t="s">
        <v>139</v>
      </c>
      <c r="D53" s="56" t="e">
        <f>SUM(#REF!)</f>
        <v>#REF!</v>
      </c>
      <c r="E53" s="56" t="e">
        <f>SUM(#REF!)</f>
        <v>#REF!</v>
      </c>
      <c r="F53" s="47"/>
    </row>
    <row r="54" hidden="1" outlineLevel="2" spans="2:6">
      <c r="B54" s="48" t="s">
        <v>140</v>
      </c>
      <c r="C54" s="54" t="s">
        <v>141</v>
      </c>
      <c r="D54" s="56" t="e">
        <f>SUM(#REF!)</f>
        <v>#REF!</v>
      </c>
      <c r="E54" s="56" t="e">
        <f>SUM(#REF!)</f>
        <v>#REF!</v>
      </c>
      <c r="F54" s="47"/>
    </row>
    <row r="55" hidden="1" outlineLevel="2" spans="2:6">
      <c r="B55" s="48" t="s">
        <v>142</v>
      </c>
      <c r="C55" s="54" t="s">
        <v>143</v>
      </c>
      <c r="D55" s="56" t="e">
        <f>SUM(#REF!)</f>
        <v>#REF!</v>
      </c>
      <c r="E55" s="56" t="e">
        <f>SUM(#REF!)</f>
        <v>#REF!</v>
      </c>
      <c r="F55" s="47"/>
    </row>
    <row r="56" hidden="1" outlineLevel="2" spans="2:6">
      <c r="B56" s="48" t="s">
        <v>144</v>
      </c>
      <c r="C56" s="54" t="s">
        <v>145</v>
      </c>
      <c r="D56" s="56" t="e">
        <f>SUM(#REF!)</f>
        <v>#REF!</v>
      </c>
      <c r="E56" s="56" t="e">
        <f>SUM(#REF!)</f>
        <v>#REF!</v>
      </c>
      <c r="F56" s="47"/>
    </row>
    <row r="57" hidden="1" outlineLevel="2" spans="2:6">
      <c r="B57" s="48" t="s">
        <v>146</v>
      </c>
      <c r="C57" s="54" t="s">
        <v>147</v>
      </c>
      <c r="D57" s="56" t="e">
        <f>SUM(#REF!)</f>
        <v>#REF!</v>
      </c>
      <c r="E57" s="56" t="e">
        <f>SUM(#REF!)</f>
        <v>#REF!</v>
      </c>
      <c r="F57" s="47"/>
    </row>
    <row r="58" hidden="1" outlineLevel="1" collapsed="1" spans="2:6">
      <c r="B58" s="53">
        <v>3.3</v>
      </c>
      <c r="C58" s="54" t="s">
        <v>148</v>
      </c>
      <c r="D58" s="55" t="e">
        <f>SUM(#REF!)</f>
        <v>#REF!</v>
      </c>
      <c r="E58" s="55" t="e">
        <f>SUM(#REF!)</f>
        <v>#REF!</v>
      </c>
      <c r="F58" s="47"/>
    </row>
    <row r="59" hidden="1" outlineLevel="2" spans="2:6">
      <c r="B59" s="48" t="s">
        <v>149</v>
      </c>
      <c r="C59" s="54" t="s">
        <v>150</v>
      </c>
      <c r="D59" s="56" t="e">
        <f>SUM(#REF!)</f>
        <v>#REF!</v>
      </c>
      <c r="E59" s="56" t="e">
        <f>SUM(#REF!)</f>
        <v>#REF!</v>
      </c>
      <c r="F59" s="47"/>
    </row>
    <row r="60" hidden="1" outlineLevel="2" spans="2:6">
      <c r="B60" s="48" t="s">
        <v>151</v>
      </c>
      <c r="C60" s="54" t="s">
        <v>152</v>
      </c>
      <c r="D60" s="56" t="e">
        <f>SUM(#REF!)</f>
        <v>#REF!</v>
      </c>
      <c r="E60" s="56" t="e">
        <f>SUM(#REF!)</f>
        <v>#REF!</v>
      </c>
      <c r="F60" s="47"/>
    </row>
    <row r="61" hidden="1" outlineLevel="2" spans="2:6">
      <c r="B61" s="48" t="s">
        <v>153</v>
      </c>
      <c r="C61" s="54" t="s">
        <v>154</v>
      </c>
      <c r="D61" s="56" t="e">
        <f>SUM(#REF!)</f>
        <v>#REF!</v>
      </c>
      <c r="E61" s="56" t="e">
        <f>SUM(#REF!)</f>
        <v>#REF!</v>
      </c>
      <c r="F61" s="47"/>
    </row>
    <row r="62" hidden="1" outlineLevel="2" spans="2:6">
      <c r="B62" s="48" t="s">
        <v>155</v>
      </c>
      <c r="C62" s="54" t="s">
        <v>156</v>
      </c>
      <c r="D62" s="56" t="e">
        <f>SUM(#REF!)</f>
        <v>#REF!</v>
      </c>
      <c r="E62" s="56" t="e">
        <f>SUM(#REF!)</f>
        <v>#REF!</v>
      </c>
      <c r="F62" s="47"/>
    </row>
    <row r="63" hidden="1" outlineLevel="2" spans="2:6">
      <c r="B63" s="48" t="s">
        <v>157</v>
      </c>
      <c r="C63" s="54" t="s">
        <v>158</v>
      </c>
      <c r="D63" s="56" t="e">
        <f>SUM(#REF!)</f>
        <v>#REF!</v>
      </c>
      <c r="E63" s="56" t="e">
        <f>SUM(#REF!)</f>
        <v>#REF!</v>
      </c>
      <c r="F63" s="47"/>
    </row>
    <row r="64" hidden="1" outlineLevel="2" spans="2:6">
      <c r="B64" s="48" t="s">
        <v>159</v>
      </c>
      <c r="C64" s="54" t="s">
        <v>160</v>
      </c>
      <c r="D64" s="56" t="e">
        <f>SUM(#REF!)</f>
        <v>#REF!</v>
      </c>
      <c r="E64" s="56" t="e">
        <f>SUM(#REF!)</f>
        <v>#REF!</v>
      </c>
      <c r="F64" s="47"/>
    </row>
    <row r="65" hidden="1" outlineLevel="2" spans="2:6">
      <c r="B65" s="48" t="s">
        <v>161</v>
      </c>
      <c r="C65" s="54" t="s">
        <v>162</v>
      </c>
      <c r="D65" s="56" t="e">
        <f>SUM(#REF!)</f>
        <v>#REF!</v>
      </c>
      <c r="E65" s="56" t="e">
        <f>SUM(#REF!)</f>
        <v>#REF!</v>
      </c>
      <c r="F65" s="47"/>
    </row>
    <row r="66" hidden="1" outlineLevel="2" spans="2:6">
      <c r="B66" s="48" t="s">
        <v>163</v>
      </c>
      <c r="C66" s="54" t="s">
        <v>164</v>
      </c>
      <c r="D66" s="56" t="e">
        <f>SUM(#REF!)</f>
        <v>#REF!</v>
      </c>
      <c r="E66" s="56" t="e">
        <f>SUM(#REF!)</f>
        <v>#REF!</v>
      </c>
      <c r="F66" s="47"/>
    </row>
    <row r="67" hidden="1" outlineLevel="2" spans="2:6">
      <c r="B67" s="48" t="s">
        <v>165</v>
      </c>
      <c r="C67" s="54" t="s">
        <v>166</v>
      </c>
      <c r="D67" s="56" t="e">
        <f>SUM(#REF!)</f>
        <v>#REF!</v>
      </c>
      <c r="E67" s="56" t="e">
        <f>SUM(#REF!)</f>
        <v>#REF!</v>
      </c>
      <c r="F67" s="47"/>
    </row>
    <row r="68" hidden="1" outlineLevel="2" spans="2:6">
      <c r="B68" s="48" t="s">
        <v>167</v>
      </c>
      <c r="C68" s="54" t="s">
        <v>168</v>
      </c>
      <c r="D68" s="56" t="e">
        <f>SUM(#REF!)</f>
        <v>#REF!</v>
      </c>
      <c r="E68" s="56" t="e">
        <f>SUM(#REF!)</f>
        <v>#REF!</v>
      </c>
      <c r="F68" s="47"/>
    </row>
    <row r="69" hidden="1" outlineLevel="2" spans="2:6">
      <c r="B69" s="48" t="s">
        <v>169</v>
      </c>
      <c r="C69" s="54" t="s">
        <v>170</v>
      </c>
      <c r="D69" s="56" t="e">
        <f>SUM(#REF!)</f>
        <v>#REF!</v>
      </c>
      <c r="E69" s="56" t="e">
        <f>SUM(#REF!)</f>
        <v>#REF!</v>
      </c>
      <c r="F69" s="47"/>
    </row>
    <row r="70" hidden="1" outlineLevel="2" spans="2:6">
      <c r="B70" s="48" t="s">
        <v>171</v>
      </c>
      <c r="C70" s="54" t="s">
        <v>172</v>
      </c>
      <c r="D70" s="56" t="e">
        <f>SUM(#REF!)</f>
        <v>#REF!</v>
      </c>
      <c r="E70" s="56" t="e">
        <f>SUM(#REF!)</f>
        <v>#REF!</v>
      </c>
      <c r="F70" s="47"/>
    </row>
    <row r="71" hidden="1" outlineLevel="2" spans="2:6">
      <c r="B71" s="48" t="s">
        <v>173</v>
      </c>
      <c r="C71" s="54" t="s">
        <v>174</v>
      </c>
      <c r="D71" s="56" t="e">
        <f>SUM(#REF!)</f>
        <v>#REF!</v>
      </c>
      <c r="E71" s="56" t="e">
        <f>SUM(#REF!)</f>
        <v>#REF!</v>
      </c>
      <c r="F71" s="47"/>
    </row>
    <row r="72" hidden="1" outlineLevel="2" spans="2:6">
      <c r="B72" s="48" t="s">
        <v>175</v>
      </c>
      <c r="C72" s="54" t="s">
        <v>176</v>
      </c>
      <c r="D72" s="56" t="e">
        <f>SUM(#REF!)</f>
        <v>#REF!</v>
      </c>
      <c r="E72" s="56" t="e">
        <f>SUM(#REF!)</f>
        <v>#REF!</v>
      </c>
      <c r="F72" s="47"/>
    </row>
    <row r="73" hidden="1" outlineLevel="2" spans="2:6">
      <c r="B73" s="48" t="s">
        <v>177</v>
      </c>
      <c r="C73" s="54" t="s">
        <v>178</v>
      </c>
      <c r="D73" s="56" t="e">
        <f>SUM(#REF!)</f>
        <v>#REF!</v>
      </c>
      <c r="E73" s="56" t="e">
        <f>SUM(#REF!)</f>
        <v>#REF!</v>
      </c>
      <c r="F73" s="47"/>
    </row>
    <row r="74" hidden="1" outlineLevel="2" spans="2:6">
      <c r="B74" s="48" t="s">
        <v>179</v>
      </c>
      <c r="C74" s="54" t="s">
        <v>180</v>
      </c>
      <c r="D74" s="56" t="e">
        <f>SUM(#REF!)</f>
        <v>#REF!</v>
      </c>
      <c r="E74" s="56" t="e">
        <f>SUM(#REF!)</f>
        <v>#REF!</v>
      </c>
      <c r="F74" s="47"/>
    </row>
    <row r="75" hidden="1" outlineLevel="2" spans="2:6">
      <c r="B75" s="48" t="s">
        <v>181</v>
      </c>
      <c r="C75" s="54" t="s">
        <v>182</v>
      </c>
      <c r="D75" s="56" t="e">
        <f>SUM(#REF!)</f>
        <v>#REF!</v>
      </c>
      <c r="E75" s="56" t="e">
        <f>SUM(#REF!)</f>
        <v>#REF!</v>
      </c>
      <c r="F75" s="47"/>
    </row>
    <row r="76" hidden="1" outlineLevel="2" spans="2:6">
      <c r="B76" s="48" t="s">
        <v>183</v>
      </c>
      <c r="C76" s="54" t="s">
        <v>184</v>
      </c>
      <c r="D76" s="56" t="e">
        <f>SUM(#REF!)</f>
        <v>#REF!</v>
      </c>
      <c r="E76" s="56" t="e">
        <f>SUM(#REF!)</f>
        <v>#REF!</v>
      </c>
      <c r="F76" s="47"/>
    </row>
    <row r="77" hidden="1" outlineLevel="2" spans="2:6">
      <c r="B77" s="48" t="s">
        <v>185</v>
      </c>
      <c r="C77" s="54" t="s">
        <v>186</v>
      </c>
      <c r="D77" s="56" t="e">
        <f>SUM(#REF!)</f>
        <v>#REF!</v>
      </c>
      <c r="E77" s="56" t="e">
        <f>SUM(#REF!)</f>
        <v>#REF!</v>
      </c>
      <c r="F77" s="47"/>
    </row>
    <row r="78" hidden="1" outlineLevel="2" spans="2:6">
      <c r="B78" s="48" t="s">
        <v>187</v>
      </c>
      <c r="C78" s="54" t="s">
        <v>188</v>
      </c>
      <c r="D78" s="56" t="e">
        <f>SUM(#REF!)</f>
        <v>#REF!</v>
      </c>
      <c r="E78" s="56" t="e">
        <f>SUM(#REF!)</f>
        <v>#REF!</v>
      </c>
      <c r="F78" s="47"/>
    </row>
    <row r="79" hidden="1" outlineLevel="2" spans="2:6">
      <c r="B79" s="48" t="s">
        <v>189</v>
      </c>
      <c r="C79" s="54" t="s">
        <v>190</v>
      </c>
      <c r="D79" s="56" t="e">
        <f>SUM(#REF!)</f>
        <v>#REF!</v>
      </c>
      <c r="E79" s="56" t="e">
        <f>SUM(#REF!)</f>
        <v>#REF!</v>
      </c>
      <c r="F79" s="47"/>
    </row>
    <row r="80" hidden="1" outlineLevel="2" spans="2:6">
      <c r="B80" s="48" t="s">
        <v>191</v>
      </c>
      <c r="C80" s="54" t="s">
        <v>192</v>
      </c>
      <c r="D80" s="56" t="e">
        <f>SUM(#REF!)</f>
        <v>#REF!</v>
      </c>
      <c r="E80" s="56" t="e">
        <f>SUM(#REF!)</f>
        <v>#REF!</v>
      </c>
      <c r="F80" s="47"/>
    </row>
    <row r="81" hidden="1" outlineLevel="2" spans="2:6">
      <c r="B81" s="48" t="s">
        <v>193</v>
      </c>
      <c r="C81" s="54" t="s">
        <v>194</v>
      </c>
      <c r="D81" s="56" t="e">
        <f>SUM(#REF!)</f>
        <v>#REF!</v>
      </c>
      <c r="E81" s="56" t="e">
        <f>SUM(#REF!)</f>
        <v>#REF!</v>
      </c>
      <c r="F81" s="47"/>
    </row>
    <row r="82" hidden="1" outlineLevel="2" spans="2:6">
      <c r="B82" s="48" t="s">
        <v>195</v>
      </c>
      <c r="C82" s="54" t="s">
        <v>196</v>
      </c>
      <c r="D82" s="56" t="e">
        <f>SUM(#REF!)</f>
        <v>#REF!</v>
      </c>
      <c r="E82" s="56" t="e">
        <f>SUM(#REF!)</f>
        <v>#REF!</v>
      </c>
      <c r="F82" s="47"/>
    </row>
    <row r="83" hidden="1" outlineLevel="2" spans="2:6">
      <c r="B83" s="48" t="s">
        <v>197</v>
      </c>
      <c r="C83" s="54" t="s">
        <v>198</v>
      </c>
      <c r="D83" s="56" t="e">
        <f>SUM(#REF!)</f>
        <v>#REF!</v>
      </c>
      <c r="E83" s="56" t="e">
        <f>SUM(#REF!)</f>
        <v>#REF!</v>
      </c>
      <c r="F83" s="47"/>
    </row>
    <row r="84" hidden="1" outlineLevel="2" spans="2:6">
      <c r="B84" s="48" t="s">
        <v>199</v>
      </c>
      <c r="C84" s="54" t="s">
        <v>200</v>
      </c>
      <c r="D84" s="56" t="e">
        <f>SUM(#REF!)</f>
        <v>#REF!</v>
      </c>
      <c r="E84" s="56" t="e">
        <f>SUM(#REF!)</f>
        <v>#REF!</v>
      </c>
      <c r="F84" s="47"/>
    </row>
    <row r="85" hidden="1" outlineLevel="2" spans="2:6">
      <c r="B85" s="48" t="s">
        <v>201</v>
      </c>
      <c r="C85" s="54" t="s">
        <v>202</v>
      </c>
      <c r="D85" s="56" t="e">
        <f>SUM(#REF!)</f>
        <v>#REF!</v>
      </c>
      <c r="E85" s="56" t="e">
        <f>SUM(#REF!)</f>
        <v>#REF!</v>
      </c>
      <c r="F85" s="47"/>
    </row>
    <row r="86" hidden="1" outlineLevel="2" spans="2:6">
      <c r="B86" s="48" t="s">
        <v>203</v>
      </c>
      <c r="C86" s="54" t="s">
        <v>204</v>
      </c>
      <c r="D86" s="56" t="e">
        <f>SUM(#REF!)</f>
        <v>#REF!</v>
      </c>
      <c r="E86" s="56" t="e">
        <f>SUM(#REF!)</f>
        <v>#REF!</v>
      </c>
      <c r="F86" s="47"/>
    </row>
    <row r="87" hidden="1" outlineLevel="2" spans="2:6">
      <c r="B87" s="48" t="s">
        <v>205</v>
      </c>
      <c r="C87" s="54" t="s">
        <v>206</v>
      </c>
      <c r="D87" s="56" t="e">
        <f>SUM(#REF!)</f>
        <v>#REF!</v>
      </c>
      <c r="E87" s="56" t="e">
        <f>SUM(#REF!)</f>
        <v>#REF!</v>
      </c>
      <c r="F87" s="47"/>
    </row>
    <row r="88" hidden="1" outlineLevel="2" spans="2:6">
      <c r="B88" s="48" t="s">
        <v>207</v>
      </c>
      <c r="C88" s="54" t="s">
        <v>208</v>
      </c>
      <c r="D88" s="56" t="e">
        <f>SUM(#REF!)</f>
        <v>#REF!</v>
      </c>
      <c r="E88" s="56" t="e">
        <f>SUM(#REF!)</f>
        <v>#REF!</v>
      </c>
      <c r="F88" s="47"/>
    </row>
    <row r="89" hidden="1" outlineLevel="2" spans="2:6">
      <c r="B89" s="48" t="s">
        <v>209</v>
      </c>
      <c r="C89" s="54" t="s">
        <v>210</v>
      </c>
      <c r="D89" s="56" t="e">
        <f>SUM(#REF!)</f>
        <v>#REF!</v>
      </c>
      <c r="E89" s="56" t="e">
        <f>SUM(#REF!)</f>
        <v>#REF!</v>
      </c>
      <c r="F89" s="47"/>
    </row>
    <row r="90" hidden="1" outlineLevel="2" spans="2:6">
      <c r="B90" s="48" t="s">
        <v>211</v>
      </c>
      <c r="C90" s="54" t="s">
        <v>212</v>
      </c>
      <c r="D90" s="56" t="e">
        <f>SUM(#REF!)</f>
        <v>#REF!</v>
      </c>
      <c r="E90" s="56" t="e">
        <f>SUM(#REF!)</f>
        <v>#REF!</v>
      </c>
      <c r="F90" s="47"/>
    </row>
    <row r="91" hidden="1" outlineLevel="2" spans="2:6">
      <c r="B91" s="48" t="s">
        <v>213</v>
      </c>
      <c r="C91" s="54" t="s">
        <v>214</v>
      </c>
      <c r="D91" s="56" t="e">
        <f>SUM(#REF!)</f>
        <v>#REF!</v>
      </c>
      <c r="E91" s="56" t="e">
        <f>SUM(#REF!)</f>
        <v>#REF!</v>
      </c>
      <c r="F91" s="47"/>
    </row>
    <row r="92" hidden="1" outlineLevel="2" spans="2:6">
      <c r="B92" s="48" t="s">
        <v>215</v>
      </c>
      <c r="C92" s="54" t="s">
        <v>216</v>
      </c>
      <c r="D92" s="56" t="e">
        <f>SUM(#REF!)</f>
        <v>#REF!</v>
      </c>
      <c r="E92" s="56" t="e">
        <f>SUM(#REF!)</f>
        <v>#REF!</v>
      </c>
      <c r="F92" s="47"/>
    </row>
    <row r="93" hidden="1" outlineLevel="2" spans="2:6">
      <c r="B93" s="48" t="s">
        <v>217</v>
      </c>
      <c r="C93" s="54" t="s">
        <v>218</v>
      </c>
      <c r="D93" s="56" t="e">
        <f>SUM(#REF!)</f>
        <v>#REF!</v>
      </c>
      <c r="E93" s="56" t="e">
        <f>SUM(#REF!)</f>
        <v>#REF!</v>
      </c>
      <c r="F93" s="47"/>
    </row>
    <row r="94" hidden="1" outlineLevel="2" spans="2:6">
      <c r="B94" s="48" t="s">
        <v>219</v>
      </c>
      <c r="C94" s="54" t="s">
        <v>220</v>
      </c>
      <c r="D94" s="56" t="e">
        <f>SUM(#REF!)</f>
        <v>#REF!</v>
      </c>
      <c r="E94" s="56" t="e">
        <f>SUM(#REF!)</f>
        <v>#REF!</v>
      </c>
      <c r="F94" s="47"/>
    </row>
    <row r="95" hidden="1" outlineLevel="2" spans="2:6">
      <c r="B95" s="48" t="s">
        <v>221</v>
      </c>
      <c r="C95" s="54" t="s">
        <v>222</v>
      </c>
      <c r="D95" s="56" t="e">
        <f>SUM(#REF!)</f>
        <v>#REF!</v>
      </c>
      <c r="E95" s="56" t="e">
        <f>SUM(#REF!)</f>
        <v>#REF!</v>
      </c>
      <c r="F95" s="47"/>
    </row>
    <row r="96" hidden="1" outlineLevel="2" spans="2:6">
      <c r="B96" s="48" t="s">
        <v>223</v>
      </c>
      <c r="C96" s="54" t="s">
        <v>224</v>
      </c>
      <c r="D96" s="56" t="e">
        <f>SUM(#REF!)</f>
        <v>#REF!</v>
      </c>
      <c r="E96" s="56" t="e">
        <f>SUM(#REF!)</f>
        <v>#REF!</v>
      </c>
      <c r="F96" s="47"/>
    </row>
    <row r="97" hidden="1" outlineLevel="2" spans="2:6">
      <c r="B97" s="48" t="s">
        <v>225</v>
      </c>
      <c r="C97" s="54" t="s">
        <v>226</v>
      </c>
      <c r="D97" s="56" t="e">
        <f>SUM(#REF!)</f>
        <v>#REF!</v>
      </c>
      <c r="E97" s="56" t="e">
        <f>SUM(#REF!)</f>
        <v>#REF!</v>
      </c>
      <c r="F97" s="47"/>
    </row>
    <row r="98" hidden="1" outlineLevel="2" spans="2:6">
      <c r="B98" s="48" t="s">
        <v>227</v>
      </c>
      <c r="C98" s="54" t="s">
        <v>228</v>
      </c>
      <c r="D98" s="56" t="e">
        <f>SUM(#REF!)</f>
        <v>#REF!</v>
      </c>
      <c r="E98" s="56" t="e">
        <f>SUM(#REF!)</f>
        <v>#REF!</v>
      </c>
      <c r="F98" s="47"/>
    </row>
    <row r="99" hidden="1" outlineLevel="2" spans="2:6">
      <c r="B99" s="48" t="s">
        <v>229</v>
      </c>
      <c r="C99" s="54" t="s">
        <v>230</v>
      </c>
      <c r="D99" s="56" t="e">
        <f>SUM(#REF!)</f>
        <v>#REF!</v>
      </c>
      <c r="E99" s="56" t="e">
        <f>SUM(#REF!)</f>
        <v>#REF!</v>
      </c>
      <c r="F99" s="47"/>
    </row>
    <row r="100" hidden="1" outlineLevel="2" spans="2:6">
      <c r="B100" s="48" t="s">
        <v>231</v>
      </c>
      <c r="C100" s="54" t="s">
        <v>232</v>
      </c>
      <c r="D100" s="56" t="e">
        <f>SUM(#REF!)</f>
        <v>#REF!</v>
      </c>
      <c r="E100" s="56" t="e">
        <f>SUM(#REF!)</f>
        <v>#REF!</v>
      </c>
      <c r="F100" s="47"/>
    </row>
    <row r="101" hidden="1" outlineLevel="2" spans="2:6">
      <c r="B101" s="48" t="s">
        <v>233</v>
      </c>
      <c r="C101" s="54" t="s">
        <v>234</v>
      </c>
      <c r="D101" s="56" t="e">
        <f>SUM(#REF!)</f>
        <v>#REF!</v>
      </c>
      <c r="E101" s="56" t="e">
        <f>SUM(#REF!)</f>
        <v>#REF!</v>
      </c>
      <c r="F101" s="47"/>
    </row>
    <row r="102" hidden="1" outlineLevel="2" spans="2:6">
      <c r="B102" s="48" t="s">
        <v>235</v>
      </c>
      <c r="C102" s="54" t="s">
        <v>236</v>
      </c>
      <c r="D102" s="56" t="e">
        <f>SUM(#REF!)</f>
        <v>#REF!</v>
      </c>
      <c r="E102" s="56" t="e">
        <f>SUM(#REF!)</f>
        <v>#REF!</v>
      </c>
      <c r="F102" s="47"/>
    </row>
    <row r="103" hidden="1" outlineLevel="2" spans="2:6">
      <c r="B103" s="48" t="s">
        <v>237</v>
      </c>
      <c r="C103" s="54" t="s">
        <v>238</v>
      </c>
      <c r="D103" s="56" t="e">
        <f>SUM(#REF!)</f>
        <v>#REF!</v>
      </c>
      <c r="E103" s="56" t="e">
        <f>SUM(#REF!)</f>
        <v>#REF!</v>
      </c>
      <c r="F103" s="47"/>
    </row>
    <row r="104" hidden="1" outlineLevel="2" spans="2:6">
      <c r="B104" s="48" t="s">
        <v>239</v>
      </c>
      <c r="C104" s="54" t="s">
        <v>240</v>
      </c>
      <c r="D104" s="56" t="e">
        <f>SUM(#REF!)</f>
        <v>#REF!</v>
      </c>
      <c r="E104" s="56" t="e">
        <f>SUM(#REF!)</f>
        <v>#REF!</v>
      </c>
      <c r="F104" s="47"/>
    </row>
    <row r="105" hidden="1" outlineLevel="2" spans="2:6">
      <c r="B105" s="48" t="s">
        <v>241</v>
      </c>
      <c r="C105" s="54" t="s">
        <v>242</v>
      </c>
      <c r="D105" s="56" t="e">
        <f>SUM(#REF!)</f>
        <v>#REF!</v>
      </c>
      <c r="E105" s="56" t="e">
        <f>SUM(#REF!)</f>
        <v>#REF!</v>
      </c>
      <c r="F105" s="47"/>
    </row>
    <row r="106" hidden="1" outlineLevel="2" spans="2:6">
      <c r="B106" s="48" t="s">
        <v>243</v>
      </c>
      <c r="C106" s="54" t="s">
        <v>244</v>
      </c>
      <c r="D106" s="56" t="e">
        <f>SUM(#REF!)</f>
        <v>#REF!</v>
      </c>
      <c r="E106" s="56" t="e">
        <f>SUM(#REF!)</f>
        <v>#REF!</v>
      </c>
      <c r="F106" s="47"/>
    </row>
    <row r="107" hidden="1" outlineLevel="1" collapsed="1" spans="2:6">
      <c r="B107" s="53">
        <v>3.4</v>
      </c>
      <c r="C107" s="54" t="s">
        <v>245</v>
      </c>
      <c r="D107" s="55" t="e">
        <f>SUM(#REF!)</f>
        <v>#REF!</v>
      </c>
      <c r="E107" s="55" t="e">
        <f>SUM(#REF!)</f>
        <v>#REF!</v>
      </c>
      <c r="F107" s="47"/>
    </row>
    <row r="108" hidden="1" outlineLevel="2" spans="2:6">
      <c r="B108" s="48" t="s">
        <v>246</v>
      </c>
      <c r="C108" s="54" t="s">
        <v>247</v>
      </c>
      <c r="D108" s="56" t="e">
        <f>SUM(#REF!)</f>
        <v>#REF!</v>
      </c>
      <c r="E108" s="56" t="e">
        <f>SUM(#REF!)</f>
        <v>#REF!</v>
      </c>
      <c r="F108" s="47"/>
    </row>
    <row r="109" hidden="1" outlineLevel="2" spans="2:6">
      <c r="B109" s="48" t="s">
        <v>248</v>
      </c>
      <c r="C109" s="54" t="s">
        <v>249</v>
      </c>
      <c r="D109" s="56" t="e">
        <f>SUM(#REF!)</f>
        <v>#REF!</v>
      </c>
      <c r="E109" s="56" t="e">
        <f>SUM(#REF!)</f>
        <v>#REF!</v>
      </c>
      <c r="F109" s="47"/>
    </row>
    <row r="110" hidden="1" outlineLevel="2" spans="2:6">
      <c r="B110" s="48" t="s">
        <v>250</v>
      </c>
      <c r="C110" s="54" t="s">
        <v>251</v>
      </c>
      <c r="D110" s="56" t="e">
        <f>SUM(#REF!)</f>
        <v>#REF!</v>
      </c>
      <c r="E110" s="56" t="e">
        <f>SUM(#REF!)</f>
        <v>#REF!</v>
      </c>
      <c r="F110" s="47"/>
    </row>
    <row r="111" hidden="1" outlineLevel="2" spans="2:6">
      <c r="B111" s="48" t="s">
        <v>252</v>
      </c>
      <c r="C111" s="54" t="s">
        <v>253</v>
      </c>
      <c r="D111" s="56" t="e">
        <f>SUM(#REF!)</f>
        <v>#REF!</v>
      </c>
      <c r="E111" s="56" t="e">
        <f>SUM(#REF!)</f>
        <v>#REF!</v>
      </c>
      <c r="F111" s="47"/>
    </row>
    <row r="112" hidden="1" outlineLevel="2" spans="2:6">
      <c r="B112" s="48" t="s">
        <v>254</v>
      </c>
      <c r="C112" s="54" t="s">
        <v>255</v>
      </c>
      <c r="D112" s="56" t="e">
        <f>SUM(#REF!)</f>
        <v>#REF!</v>
      </c>
      <c r="E112" s="56" t="e">
        <f>SUM(#REF!)</f>
        <v>#REF!</v>
      </c>
      <c r="F112" s="47"/>
    </row>
    <row r="113" hidden="1" outlineLevel="2" spans="2:6">
      <c r="B113" s="48" t="s">
        <v>256</v>
      </c>
      <c r="C113" s="54" t="s">
        <v>257</v>
      </c>
      <c r="D113" s="56" t="e">
        <f>SUM(#REF!)</f>
        <v>#REF!</v>
      </c>
      <c r="E113" s="56" t="e">
        <f>SUM(#REF!)</f>
        <v>#REF!</v>
      </c>
      <c r="F113" s="47"/>
    </row>
    <row r="114" hidden="1" outlineLevel="2" spans="2:6">
      <c r="B114" s="48" t="s">
        <v>258</v>
      </c>
      <c r="C114" s="54" t="s">
        <v>259</v>
      </c>
      <c r="D114" s="56" t="e">
        <f>SUM(#REF!)</f>
        <v>#REF!</v>
      </c>
      <c r="E114" s="56" t="e">
        <f>SUM(#REF!)</f>
        <v>#REF!</v>
      </c>
      <c r="F114" s="47"/>
    </row>
    <row r="115" hidden="1" outlineLevel="2" spans="2:6">
      <c r="B115" s="48" t="s">
        <v>260</v>
      </c>
      <c r="C115" s="54" t="s">
        <v>261</v>
      </c>
      <c r="D115" s="56" t="e">
        <f>SUM(#REF!)</f>
        <v>#REF!</v>
      </c>
      <c r="E115" s="56" t="e">
        <f>SUM(#REF!)</f>
        <v>#REF!</v>
      </c>
      <c r="F115" s="47"/>
    </row>
    <row r="116" hidden="1" outlineLevel="2" spans="2:6">
      <c r="B116" s="48" t="s">
        <v>262</v>
      </c>
      <c r="C116" s="54" t="s">
        <v>263</v>
      </c>
      <c r="D116" s="56" t="e">
        <f>SUM(#REF!)</f>
        <v>#REF!</v>
      </c>
      <c r="E116" s="56" t="e">
        <f>SUM(#REF!)</f>
        <v>#REF!</v>
      </c>
      <c r="F116" s="47"/>
    </row>
    <row r="117" hidden="1" outlineLevel="2" spans="2:6">
      <c r="B117" s="48" t="s">
        <v>264</v>
      </c>
      <c r="C117" s="54" t="s">
        <v>265</v>
      </c>
      <c r="D117" s="56" t="e">
        <f>SUM(#REF!)</f>
        <v>#REF!</v>
      </c>
      <c r="E117" s="56" t="e">
        <f>SUM(#REF!)</f>
        <v>#REF!</v>
      </c>
      <c r="F117" s="47"/>
    </row>
    <row r="118" hidden="1" outlineLevel="2" spans="2:6">
      <c r="B118" s="48" t="s">
        <v>266</v>
      </c>
      <c r="C118" s="54" t="s">
        <v>267</v>
      </c>
      <c r="D118" s="56" t="e">
        <f>SUM(#REF!)</f>
        <v>#REF!</v>
      </c>
      <c r="E118" s="56" t="e">
        <f>SUM(#REF!)</f>
        <v>#REF!</v>
      </c>
      <c r="F118" s="47"/>
    </row>
    <row r="119" hidden="1" outlineLevel="2" spans="2:6">
      <c r="B119" s="48" t="s">
        <v>268</v>
      </c>
      <c r="C119" s="54" t="s">
        <v>269</v>
      </c>
      <c r="D119" s="56" t="e">
        <f>SUM(#REF!)</f>
        <v>#REF!</v>
      </c>
      <c r="E119" s="56" t="e">
        <f>SUM(#REF!)</f>
        <v>#REF!</v>
      </c>
      <c r="F119" s="47"/>
    </row>
    <row r="120" hidden="1" outlineLevel="2" spans="2:6">
      <c r="B120" s="48" t="s">
        <v>270</v>
      </c>
      <c r="C120" s="54" t="s">
        <v>271</v>
      </c>
      <c r="D120" s="56" t="e">
        <f>SUM(#REF!)</f>
        <v>#REF!</v>
      </c>
      <c r="E120" s="56" t="e">
        <f>SUM(#REF!)</f>
        <v>#REF!</v>
      </c>
      <c r="F120" s="47"/>
    </row>
    <row r="121" hidden="1" outlineLevel="2" spans="2:6">
      <c r="B121" s="48" t="s">
        <v>272</v>
      </c>
      <c r="C121" s="54" t="s">
        <v>273</v>
      </c>
      <c r="D121" s="56" t="e">
        <f>SUM(#REF!)</f>
        <v>#REF!</v>
      </c>
      <c r="E121" s="56" t="e">
        <f>SUM(#REF!)</f>
        <v>#REF!</v>
      </c>
      <c r="F121" s="47"/>
    </row>
    <row r="122" hidden="1" outlineLevel="2" spans="2:6">
      <c r="B122" s="48" t="s">
        <v>274</v>
      </c>
      <c r="C122" s="54" t="s">
        <v>275</v>
      </c>
      <c r="D122" s="56" t="e">
        <f>SUM(#REF!)</f>
        <v>#REF!</v>
      </c>
      <c r="E122" s="56" t="e">
        <f>SUM(#REF!)</f>
        <v>#REF!</v>
      </c>
      <c r="F122" s="47"/>
    </row>
    <row r="123" hidden="1" outlineLevel="2" spans="2:6">
      <c r="B123" s="48" t="s">
        <v>276</v>
      </c>
      <c r="C123" s="54" t="s">
        <v>277</v>
      </c>
      <c r="D123" s="56" t="e">
        <f>SUM(#REF!)</f>
        <v>#REF!</v>
      </c>
      <c r="E123" s="56" t="e">
        <f>SUM(#REF!)</f>
        <v>#REF!</v>
      </c>
      <c r="F123" s="47"/>
    </row>
    <row r="124" hidden="1" outlineLevel="2" spans="2:6">
      <c r="B124" s="48" t="s">
        <v>278</v>
      </c>
      <c r="C124" s="54" t="s">
        <v>279</v>
      </c>
      <c r="D124" s="56" t="e">
        <f>SUM(#REF!)</f>
        <v>#REF!</v>
      </c>
      <c r="E124" s="56" t="e">
        <f>SUM(#REF!)</f>
        <v>#REF!</v>
      </c>
      <c r="F124" s="47"/>
    </row>
    <row r="125" hidden="1" outlineLevel="2" spans="2:6">
      <c r="B125" s="48" t="s">
        <v>280</v>
      </c>
      <c r="C125" s="54" t="s">
        <v>281</v>
      </c>
      <c r="D125" s="56" t="e">
        <f>SUM(#REF!)</f>
        <v>#REF!</v>
      </c>
      <c r="E125" s="56" t="e">
        <f>SUM(#REF!)</f>
        <v>#REF!</v>
      </c>
      <c r="F125" s="47"/>
    </row>
    <row r="126" hidden="1" outlineLevel="2" spans="2:6">
      <c r="B126" s="48" t="s">
        <v>282</v>
      </c>
      <c r="C126" s="54" t="s">
        <v>283</v>
      </c>
      <c r="D126" s="56" t="e">
        <f>SUM(#REF!)</f>
        <v>#REF!</v>
      </c>
      <c r="E126" s="56" t="e">
        <f>SUM(#REF!)</f>
        <v>#REF!</v>
      </c>
      <c r="F126" s="47"/>
    </row>
    <row r="127" hidden="1" outlineLevel="2" spans="2:6">
      <c r="B127" s="48" t="s">
        <v>284</v>
      </c>
      <c r="C127" s="54" t="s">
        <v>244</v>
      </c>
      <c r="D127" s="56" t="e">
        <f>SUM(#REF!)</f>
        <v>#REF!</v>
      </c>
      <c r="E127" s="56" t="e">
        <f>SUM(#REF!)</f>
        <v>#REF!</v>
      </c>
      <c r="F127" s="47"/>
    </row>
    <row r="128" hidden="1" outlineLevel="1" collapsed="1" spans="2:6">
      <c r="B128" s="53">
        <v>3.5</v>
      </c>
      <c r="C128" s="54" t="s">
        <v>285</v>
      </c>
      <c r="D128" s="55" t="e">
        <f>SUM(#REF!)</f>
        <v>#REF!</v>
      </c>
      <c r="E128" s="55" t="e">
        <f>SUM(#REF!)</f>
        <v>#REF!</v>
      </c>
      <c r="F128" s="47"/>
    </row>
    <row r="129" hidden="1" outlineLevel="2" spans="2:6">
      <c r="B129" s="48" t="s">
        <v>286</v>
      </c>
      <c r="C129" s="54" t="s">
        <v>99</v>
      </c>
      <c r="D129" s="56" t="e">
        <f>SUM(#REF!)</f>
        <v>#REF!</v>
      </c>
      <c r="E129" s="56" t="e">
        <f>SUM(#REF!)</f>
        <v>#REF!</v>
      </c>
      <c r="F129" s="47"/>
    </row>
    <row r="130" hidden="1" outlineLevel="2" spans="2:6">
      <c r="B130" s="48" t="s">
        <v>287</v>
      </c>
      <c r="C130" s="54" t="s">
        <v>288</v>
      </c>
      <c r="D130" s="56" t="e">
        <f>SUM(#REF!)</f>
        <v>#REF!</v>
      </c>
      <c r="E130" s="56" t="e">
        <f>SUM(#REF!)</f>
        <v>#REF!</v>
      </c>
      <c r="F130" s="47"/>
    </row>
    <row r="131" hidden="1" outlineLevel="2" spans="2:6">
      <c r="B131" s="48" t="s">
        <v>289</v>
      </c>
      <c r="C131" s="54" t="s">
        <v>290</v>
      </c>
      <c r="D131" s="56" t="e">
        <f>SUM(#REF!)</f>
        <v>#REF!</v>
      </c>
      <c r="E131" s="56" t="e">
        <f>SUM(#REF!)</f>
        <v>#REF!</v>
      </c>
      <c r="F131" s="47"/>
    </row>
    <row r="132" hidden="1" outlineLevel="2" spans="2:6">
      <c r="B132" s="48" t="s">
        <v>291</v>
      </c>
      <c r="C132" s="54" t="s">
        <v>292</v>
      </c>
      <c r="D132" s="56" t="e">
        <f>SUM(#REF!)</f>
        <v>#REF!</v>
      </c>
      <c r="E132" s="56" t="e">
        <f>SUM(#REF!)</f>
        <v>#REF!</v>
      </c>
      <c r="F132" s="47"/>
    </row>
    <row r="133" hidden="1" outlineLevel="2" spans="2:6">
      <c r="B133" s="48" t="s">
        <v>293</v>
      </c>
      <c r="C133" s="54" t="s">
        <v>294</v>
      </c>
      <c r="D133" s="56" t="e">
        <f>SUM(#REF!)</f>
        <v>#REF!</v>
      </c>
      <c r="E133" s="56" t="e">
        <f>SUM(#REF!)</f>
        <v>#REF!</v>
      </c>
      <c r="F133" s="47"/>
    </row>
    <row r="134" hidden="1" outlineLevel="2" spans="2:6">
      <c r="B134" s="48" t="s">
        <v>295</v>
      </c>
      <c r="C134" s="54" t="s">
        <v>296</v>
      </c>
      <c r="D134" s="56" t="e">
        <f>SUM(#REF!)</f>
        <v>#REF!</v>
      </c>
      <c r="E134" s="56" t="e">
        <f>SUM(#REF!)</f>
        <v>#REF!</v>
      </c>
      <c r="F134" s="47"/>
    </row>
    <row r="135" hidden="1" outlineLevel="2" spans="2:6">
      <c r="B135" s="48" t="s">
        <v>297</v>
      </c>
      <c r="C135" s="54" t="s">
        <v>298</v>
      </c>
      <c r="D135" s="56" t="e">
        <f>SUM(#REF!)</f>
        <v>#REF!</v>
      </c>
      <c r="E135" s="56" t="e">
        <f>SUM(#REF!)</f>
        <v>#REF!</v>
      </c>
      <c r="F135" s="47"/>
    </row>
    <row r="136" hidden="1" outlineLevel="2" spans="2:6">
      <c r="B136" s="48" t="s">
        <v>299</v>
      </c>
      <c r="C136" s="54" t="s">
        <v>300</v>
      </c>
      <c r="D136" s="56" t="e">
        <f>SUM(#REF!)</f>
        <v>#REF!</v>
      </c>
      <c r="E136" s="56" t="e">
        <f>SUM(#REF!)</f>
        <v>#REF!</v>
      </c>
      <c r="F136" s="47"/>
    </row>
    <row r="137" hidden="1" outlineLevel="2" spans="2:6">
      <c r="B137" s="48" t="s">
        <v>301</v>
      </c>
      <c r="C137" s="54" t="s">
        <v>302</v>
      </c>
      <c r="D137" s="56" t="e">
        <f>SUM(#REF!)</f>
        <v>#REF!</v>
      </c>
      <c r="E137" s="56" t="e">
        <f>SUM(#REF!)</f>
        <v>#REF!</v>
      </c>
      <c r="F137" s="47"/>
    </row>
    <row r="138" hidden="1" outlineLevel="2" spans="2:6">
      <c r="B138" s="48" t="s">
        <v>303</v>
      </c>
      <c r="C138" s="54" t="s">
        <v>304</v>
      </c>
      <c r="D138" s="56" t="e">
        <f>SUM(#REF!)</f>
        <v>#REF!</v>
      </c>
      <c r="E138" s="56" t="e">
        <f>SUM(#REF!)</f>
        <v>#REF!</v>
      </c>
      <c r="F138" s="47"/>
    </row>
    <row r="139" hidden="1" outlineLevel="2" spans="2:6">
      <c r="B139" s="48" t="s">
        <v>305</v>
      </c>
      <c r="C139" s="54" t="s">
        <v>306</v>
      </c>
      <c r="D139" s="56" t="e">
        <f>SUM(#REF!)</f>
        <v>#REF!</v>
      </c>
      <c r="E139" s="56" t="e">
        <f>SUM(#REF!)</f>
        <v>#REF!</v>
      </c>
      <c r="F139" s="47"/>
    </row>
    <row r="140" hidden="1" outlineLevel="2" spans="2:6">
      <c r="B140" s="48" t="s">
        <v>307</v>
      </c>
      <c r="C140" s="54" t="s">
        <v>308</v>
      </c>
      <c r="D140" s="56" t="e">
        <f>SUM(#REF!)</f>
        <v>#REF!</v>
      </c>
      <c r="E140" s="56" t="e">
        <f>SUM(#REF!)</f>
        <v>#REF!</v>
      </c>
      <c r="F140" s="47"/>
    </row>
    <row r="141" hidden="1" outlineLevel="2" spans="2:6">
      <c r="B141" s="48" t="s">
        <v>309</v>
      </c>
      <c r="C141" s="54" t="s">
        <v>310</v>
      </c>
      <c r="D141" s="56" t="e">
        <f>SUM(#REF!)</f>
        <v>#REF!</v>
      </c>
      <c r="E141" s="56" t="e">
        <f>SUM(#REF!)</f>
        <v>#REF!</v>
      </c>
      <c r="F141" s="47"/>
    </row>
    <row r="142" hidden="1" outlineLevel="2" spans="2:6">
      <c r="B142" s="48" t="s">
        <v>311</v>
      </c>
      <c r="C142" s="54" t="s">
        <v>312</v>
      </c>
      <c r="D142" s="56" t="e">
        <f>SUM(#REF!)</f>
        <v>#REF!</v>
      </c>
      <c r="E142" s="56" t="e">
        <f>SUM(#REF!)</f>
        <v>#REF!</v>
      </c>
      <c r="F142" s="47"/>
    </row>
    <row r="143" hidden="1" outlineLevel="2" spans="2:6">
      <c r="B143" s="48" t="s">
        <v>313</v>
      </c>
      <c r="C143" s="54" t="s">
        <v>314</v>
      </c>
      <c r="D143" s="56" t="e">
        <f>SUM(#REF!)</f>
        <v>#REF!</v>
      </c>
      <c r="E143" s="56" t="e">
        <f>SUM(#REF!)</f>
        <v>#REF!</v>
      </c>
      <c r="F143" s="47"/>
    </row>
    <row r="144" hidden="1" outlineLevel="2" spans="2:6">
      <c r="B144" s="48" t="s">
        <v>315</v>
      </c>
      <c r="C144" s="54" t="s">
        <v>316</v>
      </c>
      <c r="D144" s="56" t="e">
        <f>SUM(#REF!)</f>
        <v>#REF!</v>
      </c>
      <c r="E144" s="56" t="e">
        <f>SUM(#REF!)</f>
        <v>#REF!</v>
      </c>
      <c r="F144" s="47"/>
    </row>
    <row r="145" hidden="1" outlineLevel="2" spans="2:6">
      <c r="B145" s="48" t="s">
        <v>317</v>
      </c>
      <c r="C145" s="54" t="s">
        <v>318</v>
      </c>
      <c r="D145" s="56" t="e">
        <f>SUM(#REF!)</f>
        <v>#REF!</v>
      </c>
      <c r="E145" s="56" t="e">
        <f>SUM(#REF!)</f>
        <v>#REF!</v>
      </c>
      <c r="F145" s="47"/>
    </row>
    <row r="146" hidden="1" outlineLevel="2" spans="2:6">
      <c r="B146" s="48" t="s">
        <v>319</v>
      </c>
      <c r="C146" s="54" t="s">
        <v>320</v>
      </c>
      <c r="D146" s="56" t="e">
        <f>SUM(#REF!)</f>
        <v>#REF!</v>
      </c>
      <c r="E146" s="56" t="e">
        <f>SUM(#REF!)</f>
        <v>#REF!</v>
      </c>
      <c r="F146" s="47"/>
    </row>
    <row r="147" hidden="1" outlineLevel="2" spans="2:6">
      <c r="B147" s="48" t="s">
        <v>321</v>
      </c>
      <c r="C147" s="54" t="s">
        <v>322</v>
      </c>
      <c r="D147" s="56" t="e">
        <f>SUM(#REF!)</f>
        <v>#REF!</v>
      </c>
      <c r="E147" s="56" t="e">
        <f>SUM(#REF!)</f>
        <v>#REF!</v>
      </c>
      <c r="F147" s="47"/>
    </row>
    <row r="148" hidden="1" outlineLevel="2" spans="2:6">
      <c r="B148" s="48" t="s">
        <v>323</v>
      </c>
      <c r="C148" s="54" t="s">
        <v>324</v>
      </c>
      <c r="D148" s="56" t="e">
        <f>SUM(#REF!)</f>
        <v>#REF!</v>
      </c>
      <c r="E148" s="56" t="e">
        <f>SUM(#REF!)</f>
        <v>#REF!</v>
      </c>
      <c r="F148" s="47"/>
    </row>
    <row r="149" hidden="1" outlineLevel="2" spans="2:6">
      <c r="B149" s="48" t="s">
        <v>325</v>
      </c>
      <c r="C149" s="54" t="s">
        <v>326</v>
      </c>
      <c r="D149" s="56" t="e">
        <f>SUM(#REF!)</f>
        <v>#REF!</v>
      </c>
      <c r="E149" s="56" t="e">
        <f>SUM(#REF!)</f>
        <v>#REF!</v>
      </c>
      <c r="F149" s="47"/>
    </row>
    <row r="150" hidden="1" outlineLevel="2" spans="2:6">
      <c r="B150" s="48" t="s">
        <v>327</v>
      </c>
      <c r="C150" s="54" t="s">
        <v>328</v>
      </c>
      <c r="D150" s="56" t="e">
        <f>SUM(#REF!)</f>
        <v>#REF!</v>
      </c>
      <c r="E150" s="56" t="e">
        <f>SUM(#REF!)</f>
        <v>#REF!</v>
      </c>
      <c r="F150" s="47"/>
    </row>
    <row r="151" hidden="1" outlineLevel="2" spans="2:6">
      <c r="B151" s="48" t="s">
        <v>329</v>
      </c>
      <c r="C151" s="54" t="s">
        <v>330</v>
      </c>
      <c r="D151" s="56" t="e">
        <f>SUM(#REF!)</f>
        <v>#REF!</v>
      </c>
      <c r="E151" s="56" t="e">
        <f>SUM(#REF!)</f>
        <v>#REF!</v>
      </c>
      <c r="F151" s="47"/>
    </row>
    <row r="152" hidden="1" outlineLevel="2" spans="2:6">
      <c r="B152" s="48" t="s">
        <v>331</v>
      </c>
      <c r="C152" s="54" t="s">
        <v>332</v>
      </c>
      <c r="D152" s="56" t="e">
        <f>SUM(#REF!)</f>
        <v>#REF!</v>
      </c>
      <c r="E152" s="56" t="e">
        <f>SUM(#REF!)</f>
        <v>#REF!</v>
      </c>
      <c r="F152" s="47"/>
    </row>
    <row r="153" hidden="1" outlineLevel="2" spans="2:6">
      <c r="B153" s="48" t="s">
        <v>333</v>
      </c>
      <c r="C153" s="54" t="s">
        <v>334</v>
      </c>
      <c r="D153" s="56" t="e">
        <f>SUM(#REF!)</f>
        <v>#REF!</v>
      </c>
      <c r="E153" s="56" t="e">
        <f>SUM(#REF!)</f>
        <v>#REF!</v>
      </c>
      <c r="F153" s="47"/>
    </row>
    <row r="154" hidden="1" outlineLevel="2" spans="2:6">
      <c r="B154" s="48" t="s">
        <v>335</v>
      </c>
      <c r="C154" s="54" t="s">
        <v>336</v>
      </c>
      <c r="D154" s="56" t="e">
        <f>SUM(#REF!)</f>
        <v>#REF!</v>
      </c>
      <c r="E154" s="56" t="e">
        <f>SUM(#REF!)</f>
        <v>#REF!</v>
      </c>
      <c r="F154" s="47"/>
    </row>
    <row r="155" hidden="1" outlineLevel="1" collapsed="1" spans="2:6">
      <c r="B155" s="53">
        <v>3.6</v>
      </c>
      <c r="C155" s="54" t="s">
        <v>337</v>
      </c>
      <c r="D155" s="55" t="e">
        <f>SUM(#REF!)</f>
        <v>#REF!</v>
      </c>
      <c r="E155" s="55" t="e">
        <f>SUM(#REF!)</f>
        <v>#REF!</v>
      </c>
      <c r="F155" s="47"/>
    </row>
    <row r="156" hidden="1" outlineLevel="2" spans="2:6">
      <c r="B156" s="48" t="s">
        <v>338</v>
      </c>
      <c r="C156" s="54" t="s">
        <v>339</v>
      </c>
      <c r="D156" s="56" t="e">
        <f>SUM(#REF!)</f>
        <v>#REF!</v>
      </c>
      <c r="E156" s="56" t="e">
        <f>SUM(#REF!)</f>
        <v>#REF!</v>
      </c>
      <c r="F156" s="47"/>
    </row>
    <row r="157" hidden="1" outlineLevel="2" spans="2:6">
      <c r="B157" s="48" t="s">
        <v>340</v>
      </c>
      <c r="C157" s="54" t="s">
        <v>341</v>
      </c>
      <c r="D157" s="56" t="e">
        <f>SUM(#REF!)</f>
        <v>#REF!</v>
      </c>
      <c r="E157" s="56" t="e">
        <f>SUM(#REF!)</f>
        <v>#REF!</v>
      </c>
      <c r="F157" s="47"/>
    </row>
    <row r="158" hidden="1" outlineLevel="2" spans="2:6">
      <c r="B158" s="48" t="s">
        <v>342</v>
      </c>
      <c r="C158" s="54" t="s">
        <v>343</v>
      </c>
      <c r="D158" s="56" t="e">
        <f>SUM(#REF!)</f>
        <v>#REF!</v>
      </c>
      <c r="E158" s="56" t="e">
        <f>SUM(#REF!)</f>
        <v>#REF!</v>
      </c>
      <c r="F158" s="47"/>
    </row>
    <row r="159" hidden="1" outlineLevel="2" spans="2:6">
      <c r="B159" s="48" t="s">
        <v>344</v>
      </c>
      <c r="C159" s="54" t="s">
        <v>298</v>
      </c>
      <c r="D159" s="56" t="e">
        <f>SUM(#REF!)</f>
        <v>#REF!</v>
      </c>
      <c r="E159" s="56" t="e">
        <f>SUM(#REF!)</f>
        <v>#REF!</v>
      </c>
      <c r="F159" s="47"/>
    </row>
    <row r="160" hidden="1" outlineLevel="2" spans="2:6">
      <c r="B160" s="48" t="s">
        <v>345</v>
      </c>
      <c r="C160" s="54" t="s">
        <v>346</v>
      </c>
      <c r="D160" s="56" t="e">
        <f>SUM(#REF!)</f>
        <v>#REF!</v>
      </c>
      <c r="E160" s="56" t="e">
        <f>SUM(#REF!)</f>
        <v>#REF!</v>
      </c>
      <c r="F160" s="47"/>
    </row>
    <row r="161" hidden="1" outlineLevel="1" collapsed="1" spans="2:6">
      <c r="B161" s="53">
        <v>3.7</v>
      </c>
      <c r="C161" s="54" t="s">
        <v>347</v>
      </c>
      <c r="D161" s="55" t="e">
        <f>SUM(#REF!)</f>
        <v>#REF!</v>
      </c>
      <c r="E161" s="55" t="e">
        <f>SUM(#REF!)</f>
        <v>#REF!</v>
      </c>
      <c r="F161" s="47"/>
    </row>
    <row r="162" hidden="1" outlineLevel="2" spans="2:6">
      <c r="B162" s="48" t="s">
        <v>348</v>
      </c>
      <c r="C162" s="54" t="s">
        <v>349</v>
      </c>
      <c r="D162" s="56" t="e">
        <f>SUM(#REF!)</f>
        <v>#REF!</v>
      </c>
      <c r="E162" s="56" t="e">
        <f>SUM(#REF!)</f>
        <v>#REF!</v>
      </c>
      <c r="F162" s="47"/>
    </row>
    <row r="163" hidden="1" outlineLevel="2" spans="2:6">
      <c r="B163" s="48" t="s">
        <v>350</v>
      </c>
      <c r="C163" s="54" t="s">
        <v>351</v>
      </c>
      <c r="D163" s="56" t="e">
        <f>SUM(#REF!)</f>
        <v>#REF!</v>
      </c>
      <c r="E163" s="56" t="e">
        <f>SUM(#REF!)</f>
        <v>#REF!</v>
      </c>
      <c r="F163" s="47"/>
    </row>
    <row r="164" hidden="1" outlineLevel="2" spans="2:6">
      <c r="B164" s="48" t="s">
        <v>352</v>
      </c>
      <c r="C164" s="54" t="s">
        <v>353</v>
      </c>
      <c r="D164" s="56" t="e">
        <f>SUM(#REF!)</f>
        <v>#REF!</v>
      </c>
      <c r="E164" s="56" t="e">
        <f>SUM(#REF!)</f>
        <v>#REF!</v>
      </c>
      <c r="F164" s="47"/>
    </row>
    <row r="165" hidden="1" outlineLevel="2" spans="2:6">
      <c r="B165" s="48" t="s">
        <v>354</v>
      </c>
      <c r="C165" s="54" t="s">
        <v>343</v>
      </c>
      <c r="D165" s="56" t="e">
        <f>SUM(#REF!)</f>
        <v>#REF!</v>
      </c>
      <c r="E165" s="56" t="e">
        <f>SUM(#REF!)</f>
        <v>#REF!</v>
      </c>
      <c r="F165" s="47"/>
    </row>
    <row r="166" hidden="1" outlineLevel="2" spans="2:6">
      <c r="B166" s="48" t="s">
        <v>355</v>
      </c>
      <c r="C166" s="54" t="s">
        <v>356</v>
      </c>
      <c r="D166" s="56" t="e">
        <f>SUM(#REF!)</f>
        <v>#REF!</v>
      </c>
      <c r="E166" s="56" t="e">
        <f>SUM(#REF!)</f>
        <v>#REF!</v>
      </c>
      <c r="F166" s="47"/>
    </row>
    <row r="167" hidden="1" outlineLevel="2" spans="2:6">
      <c r="B167" s="48" t="s">
        <v>357</v>
      </c>
      <c r="C167" s="54" t="s">
        <v>298</v>
      </c>
      <c r="D167" s="56" t="e">
        <f>SUM(#REF!)</f>
        <v>#REF!</v>
      </c>
      <c r="E167" s="56" t="e">
        <f>SUM(#REF!)</f>
        <v>#REF!</v>
      </c>
      <c r="F167" s="47"/>
    </row>
    <row r="168" hidden="1" outlineLevel="2" spans="2:6">
      <c r="B168" s="48" t="s">
        <v>358</v>
      </c>
      <c r="C168" s="54" t="s">
        <v>359</v>
      </c>
      <c r="D168" s="56" t="e">
        <f>SUM(#REF!)</f>
        <v>#REF!</v>
      </c>
      <c r="E168" s="56" t="e">
        <f>SUM(#REF!)</f>
        <v>#REF!</v>
      </c>
      <c r="F168" s="47"/>
    </row>
    <row r="169" hidden="1" outlineLevel="2" spans="2:6">
      <c r="B169" s="48" t="s">
        <v>360</v>
      </c>
      <c r="C169" s="54" t="s">
        <v>361</v>
      </c>
      <c r="D169" s="56" t="e">
        <f>SUM(#REF!)</f>
        <v>#REF!</v>
      </c>
      <c r="E169" s="56" t="e">
        <f>SUM(#REF!)</f>
        <v>#REF!</v>
      </c>
      <c r="F169" s="47"/>
    </row>
    <row r="170" hidden="1" outlineLevel="2" spans="2:6">
      <c r="B170" s="48" t="s">
        <v>362</v>
      </c>
      <c r="C170" s="54" t="s">
        <v>363</v>
      </c>
      <c r="D170" s="56" t="e">
        <f>SUM(#REF!)</f>
        <v>#REF!</v>
      </c>
      <c r="E170" s="56" t="e">
        <f>SUM(#REF!)</f>
        <v>#REF!</v>
      </c>
      <c r="F170" s="47"/>
    </row>
    <row r="171" hidden="1" outlineLevel="1" collapsed="1" spans="2:6">
      <c r="B171" s="53">
        <v>3.8</v>
      </c>
      <c r="C171" s="54" t="s">
        <v>364</v>
      </c>
      <c r="D171" s="55" t="e">
        <f>SUM(#REF!)</f>
        <v>#REF!</v>
      </c>
      <c r="E171" s="55" t="e">
        <f>SUM(#REF!)</f>
        <v>#REF!</v>
      </c>
      <c r="F171" s="47"/>
    </row>
    <row r="172" hidden="1" outlineLevel="2" spans="2:6">
      <c r="B172" s="48" t="s">
        <v>365</v>
      </c>
      <c r="C172" s="54" t="s">
        <v>366</v>
      </c>
      <c r="D172" s="56" t="e">
        <f>SUM(#REF!)</f>
        <v>#REF!</v>
      </c>
      <c r="E172" s="56" t="e">
        <f>SUM(#REF!)</f>
        <v>#REF!</v>
      </c>
      <c r="F172" s="47"/>
    </row>
    <row r="173" hidden="1" outlineLevel="2" spans="2:6">
      <c r="B173" s="48" t="s">
        <v>367</v>
      </c>
      <c r="C173" s="54" t="s">
        <v>368</v>
      </c>
      <c r="D173" s="56" t="e">
        <f>SUM(#REF!)</f>
        <v>#REF!</v>
      </c>
      <c r="E173" s="56" t="e">
        <f>SUM(#REF!)</f>
        <v>#REF!</v>
      </c>
      <c r="F173" s="47"/>
    </row>
    <row r="174" hidden="1" outlineLevel="2" spans="2:6">
      <c r="B174" s="48" t="s">
        <v>369</v>
      </c>
      <c r="C174" s="54" t="s">
        <v>370</v>
      </c>
      <c r="D174" s="56" t="e">
        <f>SUM(#REF!)</f>
        <v>#REF!</v>
      </c>
      <c r="E174" s="56" t="e">
        <f>SUM(#REF!)</f>
        <v>#REF!</v>
      </c>
      <c r="F174" s="47"/>
    </row>
    <row r="175" hidden="1" outlineLevel="2" spans="2:6">
      <c r="B175" s="48" t="s">
        <v>371</v>
      </c>
      <c r="C175" s="54" t="s">
        <v>372</v>
      </c>
      <c r="D175" s="56" t="e">
        <f>SUM(#REF!)</f>
        <v>#REF!</v>
      </c>
      <c r="E175" s="56" t="e">
        <f>SUM(#REF!)</f>
        <v>#REF!</v>
      </c>
      <c r="F175" s="47"/>
    </row>
    <row r="176" hidden="1" outlineLevel="2" spans="2:6">
      <c r="B176" s="48" t="s">
        <v>373</v>
      </c>
      <c r="C176" s="54" t="s">
        <v>374</v>
      </c>
      <c r="D176" s="56" t="e">
        <f>SUM(#REF!)</f>
        <v>#REF!</v>
      </c>
      <c r="E176" s="56" t="e">
        <f>SUM(#REF!)</f>
        <v>#REF!</v>
      </c>
      <c r="F176" s="47"/>
    </row>
    <row r="177" hidden="1" outlineLevel="2" spans="2:6">
      <c r="B177" s="48" t="s">
        <v>375</v>
      </c>
      <c r="C177" s="54" t="s">
        <v>376</v>
      </c>
      <c r="D177" s="56" t="e">
        <f>SUM(#REF!)</f>
        <v>#REF!</v>
      </c>
      <c r="E177" s="56" t="e">
        <f>SUM(#REF!)</f>
        <v>#REF!</v>
      </c>
      <c r="F177" s="47"/>
    </row>
    <row r="178" hidden="1" outlineLevel="2" spans="2:6">
      <c r="B178" s="48" t="s">
        <v>377</v>
      </c>
      <c r="C178" s="54" t="s">
        <v>378</v>
      </c>
      <c r="D178" s="56" t="e">
        <f>SUM(#REF!)</f>
        <v>#REF!</v>
      </c>
      <c r="E178" s="56" t="e">
        <f>SUM(#REF!)</f>
        <v>#REF!</v>
      </c>
      <c r="F178" s="47"/>
    </row>
    <row r="179" hidden="1" outlineLevel="2" spans="2:6">
      <c r="B179" s="48" t="s">
        <v>379</v>
      </c>
      <c r="C179" s="54" t="s">
        <v>380</v>
      </c>
      <c r="D179" s="56" t="e">
        <f>SUM(#REF!)</f>
        <v>#REF!</v>
      </c>
      <c r="E179" s="56" t="e">
        <f>SUM(#REF!)</f>
        <v>#REF!</v>
      </c>
      <c r="F179" s="47"/>
    </row>
    <row r="180" hidden="1" outlineLevel="1" collapsed="1" spans="2:6">
      <c r="B180" s="53">
        <v>3.9</v>
      </c>
      <c r="C180" s="54" t="s">
        <v>381</v>
      </c>
      <c r="D180" s="55" t="e">
        <f>SUM(#REF!)</f>
        <v>#REF!</v>
      </c>
      <c r="E180" s="55" t="e">
        <f>SUM(#REF!)</f>
        <v>#REF!</v>
      </c>
      <c r="F180" s="47"/>
    </row>
    <row r="181" hidden="1" outlineLevel="2" spans="2:6">
      <c r="B181" s="48" t="s">
        <v>382</v>
      </c>
      <c r="C181" s="54" t="s">
        <v>383</v>
      </c>
      <c r="D181" s="56" t="e">
        <f>SUM(#REF!)</f>
        <v>#REF!</v>
      </c>
      <c r="E181" s="56" t="e">
        <f>SUM(#REF!)</f>
        <v>#REF!</v>
      </c>
      <c r="F181" s="47"/>
    </row>
    <row r="182" hidden="1" outlineLevel="2" spans="2:6">
      <c r="B182" s="48" t="s">
        <v>384</v>
      </c>
      <c r="C182" s="54" t="s">
        <v>343</v>
      </c>
      <c r="D182" s="56" t="e">
        <f>SUM(#REF!)</f>
        <v>#REF!</v>
      </c>
      <c r="E182" s="56" t="e">
        <f>SUM(#REF!)</f>
        <v>#REF!</v>
      </c>
      <c r="F182" s="47"/>
    </row>
    <row r="183" hidden="1" outlineLevel="2" spans="2:6">
      <c r="B183" s="48" t="s">
        <v>385</v>
      </c>
      <c r="C183" s="54" t="s">
        <v>386</v>
      </c>
      <c r="D183" s="56" t="e">
        <f>SUM(#REF!)</f>
        <v>#REF!</v>
      </c>
      <c r="E183" s="56" t="e">
        <f>SUM(#REF!)</f>
        <v>#REF!</v>
      </c>
      <c r="F183" s="47"/>
    </row>
    <row r="184" hidden="1" outlineLevel="2" spans="2:6">
      <c r="B184" s="48" t="s">
        <v>387</v>
      </c>
      <c r="C184" s="54" t="s">
        <v>388</v>
      </c>
      <c r="D184" s="56" t="e">
        <f>SUM(#REF!)</f>
        <v>#REF!</v>
      </c>
      <c r="E184" s="56" t="e">
        <f>SUM(#REF!)</f>
        <v>#REF!</v>
      </c>
      <c r="F184" s="47"/>
    </row>
    <row r="185" hidden="1" outlineLevel="2" spans="2:6">
      <c r="B185" s="48" t="s">
        <v>389</v>
      </c>
      <c r="C185" s="54" t="s">
        <v>390</v>
      </c>
      <c r="D185" s="56" t="e">
        <f>SUM(#REF!)</f>
        <v>#REF!</v>
      </c>
      <c r="E185" s="56" t="e">
        <f>SUM(#REF!)</f>
        <v>#REF!</v>
      </c>
      <c r="F185" s="47"/>
    </row>
    <row r="186" hidden="1" outlineLevel="2" spans="2:6">
      <c r="B186" s="48" t="s">
        <v>391</v>
      </c>
      <c r="C186" s="54" t="s">
        <v>392</v>
      </c>
      <c r="D186" s="56" t="e">
        <f>SUM(#REF!)</f>
        <v>#REF!</v>
      </c>
      <c r="E186" s="56" t="e">
        <f>SUM(#REF!)</f>
        <v>#REF!</v>
      </c>
      <c r="F186" s="47"/>
    </row>
    <row r="187" hidden="1" outlineLevel="1" collapsed="1" spans="2:6">
      <c r="B187" s="59">
        <v>3.1</v>
      </c>
      <c r="C187" s="54" t="s">
        <v>393</v>
      </c>
      <c r="D187" s="55" t="e">
        <f>SUM(#REF!)</f>
        <v>#REF!</v>
      </c>
      <c r="E187" s="55" t="e">
        <f>SUM(#REF!)</f>
        <v>#REF!</v>
      </c>
      <c r="F187" s="47"/>
    </row>
    <row r="188" hidden="1" outlineLevel="2" spans="2:6">
      <c r="B188" s="48" t="s">
        <v>394</v>
      </c>
      <c r="C188" s="54" t="s">
        <v>395</v>
      </c>
      <c r="D188" s="56" t="e">
        <f>SUM(#REF!)</f>
        <v>#REF!</v>
      </c>
      <c r="E188" s="56" t="e">
        <f>SUM(#REF!)</f>
        <v>#REF!</v>
      </c>
      <c r="F188" s="47"/>
    </row>
    <row r="189" hidden="1" outlineLevel="2" spans="2:6">
      <c r="B189" s="48" t="s">
        <v>396</v>
      </c>
      <c r="C189" s="54" t="s">
        <v>343</v>
      </c>
      <c r="D189" s="56" t="e">
        <f>SUM(#REF!)</f>
        <v>#REF!</v>
      </c>
      <c r="E189" s="56" t="e">
        <f>SUM(#REF!)</f>
        <v>#REF!</v>
      </c>
      <c r="F189" s="47"/>
    </row>
    <row r="190" hidden="1" outlineLevel="2" spans="2:6">
      <c r="B190" s="48" t="s">
        <v>397</v>
      </c>
      <c r="C190" s="54" t="s">
        <v>386</v>
      </c>
      <c r="D190" s="56" t="e">
        <f>SUM(#REF!)</f>
        <v>#REF!</v>
      </c>
      <c r="E190" s="56" t="e">
        <f>SUM(#REF!)</f>
        <v>#REF!</v>
      </c>
      <c r="F190" s="47"/>
    </row>
    <row r="191" hidden="1" outlineLevel="2" spans="2:6">
      <c r="B191" s="48" t="s">
        <v>398</v>
      </c>
      <c r="C191" s="54" t="s">
        <v>399</v>
      </c>
      <c r="D191" s="56" t="e">
        <f>SUM(#REF!)</f>
        <v>#REF!</v>
      </c>
      <c r="E191" s="56" t="e">
        <f>SUM(#REF!)</f>
        <v>#REF!</v>
      </c>
      <c r="F191" s="47"/>
    </row>
    <row r="192" hidden="1" outlineLevel="2" spans="2:6">
      <c r="B192" s="48" t="s">
        <v>400</v>
      </c>
      <c r="C192" s="54" t="s">
        <v>401</v>
      </c>
      <c r="D192" s="56" t="e">
        <f>SUM(#REF!)</f>
        <v>#REF!</v>
      </c>
      <c r="E192" s="56" t="e">
        <f>SUM(#REF!)</f>
        <v>#REF!</v>
      </c>
      <c r="F192" s="47"/>
    </row>
    <row r="193" hidden="1" outlineLevel="2" spans="2:6">
      <c r="B193" s="48" t="s">
        <v>402</v>
      </c>
      <c r="C193" s="54" t="s">
        <v>403</v>
      </c>
      <c r="D193" s="56" t="e">
        <f>SUM(#REF!)</f>
        <v>#REF!</v>
      </c>
      <c r="E193" s="56" t="e">
        <f>SUM(#REF!)</f>
        <v>#REF!</v>
      </c>
      <c r="F193" s="47"/>
    </row>
    <row r="194" hidden="1" outlineLevel="2" spans="2:6">
      <c r="B194" s="48" t="s">
        <v>404</v>
      </c>
      <c r="C194" s="54" t="s">
        <v>405</v>
      </c>
      <c r="D194" s="56" t="e">
        <f>SUM(#REF!)</f>
        <v>#REF!</v>
      </c>
      <c r="E194" s="56" t="e">
        <f>SUM(#REF!)</f>
        <v>#REF!</v>
      </c>
      <c r="F194" s="47"/>
    </row>
    <row r="195" hidden="1" outlineLevel="2" spans="2:6">
      <c r="B195" s="48" t="s">
        <v>406</v>
      </c>
      <c r="C195" s="54" t="s">
        <v>407</v>
      </c>
      <c r="D195" s="56" t="e">
        <f>SUM(#REF!)</f>
        <v>#REF!</v>
      </c>
      <c r="E195" s="56" t="e">
        <f>SUM(#REF!)</f>
        <v>#REF!</v>
      </c>
      <c r="F195" s="47"/>
    </row>
    <row r="196" hidden="1" outlineLevel="2" spans="2:6">
      <c r="B196" s="48" t="s">
        <v>408</v>
      </c>
      <c r="C196" s="54" t="s">
        <v>378</v>
      </c>
      <c r="D196" s="56" t="e">
        <f>SUM(#REF!)</f>
        <v>#REF!</v>
      </c>
      <c r="E196" s="56" t="e">
        <f>SUM(#REF!)</f>
        <v>#REF!</v>
      </c>
      <c r="F196" s="47"/>
    </row>
    <row r="197" hidden="1" outlineLevel="2" spans="2:6">
      <c r="B197" s="48" t="s">
        <v>409</v>
      </c>
      <c r="C197" s="54" t="s">
        <v>410</v>
      </c>
      <c r="D197" s="56" t="e">
        <f>SUM(#REF!)</f>
        <v>#REF!</v>
      </c>
      <c r="E197" s="56" t="e">
        <f>SUM(#REF!)</f>
        <v>#REF!</v>
      </c>
      <c r="F197" s="47"/>
    </row>
    <row r="198" hidden="1" outlineLevel="1" collapsed="1" spans="2:6">
      <c r="B198" s="53">
        <v>3.11</v>
      </c>
      <c r="C198" s="54" t="s">
        <v>411</v>
      </c>
      <c r="D198" s="55" t="e">
        <f>SUM(#REF!)</f>
        <v>#REF!</v>
      </c>
      <c r="E198" s="55" t="e">
        <f>SUM(#REF!)</f>
        <v>#REF!</v>
      </c>
      <c r="F198" s="47"/>
    </row>
    <row r="199" hidden="1" outlineLevel="2" spans="2:6">
      <c r="B199" s="48" t="s">
        <v>412</v>
      </c>
      <c r="C199" s="54" t="s">
        <v>413</v>
      </c>
      <c r="D199" s="56" t="e">
        <f>SUM(#REF!)</f>
        <v>#REF!</v>
      </c>
      <c r="E199" s="56" t="e">
        <f>SUM(#REF!)</f>
        <v>#REF!</v>
      </c>
      <c r="F199" s="47"/>
    </row>
    <row r="200" hidden="1" outlineLevel="2" spans="2:6">
      <c r="B200" s="48" t="s">
        <v>414</v>
      </c>
      <c r="C200" s="54" t="s">
        <v>415</v>
      </c>
      <c r="D200" s="56" t="e">
        <f>SUM(#REF!)</f>
        <v>#REF!</v>
      </c>
      <c r="E200" s="56" t="e">
        <f>SUM(#REF!)</f>
        <v>#REF!</v>
      </c>
      <c r="F200" s="47"/>
    </row>
    <row r="201" hidden="1" outlineLevel="2" spans="2:6">
      <c r="B201" s="48" t="s">
        <v>416</v>
      </c>
      <c r="C201" s="54" t="s">
        <v>417</v>
      </c>
      <c r="D201" s="56" t="e">
        <f>SUM(#REF!)</f>
        <v>#REF!</v>
      </c>
      <c r="E201" s="56" t="e">
        <f>SUM(#REF!)</f>
        <v>#REF!</v>
      </c>
      <c r="F201" s="47"/>
    </row>
    <row r="202" hidden="1" outlineLevel="2" spans="2:6">
      <c r="B202" s="48" t="s">
        <v>418</v>
      </c>
      <c r="C202" s="54" t="s">
        <v>419</v>
      </c>
      <c r="D202" s="56" t="e">
        <f>SUM(#REF!)</f>
        <v>#REF!</v>
      </c>
      <c r="E202" s="56" t="e">
        <f>SUM(#REF!)</f>
        <v>#REF!</v>
      </c>
      <c r="F202" s="47"/>
    </row>
    <row r="203" hidden="1" outlineLevel="2" spans="2:6">
      <c r="B203" s="48" t="s">
        <v>420</v>
      </c>
      <c r="C203" s="54" t="s">
        <v>421</v>
      </c>
      <c r="D203" s="56" t="e">
        <f>SUM(#REF!)</f>
        <v>#REF!</v>
      </c>
      <c r="E203" s="56" t="e">
        <f>SUM(#REF!)</f>
        <v>#REF!</v>
      </c>
      <c r="F203" s="47"/>
    </row>
    <row r="204" hidden="1" outlineLevel="2" spans="2:6">
      <c r="B204" s="48" t="s">
        <v>422</v>
      </c>
      <c r="C204" s="54" t="s">
        <v>423</v>
      </c>
      <c r="D204" s="56" t="e">
        <f>SUM(#REF!)</f>
        <v>#REF!</v>
      </c>
      <c r="E204" s="56" t="e">
        <f>SUM(#REF!)</f>
        <v>#REF!</v>
      </c>
      <c r="F204" s="47"/>
    </row>
    <row r="205" hidden="1" outlineLevel="2" spans="2:6">
      <c r="B205" s="48" t="s">
        <v>424</v>
      </c>
      <c r="C205" s="54" t="s">
        <v>425</v>
      </c>
      <c r="D205" s="56" t="e">
        <f>SUM(#REF!)</f>
        <v>#REF!</v>
      </c>
      <c r="E205" s="56" t="e">
        <f>SUM(#REF!)</f>
        <v>#REF!</v>
      </c>
      <c r="F205" s="47"/>
    </row>
    <row r="206" hidden="1" outlineLevel="2" spans="2:6">
      <c r="B206" s="48" t="s">
        <v>426</v>
      </c>
      <c r="C206" s="54" t="s">
        <v>427</v>
      </c>
      <c r="D206" s="56" t="e">
        <f>SUM(#REF!)</f>
        <v>#REF!</v>
      </c>
      <c r="E206" s="56" t="e">
        <f>SUM(#REF!)</f>
        <v>#REF!</v>
      </c>
      <c r="F206" s="47"/>
    </row>
    <row r="207" hidden="1" outlineLevel="2" spans="2:6">
      <c r="B207" s="48" t="s">
        <v>428</v>
      </c>
      <c r="C207" s="54" t="s">
        <v>429</v>
      </c>
      <c r="D207" s="56" t="e">
        <f>SUM(#REF!)</f>
        <v>#REF!</v>
      </c>
      <c r="E207" s="56" t="e">
        <f>SUM(#REF!)</f>
        <v>#REF!</v>
      </c>
      <c r="F207" s="47"/>
    </row>
    <row r="208" hidden="1" outlineLevel="2" spans="2:6">
      <c r="B208" s="48" t="s">
        <v>430</v>
      </c>
      <c r="C208" s="54" t="s">
        <v>431</v>
      </c>
      <c r="D208" s="56" t="e">
        <f>SUM(#REF!)</f>
        <v>#REF!</v>
      </c>
      <c r="E208" s="56" t="e">
        <f>SUM(#REF!)</f>
        <v>#REF!</v>
      </c>
      <c r="F208" s="47"/>
    </row>
    <row r="209" hidden="1" outlineLevel="2" spans="2:6">
      <c r="B209" s="48" t="s">
        <v>432</v>
      </c>
      <c r="C209" s="54" t="s">
        <v>433</v>
      </c>
      <c r="D209" s="56" t="e">
        <f>SUM(#REF!)</f>
        <v>#REF!</v>
      </c>
      <c r="E209" s="56" t="e">
        <f>SUM(#REF!)</f>
        <v>#REF!</v>
      </c>
      <c r="F209" s="47"/>
    </row>
    <row r="210" hidden="1" outlineLevel="2" spans="2:6">
      <c r="B210" s="48" t="s">
        <v>434</v>
      </c>
      <c r="C210" s="54" t="s">
        <v>435</v>
      </c>
      <c r="D210" s="56" t="e">
        <f>SUM(#REF!)</f>
        <v>#REF!</v>
      </c>
      <c r="E210" s="56" t="e">
        <f>SUM(#REF!)</f>
        <v>#REF!</v>
      </c>
      <c r="F210" s="47"/>
    </row>
    <row r="211" hidden="1" outlineLevel="2" spans="2:6">
      <c r="B211" s="48" t="s">
        <v>436</v>
      </c>
      <c r="C211" s="54" t="s">
        <v>437</v>
      </c>
      <c r="D211" s="56" t="e">
        <f>SUM(#REF!)</f>
        <v>#REF!</v>
      </c>
      <c r="E211" s="56" t="e">
        <f>SUM(#REF!)</f>
        <v>#REF!</v>
      </c>
      <c r="F211" s="47"/>
    </row>
    <row r="212" hidden="1" outlineLevel="2" spans="2:6">
      <c r="B212" s="48" t="s">
        <v>438</v>
      </c>
      <c r="C212" s="54" t="s">
        <v>439</v>
      </c>
      <c r="D212" s="56" t="e">
        <f>SUM(#REF!)</f>
        <v>#REF!</v>
      </c>
      <c r="E212" s="56" t="e">
        <f>SUM(#REF!)</f>
        <v>#REF!</v>
      </c>
      <c r="F212" s="47"/>
    </row>
    <row r="213" hidden="1" outlineLevel="2" spans="2:6">
      <c r="B213" s="48" t="s">
        <v>440</v>
      </c>
      <c r="C213" s="54" t="s">
        <v>441</v>
      </c>
      <c r="D213" s="56" t="e">
        <f>SUM(#REF!)</f>
        <v>#REF!</v>
      </c>
      <c r="E213" s="56" t="e">
        <f>SUM(#REF!)</f>
        <v>#REF!</v>
      </c>
      <c r="F213" s="47"/>
    </row>
    <row r="214" hidden="1" outlineLevel="2" spans="2:6">
      <c r="B214" s="48" t="s">
        <v>442</v>
      </c>
      <c r="C214" s="54" t="s">
        <v>443</v>
      </c>
      <c r="D214" s="56" t="e">
        <f>SUM(#REF!)</f>
        <v>#REF!</v>
      </c>
      <c r="E214" s="56" t="e">
        <f>SUM(#REF!)</f>
        <v>#REF!</v>
      </c>
      <c r="F214" s="47"/>
    </row>
    <row r="215" hidden="1" outlineLevel="2" spans="2:6">
      <c r="B215" s="48" t="s">
        <v>444</v>
      </c>
      <c r="C215" s="54" t="s">
        <v>445</v>
      </c>
      <c r="D215" s="56" t="e">
        <f>SUM(#REF!)</f>
        <v>#REF!</v>
      </c>
      <c r="E215" s="56" t="e">
        <f>SUM(#REF!)</f>
        <v>#REF!</v>
      </c>
      <c r="F215" s="47"/>
    </row>
    <row r="216" hidden="1" outlineLevel="2" spans="2:6">
      <c r="B216" s="48" t="s">
        <v>446</v>
      </c>
      <c r="C216" s="54" t="s">
        <v>447</v>
      </c>
      <c r="D216" s="56" t="e">
        <f>SUM(#REF!)</f>
        <v>#REF!</v>
      </c>
      <c r="E216" s="56" t="e">
        <f>SUM(#REF!)</f>
        <v>#REF!</v>
      </c>
      <c r="F216" s="47"/>
    </row>
    <row r="217" hidden="1" outlineLevel="2" spans="2:6">
      <c r="B217" s="48" t="s">
        <v>448</v>
      </c>
      <c r="C217" s="54" t="s">
        <v>449</v>
      </c>
      <c r="D217" s="56" t="e">
        <f>SUM(#REF!)</f>
        <v>#REF!</v>
      </c>
      <c r="E217" s="56" t="e">
        <f>SUM(#REF!)</f>
        <v>#REF!</v>
      </c>
      <c r="F217" s="47"/>
    </row>
    <row r="218" hidden="1" outlineLevel="2" spans="2:6">
      <c r="B218" s="48" t="s">
        <v>450</v>
      </c>
      <c r="C218" s="54" t="s">
        <v>451</v>
      </c>
      <c r="D218" s="56" t="e">
        <f>SUM(#REF!)</f>
        <v>#REF!</v>
      </c>
      <c r="E218" s="56" t="e">
        <f>SUM(#REF!)</f>
        <v>#REF!</v>
      </c>
      <c r="F218" s="47"/>
    </row>
    <row r="219" hidden="1" outlineLevel="2" spans="2:6">
      <c r="B219" s="48" t="s">
        <v>452</v>
      </c>
      <c r="C219" s="54" t="s">
        <v>453</v>
      </c>
      <c r="D219" s="56" t="e">
        <f>SUM(#REF!)</f>
        <v>#REF!</v>
      </c>
      <c r="E219" s="56" t="e">
        <f>SUM(#REF!)</f>
        <v>#REF!</v>
      </c>
      <c r="F219" s="47"/>
    </row>
    <row r="220" hidden="1" outlineLevel="2" spans="2:6">
      <c r="B220" s="48" t="s">
        <v>454</v>
      </c>
      <c r="C220" s="54" t="s">
        <v>455</v>
      </c>
      <c r="D220" s="56" t="e">
        <f>SUM(#REF!)</f>
        <v>#REF!</v>
      </c>
      <c r="E220" s="56" t="e">
        <f>SUM(#REF!)</f>
        <v>#REF!</v>
      </c>
      <c r="F220" s="47"/>
    </row>
    <row r="221" hidden="1" outlineLevel="2" spans="2:6">
      <c r="B221" s="48" t="s">
        <v>456</v>
      </c>
      <c r="C221" s="54" t="s">
        <v>457</v>
      </c>
      <c r="D221" s="56" t="e">
        <f>SUM(#REF!)</f>
        <v>#REF!</v>
      </c>
      <c r="E221" s="56" t="e">
        <f>SUM(#REF!)</f>
        <v>#REF!</v>
      </c>
      <c r="F221" s="47"/>
    </row>
    <row r="222" hidden="1" outlineLevel="2" spans="2:6">
      <c r="B222" s="48" t="s">
        <v>458</v>
      </c>
      <c r="C222" s="54" t="s">
        <v>459</v>
      </c>
      <c r="D222" s="56" t="e">
        <f>SUM(#REF!)</f>
        <v>#REF!</v>
      </c>
      <c r="E222" s="56" t="e">
        <f>SUM(#REF!)</f>
        <v>#REF!</v>
      </c>
      <c r="F222" s="47"/>
    </row>
    <row r="223" hidden="1" outlineLevel="2" spans="2:6">
      <c r="B223" s="48" t="s">
        <v>460</v>
      </c>
      <c r="C223" s="54" t="s">
        <v>461</v>
      </c>
      <c r="D223" s="56" t="e">
        <f>SUM(#REF!)</f>
        <v>#REF!</v>
      </c>
      <c r="E223" s="56" t="e">
        <f>SUM(#REF!)</f>
        <v>#REF!</v>
      </c>
      <c r="F223" s="47"/>
    </row>
    <row r="224" hidden="1" outlineLevel="2" spans="2:6">
      <c r="B224" s="48" t="s">
        <v>462</v>
      </c>
      <c r="C224" s="54" t="s">
        <v>463</v>
      </c>
      <c r="D224" s="56" t="e">
        <f>SUM(#REF!)</f>
        <v>#REF!</v>
      </c>
      <c r="E224" s="56" t="e">
        <f>SUM(#REF!)</f>
        <v>#REF!</v>
      </c>
      <c r="F224" s="47"/>
    </row>
    <row r="225" hidden="1" outlineLevel="2" spans="2:6">
      <c r="B225" s="48" t="s">
        <v>464</v>
      </c>
      <c r="C225" s="54" t="s">
        <v>465</v>
      </c>
      <c r="D225" s="56" t="e">
        <f>SUM(#REF!)</f>
        <v>#REF!</v>
      </c>
      <c r="E225" s="56" t="e">
        <f>SUM(#REF!)</f>
        <v>#REF!</v>
      </c>
      <c r="F225" s="47"/>
    </row>
    <row r="226" hidden="1" outlineLevel="2" spans="2:6">
      <c r="B226" s="48" t="s">
        <v>466</v>
      </c>
      <c r="C226" s="54" t="s">
        <v>467</v>
      </c>
      <c r="D226" s="56" t="e">
        <f>SUM(#REF!)</f>
        <v>#REF!</v>
      </c>
      <c r="E226" s="56" t="e">
        <f>SUM(#REF!)</f>
        <v>#REF!</v>
      </c>
      <c r="F226" s="47"/>
    </row>
    <row r="227" hidden="1" outlineLevel="2" spans="2:6">
      <c r="B227" s="48" t="s">
        <v>468</v>
      </c>
      <c r="C227" s="54" t="s">
        <v>469</v>
      </c>
      <c r="D227" s="56" t="e">
        <f>SUM(#REF!)</f>
        <v>#REF!</v>
      </c>
      <c r="E227" s="56" t="e">
        <f>SUM(#REF!)</f>
        <v>#REF!</v>
      </c>
      <c r="F227" s="47"/>
    </row>
    <row r="228" hidden="1" outlineLevel="2" spans="2:6">
      <c r="B228" s="48" t="s">
        <v>470</v>
      </c>
      <c r="C228" s="54" t="s">
        <v>471</v>
      </c>
      <c r="D228" s="56" t="e">
        <f>SUM(#REF!)</f>
        <v>#REF!</v>
      </c>
      <c r="E228" s="56" t="e">
        <f>SUM(#REF!)</f>
        <v>#REF!</v>
      </c>
      <c r="F228" s="47"/>
    </row>
    <row r="229" hidden="1" outlineLevel="2" spans="2:6">
      <c r="B229" s="48" t="s">
        <v>472</v>
      </c>
      <c r="C229" s="54" t="s">
        <v>473</v>
      </c>
      <c r="D229" s="56" t="e">
        <f>SUM(#REF!)</f>
        <v>#REF!</v>
      </c>
      <c r="E229" s="56" t="e">
        <f>SUM(#REF!)</f>
        <v>#REF!</v>
      </c>
      <c r="F229" s="47"/>
    </row>
    <row r="230" hidden="1" outlineLevel="2" spans="2:6">
      <c r="B230" s="48" t="s">
        <v>474</v>
      </c>
      <c r="C230" s="54" t="s">
        <v>475</v>
      </c>
      <c r="D230" s="56" t="e">
        <f>SUM(#REF!)</f>
        <v>#REF!</v>
      </c>
      <c r="E230" s="56" t="e">
        <f>SUM(#REF!)</f>
        <v>#REF!</v>
      </c>
      <c r="F230" s="47"/>
    </row>
    <row r="231" hidden="1" outlineLevel="1" collapsed="1" spans="2:6">
      <c r="B231" s="53">
        <v>3.12</v>
      </c>
      <c r="C231" s="54" t="s">
        <v>476</v>
      </c>
      <c r="D231" s="55" t="e">
        <f>SUM(#REF!)</f>
        <v>#REF!</v>
      </c>
      <c r="E231" s="55" t="e">
        <f>SUM(#REF!)</f>
        <v>#REF!</v>
      </c>
      <c r="F231" s="47"/>
    </row>
    <row r="232" hidden="1" outlineLevel="2" spans="2:6">
      <c r="B232" s="48" t="s">
        <v>477</v>
      </c>
      <c r="C232" s="54" t="s">
        <v>478</v>
      </c>
      <c r="D232" s="56" t="e">
        <f>SUM(#REF!)</f>
        <v>#REF!</v>
      </c>
      <c r="E232" s="56" t="e">
        <f>SUM(#REF!)</f>
        <v>#REF!</v>
      </c>
      <c r="F232" s="47"/>
    </row>
    <row r="233" hidden="1" outlineLevel="2" spans="2:6">
      <c r="B233" s="48" t="s">
        <v>479</v>
      </c>
      <c r="C233" s="54" t="s">
        <v>480</v>
      </c>
      <c r="D233" s="56" t="e">
        <f>SUM(#REF!)</f>
        <v>#REF!</v>
      </c>
      <c r="E233" s="56" t="e">
        <f>SUM(#REF!)</f>
        <v>#REF!</v>
      </c>
      <c r="F233" s="47"/>
    </row>
    <row r="234" hidden="1" outlineLevel="2" spans="2:6">
      <c r="B234" s="48" t="s">
        <v>481</v>
      </c>
      <c r="C234" s="54" t="s">
        <v>482</v>
      </c>
      <c r="D234" s="56" t="e">
        <f>SUM(#REF!)</f>
        <v>#REF!</v>
      </c>
      <c r="E234" s="56" t="e">
        <f>SUM(#REF!)</f>
        <v>#REF!</v>
      </c>
      <c r="F234" s="47"/>
    </row>
    <row r="235" hidden="1" outlineLevel="2" spans="2:6">
      <c r="B235" s="48" t="s">
        <v>483</v>
      </c>
      <c r="C235" s="54" t="s">
        <v>484</v>
      </c>
      <c r="D235" s="56" t="e">
        <f>SUM(#REF!)</f>
        <v>#REF!</v>
      </c>
      <c r="E235" s="56" t="e">
        <f>SUM(#REF!)</f>
        <v>#REF!</v>
      </c>
      <c r="F235" s="47"/>
    </row>
    <row r="236" hidden="1" outlineLevel="2" spans="2:6">
      <c r="B236" s="48" t="s">
        <v>485</v>
      </c>
      <c r="C236" s="54" t="s">
        <v>486</v>
      </c>
      <c r="D236" s="56" t="e">
        <f>SUM(#REF!)</f>
        <v>#REF!</v>
      </c>
      <c r="E236" s="56" t="e">
        <f>SUM(#REF!)</f>
        <v>#REF!</v>
      </c>
      <c r="F236" s="47"/>
    </row>
    <row r="237" hidden="1" outlineLevel="2" spans="2:6">
      <c r="B237" s="48" t="s">
        <v>487</v>
      </c>
      <c r="C237" s="54" t="s">
        <v>488</v>
      </c>
      <c r="D237" s="56" t="e">
        <f>SUM(#REF!)</f>
        <v>#REF!</v>
      </c>
      <c r="E237" s="56" t="e">
        <f>SUM(#REF!)</f>
        <v>#REF!</v>
      </c>
      <c r="F237" s="47"/>
    </row>
    <row r="238" hidden="1" outlineLevel="2" spans="2:6">
      <c r="B238" s="48" t="s">
        <v>489</v>
      </c>
      <c r="C238" s="54" t="s">
        <v>490</v>
      </c>
      <c r="D238" s="56" t="e">
        <f>SUM(#REF!)</f>
        <v>#REF!</v>
      </c>
      <c r="E238" s="56" t="e">
        <f>SUM(#REF!)</f>
        <v>#REF!</v>
      </c>
      <c r="F238" s="47"/>
    </row>
    <row r="239" hidden="1" outlineLevel="2" spans="2:6">
      <c r="B239" s="48" t="s">
        <v>491</v>
      </c>
      <c r="C239" s="54" t="s">
        <v>492</v>
      </c>
      <c r="D239" s="56" t="e">
        <f>SUM(#REF!)</f>
        <v>#REF!</v>
      </c>
      <c r="E239" s="56" t="e">
        <f>SUM(#REF!)</f>
        <v>#REF!</v>
      </c>
      <c r="F239" s="47"/>
    </row>
    <row r="240" hidden="1" outlineLevel="2" spans="2:6">
      <c r="B240" s="48" t="s">
        <v>493</v>
      </c>
      <c r="C240" s="54" t="s">
        <v>494</v>
      </c>
      <c r="D240" s="56" t="e">
        <f>SUM(#REF!)</f>
        <v>#REF!</v>
      </c>
      <c r="E240" s="56" t="e">
        <f>SUM(#REF!)</f>
        <v>#REF!</v>
      </c>
      <c r="F240" s="47"/>
    </row>
    <row r="241" hidden="1" outlineLevel="2" spans="2:6">
      <c r="B241" s="48" t="s">
        <v>495</v>
      </c>
      <c r="C241" s="54" t="s">
        <v>496</v>
      </c>
      <c r="D241" s="56" t="e">
        <f>SUM(#REF!)</f>
        <v>#REF!</v>
      </c>
      <c r="E241" s="56" t="e">
        <f>SUM(#REF!)</f>
        <v>#REF!</v>
      </c>
      <c r="F241" s="47"/>
    </row>
    <row r="242" hidden="1" outlineLevel="2" spans="2:6">
      <c r="B242" s="48" t="s">
        <v>497</v>
      </c>
      <c r="C242" s="54" t="s">
        <v>498</v>
      </c>
      <c r="D242" s="56" t="e">
        <f>SUM(#REF!)</f>
        <v>#REF!</v>
      </c>
      <c r="E242" s="56" t="e">
        <f>SUM(#REF!)</f>
        <v>#REF!</v>
      </c>
      <c r="F242" s="47"/>
    </row>
    <row r="243" hidden="1" outlineLevel="2" spans="2:6">
      <c r="B243" s="48" t="s">
        <v>499</v>
      </c>
      <c r="C243" s="54" t="s">
        <v>500</v>
      </c>
      <c r="D243" s="56" t="e">
        <f>SUM(#REF!)</f>
        <v>#REF!</v>
      </c>
      <c r="E243" s="56" t="e">
        <f>SUM(#REF!)</f>
        <v>#REF!</v>
      </c>
      <c r="F243" s="47"/>
    </row>
    <row r="244" hidden="1" outlineLevel="2" spans="2:6">
      <c r="B244" s="48" t="s">
        <v>501</v>
      </c>
      <c r="C244" s="54" t="s">
        <v>502</v>
      </c>
      <c r="D244" s="56" t="e">
        <f>SUM(#REF!)</f>
        <v>#REF!</v>
      </c>
      <c r="E244" s="56" t="e">
        <f>SUM(#REF!)</f>
        <v>#REF!</v>
      </c>
      <c r="F244" s="47"/>
    </row>
    <row r="245" hidden="1" outlineLevel="2" spans="2:6">
      <c r="B245" s="48" t="s">
        <v>503</v>
      </c>
      <c r="C245" s="54" t="s">
        <v>504</v>
      </c>
      <c r="D245" s="56" t="e">
        <f>SUM(#REF!)</f>
        <v>#REF!</v>
      </c>
      <c r="E245" s="56" t="e">
        <f>SUM(#REF!)</f>
        <v>#REF!</v>
      </c>
      <c r="F245" s="47"/>
    </row>
    <row r="246" hidden="1" outlineLevel="2" spans="2:6">
      <c r="B246" s="48" t="s">
        <v>505</v>
      </c>
      <c r="C246" s="54" t="s">
        <v>506</v>
      </c>
      <c r="D246" s="56" t="e">
        <f>SUM(#REF!)</f>
        <v>#REF!</v>
      </c>
      <c r="E246" s="56" t="e">
        <f>SUM(#REF!)</f>
        <v>#REF!</v>
      </c>
      <c r="F246" s="47"/>
    </row>
    <row r="247" hidden="1" outlineLevel="2" spans="2:6">
      <c r="B247" s="48" t="s">
        <v>507</v>
      </c>
      <c r="C247" s="54" t="s">
        <v>508</v>
      </c>
      <c r="D247" s="56" t="e">
        <f>SUM(#REF!)</f>
        <v>#REF!</v>
      </c>
      <c r="E247" s="56" t="e">
        <f>SUM(#REF!)</f>
        <v>#REF!</v>
      </c>
      <c r="F247" s="47"/>
    </row>
    <row r="248" hidden="1" outlineLevel="2" spans="2:6">
      <c r="B248" s="48" t="s">
        <v>509</v>
      </c>
      <c r="C248" s="54" t="s">
        <v>510</v>
      </c>
      <c r="D248" s="56" t="e">
        <f>SUM(#REF!)</f>
        <v>#REF!</v>
      </c>
      <c r="E248" s="56" t="e">
        <f>SUM(#REF!)</f>
        <v>#REF!</v>
      </c>
      <c r="F248" s="47"/>
    </row>
    <row r="249" hidden="1" outlineLevel="2" spans="2:6">
      <c r="B249" s="48" t="s">
        <v>511</v>
      </c>
      <c r="C249" s="54" t="s">
        <v>512</v>
      </c>
      <c r="D249" s="56" t="e">
        <f>SUM(#REF!)</f>
        <v>#REF!</v>
      </c>
      <c r="E249" s="56" t="e">
        <f>SUM(#REF!)</f>
        <v>#REF!</v>
      </c>
      <c r="F249" s="47"/>
    </row>
    <row r="250" hidden="1" outlineLevel="2" spans="2:6">
      <c r="B250" s="48" t="s">
        <v>513</v>
      </c>
      <c r="C250" s="54" t="s">
        <v>514</v>
      </c>
      <c r="D250" s="56" t="e">
        <f>SUM(#REF!)</f>
        <v>#REF!</v>
      </c>
      <c r="E250" s="56" t="e">
        <f>SUM(#REF!)</f>
        <v>#REF!</v>
      </c>
      <c r="F250" s="47"/>
    </row>
    <row r="251" hidden="1" outlineLevel="2" spans="2:6">
      <c r="B251" s="48" t="s">
        <v>515</v>
      </c>
      <c r="C251" s="54" t="s">
        <v>516</v>
      </c>
      <c r="D251" s="56" t="e">
        <f>SUM(#REF!)</f>
        <v>#REF!</v>
      </c>
      <c r="E251" s="56" t="e">
        <f>SUM(#REF!)</f>
        <v>#REF!</v>
      </c>
      <c r="F251" s="47"/>
    </row>
    <row r="252" hidden="1" outlineLevel="2" spans="2:6">
      <c r="B252" s="48" t="s">
        <v>517</v>
      </c>
      <c r="C252" s="54" t="s">
        <v>518</v>
      </c>
      <c r="D252" s="56" t="e">
        <f>SUM(#REF!)</f>
        <v>#REF!</v>
      </c>
      <c r="E252" s="56" t="e">
        <f>SUM(#REF!)</f>
        <v>#REF!</v>
      </c>
      <c r="F252" s="47"/>
    </row>
    <row r="253" hidden="1" outlineLevel="2" spans="2:6">
      <c r="B253" s="48" t="s">
        <v>519</v>
      </c>
      <c r="C253" s="54" t="s">
        <v>520</v>
      </c>
      <c r="D253" s="56" t="e">
        <f>SUM(#REF!)</f>
        <v>#REF!</v>
      </c>
      <c r="E253" s="56" t="e">
        <f>SUM(#REF!)</f>
        <v>#REF!</v>
      </c>
      <c r="F253" s="47"/>
    </row>
    <row r="254" hidden="1" outlineLevel="2" spans="2:6">
      <c r="B254" s="48" t="s">
        <v>521</v>
      </c>
      <c r="C254" s="54" t="s">
        <v>522</v>
      </c>
      <c r="D254" s="56" t="e">
        <f>SUM(#REF!)</f>
        <v>#REF!</v>
      </c>
      <c r="E254" s="56" t="e">
        <f>SUM(#REF!)</f>
        <v>#REF!</v>
      </c>
      <c r="F254" s="47"/>
    </row>
    <row r="255" hidden="1" outlineLevel="2" spans="2:6">
      <c r="B255" s="48" t="s">
        <v>523</v>
      </c>
      <c r="C255" s="54" t="s">
        <v>524</v>
      </c>
      <c r="D255" s="56" t="e">
        <f>SUM(#REF!)</f>
        <v>#REF!</v>
      </c>
      <c r="E255" s="56" t="e">
        <f>SUM(#REF!)</f>
        <v>#REF!</v>
      </c>
      <c r="F255" s="47"/>
    </row>
    <row r="256" hidden="1" outlineLevel="2" spans="2:6">
      <c r="B256" s="48" t="s">
        <v>525</v>
      </c>
      <c r="C256" s="54" t="s">
        <v>526</v>
      </c>
      <c r="D256" s="56" t="e">
        <f>SUM(#REF!)</f>
        <v>#REF!</v>
      </c>
      <c r="E256" s="56" t="e">
        <f>SUM(#REF!)</f>
        <v>#REF!</v>
      </c>
      <c r="F256" s="47"/>
    </row>
    <row r="257" hidden="1" outlineLevel="2" spans="2:6">
      <c r="B257" s="48" t="s">
        <v>527</v>
      </c>
      <c r="C257" s="54" t="s">
        <v>528</v>
      </c>
      <c r="D257" s="56" t="e">
        <f>SUM(#REF!)</f>
        <v>#REF!</v>
      </c>
      <c r="E257" s="56" t="e">
        <f>SUM(#REF!)</f>
        <v>#REF!</v>
      </c>
      <c r="F257" s="47"/>
    </row>
    <row r="258" hidden="1" outlineLevel="2" spans="2:6">
      <c r="B258" s="48" t="s">
        <v>529</v>
      </c>
      <c r="C258" s="54" t="s">
        <v>530</v>
      </c>
      <c r="D258" s="56" t="e">
        <f>SUM(#REF!)</f>
        <v>#REF!</v>
      </c>
      <c r="E258" s="56" t="e">
        <f>SUM(#REF!)</f>
        <v>#REF!</v>
      </c>
      <c r="F258" s="47"/>
    </row>
    <row r="259" hidden="1" outlineLevel="2" spans="2:6">
      <c r="B259" s="48" t="s">
        <v>531</v>
      </c>
      <c r="C259" s="54" t="s">
        <v>532</v>
      </c>
      <c r="D259" s="56" t="e">
        <f>SUM(#REF!)</f>
        <v>#REF!</v>
      </c>
      <c r="E259" s="56" t="e">
        <f>SUM(#REF!)</f>
        <v>#REF!</v>
      </c>
      <c r="F259" s="47"/>
    </row>
    <row r="260" hidden="1" outlineLevel="2" spans="2:6">
      <c r="B260" s="48" t="s">
        <v>533</v>
      </c>
      <c r="C260" s="54" t="s">
        <v>534</v>
      </c>
      <c r="D260" s="56" t="e">
        <f>SUM(#REF!)</f>
        <v>#REF!</v>
      </c>
      <c r="E260" s="56" t="e">
        <f>SUM(#REF!)</f>
        <v>#REF!</v>
      </c>
      <c r="F260" s="47"/>
    </row>
    <row r="261" hidden="1" outlineLevel="2" spans="2:6">
      <c r="B261" s="48" t="s">
        <v>535</v>
      </c>
      <c r="C261" s="54" t="s">
        <v>536</v>
      </c>
      <c r="D261" s="56" t="e">
        <f>SUM(#REF!)</f>
        <v>#REF!</v>
      </c>
      <c r="E261" s="56" t="e">
        <f>SUM(#REF!)</f>
        <v>#REF!</v>
      </c>
      <c r="F261" s="47"/>
    </row>
    <row r="262" hidden="1" outlineLevel="2" spans="2:6">
      <c r="B262" s="48" t="s">
        <v>537</v>
      </c>
      <c r="C262" s="54" t="s">
        <v>538</v>
      </c>
      <c r="D262" s="56" t="e">
        <f>SUM(#REF!)</f>
        <v>#REF!</v>
      </c>
      <c r="E262" s="56" t="e">
        <f>SUM(#REF!)</f>
        <v>#REF!</v>
      </c>
      <c r="F262" s="47"/>
    </row>
    <row r="263" hidden="1" outlineLevel="2" spans="2:6">
      <c r="B263" s="48" t="s">
        <v>539</v>
      </c>
      <c r="C263" s="54" t="s">
        <v>540</v>
      </c>
      <c r="D263" s="56" t="e">
        <f>SUM(#REF!)</f>
        <v>#REF!</v>
      </c>
      <c r="E263" s="56" t="e">
        <f>SUM(#REF!)</f>
        <v>#REF!</v>
      </c>
      <c r="F263" s="47"/>
    </row>
    <row r="264" hidden="1" outlineLevel="2" spans="2:6">
      <c r="B264" s="48" t="s">
        <v>541</v>
      </c>
      <c r="C264" s="54" t="s">
        <v>542</v>
      </c>
      <c r="D264" s="56" t="e">
        <f>SUM(#REF!)</f>
        <v>#REF!</v>
      </c>
      <c r="E264" s="56" t="e">
        <f>SUM(#REF!)</f>
        <v>#REF!</v>
      </c>
      <c r="F264" s="47"/>
    </row>
    <row r="265" hidden="1" outlineLevel="2" spans="2:6">
      <c r="B265" s="48" t="s">
        <v>543</v>
      </c>
      <c r="C265" s="54" t="s">
        <v>544</v>
      </c>
      <c r="D265" s="56" t="e">
        <f>SUM(#REF!)</f>
        <v>#REF!</v>
      </c>
      <c r="E265" s="56" t="e">
        <f>SUM(#REF!)</f>
        <v>#REF!</v>
      </c>
      <c r="F265" s="47"/>
    </row>
    <row r="266" hidden="1" outlineLevel="2" spans="2:6">
      <c r="B266" s="48" t="s">
        <v>545</v>
      </c>
      <c r="C266" s="54" t="s">
        <v>546</v>
      </c>
      <c r="D266" s="56" t="e">
        <f>SUM(#REF!)</f>
        <v>#REF!</v>
      </c>
      <c r="E266" s="56" t="e">
        <f>SUM(#REF!)</f>
        <v>#REF!</v>
      </c>
      <c r="F266" s="47"/>
    </row>
    <row r="267" hidden="1" outlineLevel="2" spans="2:6">
      <c r="B267" s="48" t="s">
        <v>547</v>
      </c>
      <c r="C267" s="54" t="s">
        <v>548</v>
      </c>
      <c r="D267" s="56" t="e">
        <f>SUM(#REF!)</f>
        <v>#REF!</v>
      </c>
      <c r="E267" s="56" t="e">
        <f>SUM(#REF!)</f>
        <v>#REF!</v>
      </c>
      <c r="F267" s="47"/>
    </row>
    <row r="268" hidden="1" outlineLevel="2" spans="2:6">
      <c r="B268" s="48" t="s">
        <v>549</v>
      </c>
      <c r="C268" s="54" t="s">
        <v>550</v>
      </c>
      <c r="D268" s="56" t="e">
        <f>SUM(#REF!)</f>
        <v>#REF!</v>
      </c>
      <c r="E268" s="56" t="e">
        <f>SUM(#REF!)</f>
        <v>#REF!</v>
      </c>
      <c r="F268" s="47"/>
    </row>
    <row r="269" hidden="1" outlineLevel="2" spans="2:6">
      <c r="B269" s="48" t="s">
        <v>551</v>
      </c>
      <c r="C269" s="54" t="s">
        <v>552</v>
      </c>
      <c r="D269" s="56" t="e">
        <f>SUM(#REF!)</f>
        <v>#REF!</v>
      </c>
      <c r="E269" s="56" t="e">
        <f>SUM(#REF!)</f>
        <v>#REF!</v>
      </c>
      <c r="F269" s="47"/>
    </row>
    <row r="270" hidden="1" outlineLevel="2" spans="2:6">
      <c r="B270" s="48" t="s">
        <v>553</v>
      </c>
      <c r="C270" s="54" t="s">
        <v>554</v>
      </c>
      <c r="D270" s="56" t="e">
        <f>SUM(#REF!)</f>
        <v>#REF!</v>
      </c>
      <c r="E270" s="56" t="e">
        <f>SUM(#REF!)</f>
        <v>#REF!</v>
      </c>
      <c r="F270" s="47"/>
    </row>
    <row r="271" hidden="1" outlineLevel="2" spans="2:6">
      <c r="B271" s="48" t="s">
        <v>555</v>
      </c>
      <c r="C271" s="54" t="s">
        <v>556</v>
      </c>
      <c r="D271" s="56" t="e">
        <f>SUM(#REF!)</f>
        <v>#REF!</v>
      </c>
      <c r="E271" s="56" t="e">
        <f>SUM(#REF!)</f>
        <v>#REF!</v>
      </c>
      <c r="F271" s="47"/>
    </row>
    <row r="272" hidden="1" outlineLevel="2" spans="2:6">
      <c r="B272" s="48" t="s">
        <v>557</v>
      </c>
      <c r="C272" s="54" t="s">
        <v>558</v>
      </c>
      <c r="D272" s="56" t="e">
        <f>SUM(#REF!)</f>
        <v>#REF!</v>
      </c>
      <c r="E272" s="56" t="e">
        <f>SUM(#REF!)</f>
        <v>#REF!</v>
      </c>
      <c r="F272" s="47"/>
    </row>
    <row r="273" hidden="1" outlineLevel="2" spans="2:6">
      <c r="B273" s="48" t="s">
        <v>559</v>
      </c>
      <c r="C273" s="54" t="s">
        <v>560</v>
      </c>
      <c r="D273" s="56" t="e">
        <f>SUM(#REF!)</f>
        <v>#REF!</v>
      </c>
      <c r="E273" s="56" t="e">
        <f>SUM(#REF!)</f>
        <v>#REF!</v>
      </c>
      <c r="F273" s="47"/>
    </row>
    <row r="274" hidden="1" outlineLevel="2" spans="2:6">
      <c r="B274" s="48" t="s">
        <v>561</v>
      </c>
      <c r="C274" s="54" t="s">
        <v>562</v>
      </c>
      <c r="D274" s="56" t="e">
        <f>SUM(#REF!)</f>
        <v>#REF!</v>
      </c>
      <c r="E274" s="56" t="e">
        <f>SUM(#REF!)</f>
        <v>#REF!</v>
      </c>
      <c r="F274" s="47"/>
    </row>
    <row r="275" hidden="1" outlineLevel="2" spans="2:6">
      <c r="B275" s="48" t="s">
        <v>563</v>
      </c>
      <c r="C275" s="54" t="s">
        <v>143</v>
      </c>
      <c r="D275" s="56" t="e">
        <f>SUM(#REF!)</f>
        <v>#REF!</v>
      </c>
      <c r="E275" s="56" t="e">
        <f>SUM(#REF!)</f>
        <v>#REF!</v>
      </c>
      <c r="F275" s="47"/>
    </row>
    <row r="276" hidden="1" outlineLevel="2" spans="2:6">
      <c r="B276" s="48" t="s">
        <v>564</v>
      </c>
      <c r="C276" s="54" t="s">
        <v>565</v>
      </c>
      <c r="D276" s="56" t="e">
        <f>SUM(#REF!)</f>
        <v>#REF!</v>
      </c>
      <c r="E276" s="56" t="e">
        <f>SUM(#REF!)</f>
        <v>#REF!</v>
      </c>
      <c r="F276" s="47"/>
    </row>
    <row r="277" hidden="1" outlineLevel="2" spans="2:6">
      <c r="B277" s="48" t="s">
        <v>566</v>
      </c>
      <c r="C277" s="54" t="s">
        <v>567</v>
      </c>
      <c r="D277" s="56" t="e">
        <f>SUM(#REF!)</f>
        <v>#REF!</v>
      </c>
      <c r="E277" s="56" t="e">
        <f>SUM(#REF!)</f>
        <v>#REF!</v>
      </c>
      <c r="F277" s="47"/>
    </row>
    <row r="278" hidden="1" outlineLevel="2" spans="2:6">
      <c r="B278" s="48" t="s">
        <v>568</v>
      </c>
      <c r="C278" s="54" t="s">
        <v>569</v>
      </c>
      <c r="D278" s="56" t="e">
        <f>SUM(#REF!)</f>
        <v>#REF!</v>
      </c>
      <c r="E278" s="56" t="e">
        <f>SUM(#REF!)</f>
        <v>#REF!</v>
      </c>
      <c r="F278" s="47"/>
    </row>
    <row r="279" hidden="1" outlineLevel="2" spans="2:6">
      <c r="B279" s="48" t="s">
        <v>570</v>
      </c>
      <c r="C279" s="54" t="s">
        <v>571</v>
      </c>
      <c r="D279" s="56" t="e">
        <f>SUM(#REF!)</f>
        <v>#REF!</v>
      </c>
      <c r="E279" s="56" t="e">
        <f>SUM(#REF!)</f>
        <v>#REF!</v>
      </c>
      <c r="F279" s="47"/>
    </row>
    <row r="280" hidden="1" outlineLevel="2" spans="2:6">
      <c r="B280" s="48" t="s">
        <v>572</v>
      </c>
      <c r="C280" s="54" t="s">
        <v>244</v>
      </c>
      <c r="D280" s="56" t="e">
        <f>SUM(#REF!)</f>
        <v>#REF!</v>
      </c>
      <c r="E280" s="56" t="e">
        <f>SUM(#REF!)</f>
        <v>#REF!</v>
      </c>
      <c r="F280" s="47"/>
    </row>
    <row r="281" hidden="1" outlineLevel="1" collapsed="1" spans="2:6">
      <c r="B281" s="53">
        <v>3.13</v>
      </c>
      <c r="C281" s="54" t="s">
        <v>573</v>
      </c>
      <c r="D281" s="55" t="e">
        <f>SUM(#REF!)</f>
        <v>#REF!</v>
      </c>
      <c r="E281" s="55" t="e">
        <f>SUM(#REF!)</f>
        <v>#REF!</v>
      </c>
      <c r="F281" s="47"/>
    </row>
    <row r="282" hidden="1" outlineLevel="2" spans="2:6">
      <c r="B282" s="48" t="s">
        <v>574</v>
      </c>
      <c r="C282" s="54" t="s">
        <v>575</v>
      </c>
      <c r="D282" s="56" t="e">
        <f>SUM(#REF!)</f>
        <v>#REF!</v>
      </c>
      <c r="E282" s="56" t="e">
        <f>SUM(#REF!)</f>
        <v>#REF!</v>
      </c>
      <c r="F282" s="47"/>
    </row>
    <row r="283" hidden="1" outlineLevel="2" spans="2:6">
      <c r="B283" s="48" t="s">
        <v>576</v>
      </c>
      <c r="C283" s="54" t="s">
        <v>577</v>
      </c>
      <c r="D283" s="56" t="e">
        <f>SUM(#REF!)</f>
        <v>#REF!</v>
      </c>
      <c r="E283" s="56" t="e">
        <f>SUM(#REF!)</f>
        <v>#REF!</v>
      </c>
      <c r="F283" s="47"/>
    </row>
    <row r="284" hidden="1" outlineLevel="2" spans="2:6">
      <c r="B284" s="48" t="s">
        <v>578</v>
      </c>
      <c r="C284" s="54" t="s">
        <v>579</v>
      </c>
      <c r="D284" s="56" t="e">
        <f>SUM(#REF!)</f>
        <v>#REF!</v>
      </c>
      <c r="E284" s="56" t="e">
        <f>SUM(#REF!)</f>
        <v>#REF!</v>
      </c>
      <c r="F284" s="47"/>
    </row>
    <row r="285" hidden="1" outlineLevel="2" spans="2:6">
      <c r="B285" s="48" t="s">
        <v>580</v>
      </c>
      <c r="C285" s="54" t="s">
        <v>581</v>
      </c>
      <c r="D285" s="56" t="e">
        <f>SUM(#REF!)</f>
        <v>#REF!</v>
      </c>
      <c r="E285" s="56" t="e">
        <f>SUM(#REF!)</f>
        <v>#REF!</v>
      </c>
      <c r="F285" s="47"/>
    </row>
    <row r="286" hidden="1" outlineLevel="2" spans="2:6">
      <c r="B286" s="48" t="s">
        <v>582</v>
      </c>
      <c r="C286" s="54" t="s">
        <v>583</v>
      </c>
      <c r="D286" s="56" t="e">
        <f>SUM(#REF!)</f>
        <v>#REF!</v>
      </c>
      <c r="E286" s="56" t="e">
        <f>SUM(#REF!)</f>
        <v>#REF!</v>
      </c>
      <c r="F286" s="47"/>
    </row>
    <row r="287" hidden="1" outlineLevel="2" spans="2:6">
      <c r="B287" s="48" t="s">
        <v>584</v>
      </c>
      <c r="C287" s="54" t="s">
        <v>343</v>
      </c>
      <c r="D287" s="56" t="e">
        <f>SUM(#REF!)</f>
        <v>#REF!</v>
      </c>
      <c r="E287" s="56" t="e">
        <f>SUM(#REF!)</f>
        <v>#REF!</v>
      </c>
      <c r="F287" s="47"/>
    </row>
    <row r="288" hidden="1" outlineLevel="2" spans="2:6">
      <c r="B288" s="48" t="s">
        <v>585</v>
      </c>
      <c r="C288" s="54" t="s">
        <v>586</v>
      </c>
      <c r="D288" s="56" t="e">
        <f>SUM(#REF!)</f>
        <v>#REF!</v>
      </c>
      <c r="E288" s="56" t="e">
        <f>SUM(#REF!)</f>
        <v>#REF!</v>
      </c>
      <c r="F288" s="47"/>
    </row>
    <row r="289" hidden="1" outlineLevel="2" spans="2:6">
      <c r="B289" s="48" t="s">
        <v>587</v>
      </c>
      <c r="C289" s="54" t="s">
        <v>588</v>
      </c>
      <c r="D289" s="56" t="e">
        <f>SUM(#REF!)</f>
        <v>#REF!</v>
      </c>
      <c r="E289" s="56" t="e">
        <f>SUM(#REF!)</f>
        <v>#REF!</v>
      </c>
      <c r="F289" s="47"/>
    </row>
    <row r="290" hidden="1" outlineLevel="2" spans="2:6">
      <c r="B290" s="48" t="s">
        <v>589</v>
      </c>
      <c r="C290" s="54" t="s">
        <v>590</v>
      </c>
      <c r="D290" s="56" t="e">
        <f>SUM(#REF!)</f>
        <v>#REF!</v>
      </c>
      <c r="E290" s="56" t="e">
        <f>SUM(#REF!)</f>
        <v>#REF!</v>
      </c>
      <c r="F290" s="47"/>
    </row>
    <row r="291" hidden="1" outlineLevel="2" spans="2:6">
      <c r="B291" s="48" t="s">
        <v>591</v>
      </c>
      <c r="C291" s="54" t="s">
        <v>542</v>
      </c>
      <c r="D291" s="56" t="e">
        <f>SUM(#REF!)</f>
        <v>#REF!</v>
      </c>
      <c r="E291" s="56" t="e">
        <f>SUM(#REF!)</f>
        <v>#REF!</v>
      </c>
      <c r="F291" s="47"/>
    </row>
    <row r="292" hidden="1" outlineLevel="2" spans="2:6">
      <c r="B292" s="48" t="s">
        <v>592</v>
      </c>
      <c r="C292" s="54" t="s">
        <v>593</v>
      </c>
      <c r="D292" s="56" t="e">
        <f>SUM(#REF!)</f>
        <v>#REF!</v>
      </c>
      <c r="E292" s="56" t="e">
        <f>SUM(#REF!)</f>
        <v>#REF!</v>
      </c>
      <c r="F292" s="47"/>
    </row>
    <row r="293" hidden="1" outlineLevel="2" spans="2:6">
      <c r="B293" s="48" t="s">
        <v>594</v>
      </c>
      <c r="C293" s="54" t="s">
        <v>595</v>
      </c>
      <c r="D293" s="56" t="e">
        <f>SUM(#REF!)</f>
        <v>#REF!</v>
      </c>
      <c r="E293" s="56" t="e">
        <f>SUM(#REF!)</f>
        <v>#REF!</v>
      </c>
      <c r="F293" s="47"/>
    </row>
    <row r="294" hidden="1" outlineLevel="2" spans="2:6">
      <c r="B294" s="48" t="s">
        <v>596</v>
      </c>
      <c r="C294" s="54" t="s">
        <v>597</v>
      </c>
      <c r="D294" s="56" t="e">
        <f>SUM(#REF!)</f>
        <v>#REF!</v>
      </c>
      <c r="E294" s="56" t="e">
        <f>SUM(#REF!)</f>
        <v>#REF!</v>
      </c>
      <c r="F294" s="47"/>
    </row>
    <row r="295" hidden="1" outlineLevel="2" spans="2:6">
      <c r="B295" s="48" t="s">
        <v>598</v>
      </c>
      <c r="C295" s="54" t="s">
        <v>599</v>
      </c>
      <c r="D295" s="56" t="e">
        <f>SUM(#REF!)</f>
        <v>#REF!</v>
      </c>
      <c r="E295" s="56" t="e">
        <f>SUM(#REF!)</f>
        <v>#REF!</v>
      </c>
      <c r="F295" s="47"/>
    </row>
    <row r="296" hidden="1" outlineLevel="2" spans="2:6">
      <c r="B296" s="48" t="s">
        <v>600</v>
      </c>
      <c r="C296" s="54" t="s">
        <v>601</v>
      </c>
      <c r="D296" s="56" t="e">
        <f>SUM(#REF!)</f>
        <v>#REF!</v>
      </c>
      <c r="E296" s="56" t="e">
        <f>SUM(#REF!)</f>
        <v>#REF!</v>
      </c>
      <c r="F296" s="47"/>
    </row>
    <row r="297" hidden="1" outlineLevel="1" collapsed="1" spans="2:6">
      <c r="B297" s="53">
        <v>3.14</v>
      </c>
      <c r="C297" s="54" t="s">
        <v>602</v>
      </c>
      <c r="D297" s="55" t="e">
        <f>SUM(#REF!)</f>
        <v>#REF!</v>
      </c>
      <c r="E297" s="55" t="e">
        <f>SUM(#REF!)</f>
        <v>#REF!</v>
      </c>
      <c r="F297" s="47"/>
    </row>
    <row r="298" hidden="1" outlineLevel="2" spans="2:6">
      <c r="B298" s="48" t="s">
        <v>603</v>
      </c>
      <c r="C298" s="54" t="s">
        <v>604</v>
      </c>
      <c r="D298" s="56" t="e">
        <f>SUM(#REF!)</f>
        <v>#REF!</v>
      </c>
      <c r="E298" s="56" t="e">
        <f>SUM(#REF!)</f>
        <v>#REF!</v>
      </c>
      <c r="F298" s="47"/>
    </row>
    <row r="299" hidden="1" outlineLevel="2" spans="2:6">
      <c r="B299" s="48" t="s">
        <v>605</v>
      </c>
      <c r="C299" s="54" t="s">
        <v>606</v>
      </c>
      <c r="D299" s="56" t="e">
        <f>SUM(#REF!)</f>
        <v>#REF!</v>
      </c>
      <c r="E299" s="56" t="e">
        <f>SUM(#REF!)</f>
        <v>#REF!</v>
      </c>
      <c r="F299" s="47"/>
    </row>
    <row r="300" hidden="1" outlineLevel="2" spans="2:6">
      <c r="B300" s="48" t="s">
        <v>607</v>
      </c>
      <c r="C300" s="54" t="s">
        <v>608</v>
      </c>
      <c r="D300" s="56" t="e">
        <f>SUM(#REF!)</f>
        <v>#REF!</v>
      </c>
      <c r="E300" s="56" t="e">
        <f>SUM(#REF!)</f>
        <v>#REF!</v>
      </c>
      <c r="F300" s="47"/>
    </row>
    <row r="301" hidden="1" outlineLevel="2" spans="2:6">
      <c r="B301" s="48" t="s">
        <v>609</v>
      </c>
      <c r="C301" s="54" t="s">
        <v>610</v>
      </c>
      <c r="D301" s="56" t="e">
        <f>SUM(#REF!)</f>
        <v>#REF!</v>
      </c>
      <c r="E301" s="56" t="e">
        <f>SUM(#REF!)</f>
        <v>#REF!</v>
      </c>
      <c r="F301" s="47"/>
    </row>
    <row r="302" hidden="1" outlineLevel="2" spans="2:6">
      <c r="B302" s="48" t="s">
        <v>611</v>
      </c>
      <c r="C302" s="54" t="s">
        <v>612</v>
      </c>
      <c r="D302" s="56" t="e">
        <f>SUM(#REF!)</f>
        <v>#REF!</v>
      </c>
      <c r="E302" s="56" t="e">
        <f>SUM(#REF!)</f>
        <v>#REF!</v>
      </c>
      <c r="F302" s="47"/>
    </row>
    <row r="303" hidden="1" outlineLevel="2" spans="2:6">
      <c r="B303" s="48" t="s">
        <v>613</v>
      </c>
      <c r="C303" s="54" t="s">
        <v>614</v>
      </c>
      <c r="D303" s="56" t="e">
        <f>SUM(#REF!)</f>
        <v>#REF!</v>
      </c>
      <c r="E303" s="56" t="e">
        <f>SUM(#REF!)</f>
        <v>#REF!</v>
      </c>
      <c r="F303" s="47"/>
    </row>
    <row r="304" hidden="1" outlineLevel="2" spans="2:6">
      <c r="B304" s="48" t="s">
        <v>615</v>
      </c>
      <c r="C304" s="54" t="s">
        <v>343</v>
      </c>
      <c r="D304" s="56" t="e">
        <f>SUM(#REF!)</f>
        <v>#REF!</v>
      </c>
      <c r="E304" s="56" t="e">
        <f>SUM(#REF!)</f>
        <v>#REF!</v>
      </c>
      <c r="F304" s="47"/>
    </row>
    <row r="305" hidden="1" outlineLevel="2" spans="2:6">
      <c r="B305" s="48" t="s">
        <v>616</v>
      </c>
      <c r="C305" s="54" t="s">
        <v>617</v>
      </c>
      <c r="D305" s="56" t="e">
        <f>SUM(#REF!)</f>
        <v>#REF!</v>
      </c>
      <c r="E305" s="56" t="e">
        <f>SUM(#REF!)</f>
        <v>#REF!</v>
      </c>
      <c r="F305" s="47"/>
    </row>
    <row r="306" hidden="1" outlineLevel="2" spans="2:6">
      <c r="B306" s="48" t="s">
        <v>618</v>
      </c>
      <c r="C306" s="54" t="s">
        <v>619</v>
      </c>
      <c r="D306" s="56" t="e">
        <f>SUM(#REF!)</f>
        <v>#REF!</v>
      </c>
      <c r="E306" s="56" t="e">
        <f>SUM(#REF!)</f>
        <v>#REF!</v>
      </c>
      <c r="F306" s="47"/>
    </row>
    <row r="307" hidden="1" outlineLevel="2" spans="2:6">
      <c r="B307" s="48" t="s">
        <v>620</v>
      </c>
      <c r="C307" s="54" t="s">
        <v>621</v>
      </c>
      <c r="D307" s="56" t="e">
        <f>SUM(#REF!)</f>
        <v>#REF!</v>
      </c>
      <c r="E307" s="56" t="e">
        <f>SUM(#REF!)</f>
        <v>#REF!</v>
      </c>
      <c r="F307" s="47"/>
    </row>
    <row r="308" hidden="1" outlineLevel="2" spans="2:6">
      <c r="B308" s="48" t="s">
        <v>622</v>
      </c>
      <c r="C308" s="54" t="s">
        <v>623</v>
      </c>
      <c r="D308" s="56" t="e">
        <f>SUM(#REF!)</f>
        <v>#REF!</v>
      </c>
      <c r="E308" s="56" t="e">
        <f>SUM(#REF!)</f>
        <v>#REF!</v>
      </c>
      <c r="F308" s="47"/>
    </row>
    <row r="309" hidden="1" outlineLevel="2" spans="2:6">
      <c r="B309" s="48" t="s">
        <v>624</v>
      </c>
      <c r="C309" s="54" t="s">
        <v>625</v>
      </c>
      <c r="D309" s="56" t="e">
        <f>SUM(#REF!)</f>
        <v>#REF!</v>
      </c>
      <c r="E309" s="56" t="e">
        <f>SUM(#REF!)</f>
        <v>#REF!</v>
      </c>
      <c r="F309" s="47"/>
    </row>
    <row r="310" hidden="1" outlineLevel="2" spans="2:6">
      <c r="B310" s="48" t="s">
        <v>626</v>
      </c>
      <c r="C310" s="54" t="s">
        <v>627</v>
      </c>
      <c r="D310" s="56" t="e">
        <f>SUM(#REF!)</f>
        <v>#REF!</v>
      </c>
      <c r="E310" s="56" t="e">
        <f>SUM(#REF!)</f>
        <v>#REF!</v>
      </c>
      <c r="F310" s="47"/>
    </row>
    <row r="311" hidden="1" outlineLevel="2" spans="2:6">
      <c r="B311" s="48" t="s">
        <v>628</v>
      </c>
      <c r="C311" s="54" t="s">
        <v>629</v>
      </c>
      <c r="D311" s="56" t="e">
        <f>SUM(#REF!)</f>
        <v>#REF!</v>
      </c>
      <c r="E311" s="56" t="e">
        <f>SUM(#REF!)</f>
        <v>#REF!</v>
      </c>
      <c r="F311" s="47"/>
    </row>
    <row r="312" hidden="1" outlineLevel="2" spans="2:6">
      <c r="B312" s="48" t="s">
        <v>630</v>
      </c>
      <c r="C312" s="54" t="s">
        <v>631</v>
      </c>
      <c r="D312" s="56" t="e">
        <f>SUM(#REF!)</f>
        <v>#REF!</v>
      </c>
      <c r="E312" s="56" t="e">
        <f>SUM(#REF!)</f>
        <v>#REF!</v>
      </c>
      <c r="F312" s="47"/>
    </row>
    <row r="313" hidden="1" outlineLevel="2" spans="2:6">
      <c r="B313" s="48" t="s">
        <v>632</v>
      </c>
      <c r="C313" s="54" t="s">
        <v>633</v>
      </c>
      <c r="D313" s="56" t="e">
        <f>SUM(#REF!)</f>
        <v>#REF!</v>
      </c>
      <c r="E313" s="56" t="e">
        <f>SUM(#REF!)</f>
        <v>#REF!</v>
      </c>
      <c r="F313" s="47"/>
    </row>
    <row r="314" hidden="1" outlineLevel="2" spans="2:6">
      <c r="B314" s="48" t="s">
        <v>634</v>
      </c>
      <c r="C314" s="54" t="s">
        <v>635</v>
      </c>
      <c r="D314" s="56" t="e">
        <f>SUM(#REF!)</f>
        <v>#REF!</v>
      </c>
      <c r="E314" s="56" t="e">
        <f>SUM(#REF!)</f>
        <v>#REF!</v>
      </c>
      <c r="F314" s="47"/>
    </row>
    <row r="315" hidden="1" outlineLevel="2" spans="2:6">
      <c r="B315" s="48" t="s">
        <v>636</v>
      </c>
      <c r="C315" s="54" t="s">
        <v>637</v>
      </c>
      <c r="D315" s="56" t="e">
        <f>SUM(#REF!)</f>
        <v>#REF!</v>
      </c>
      <c r="E315" s="56" t="e">
        <f>SUM(#REF!)</f>
        <v>#REF!</v>
      </c>
      <c r="F315" s="47"/>
    </row>
    <row r="316" hidden="1" outlineLevel="1" collapsed="1" spans="2:6">
      <c r="B316" s="53">
        <v>3.15</v>
      </c>
      <c r="C316" s="54" t="s">
        <v>638</v>
      </c>
      <c r="D316" s="55" t="e">
        <f>SUM(#REF!)</f>
        <v>#REF!</v>
      </c>
      <c r="E316" s="55" t="e">
        <f>SUM(#REF!)</f>
        <v>#REF!</v>
      </c>
      <c r="F316" s="47"/>
    </row>
    <row r="317" hidden="1" outlineLevel="1" spans="2:6">
      <c r="B317" s="48" t="s">
        <v>639</v>
      </c>
      <c r="C317" s="54" t="s">
        <v>640</v>
      </c>
      <c r="D317" s="56" t="e">
        <f>SUM(#REF!)</f>
        <v>#REF!</v>
      </c>
      <c r="E317" s="56" t="e">
        <f>SUM(#REF!)</f>
        <v>#REF!</v>
      </c>
      <c r="F317" s="47"/>
    </row>
    <row r="318" hidden="1" outlineLevel="1" spans="2:6">
      <c r="B318" s="48" t="s">
        <v>641</v>
      </c>
      <c r="C318" s="54" t="s">
        <v>642</v>
      </c>
      <c r="D318" s="56" t="e">
        <f>SUM(#REF!)</f>
        <v>#REF!</v>
      </c>
      <c r="E318" s="56" t="e">
        <f>SUM(#REF!)</f>
        <v>#REF!</v>
      </c>
      <c r="F318" s="47"/>
    </row>
    <row r="319" hidden="1" outlineLevel="1" spans="2:6">
      <c r="B319" s="48" t="s">
        <v>643</v>
      </c>
      <c r="C319" s="54" t="s">
        <v>644</v>
      </c>
      <c r="D319" s="56" t="e">
        <f>SUM(#REF!)</f>
        <v>#REF!</v>
      </c>
      <c r="E319" s="56" t="e">
        <f>SUM(#REF!)</f>
        <v>#REF!</v>
      </c>
      <c r="F319" s="47"/>
    </row>
    <row r="320" hidden="1" outlineLevel="1" spans="2:6">
      <c r="B320" s="48" t="s">
        <v>645</v>
      </c>
      <c r="C320" s="54" t="s">
        <v>646</v>
      </c>
      <c r="D320" s="56" t="e">
        <f>SUM(#REF!)</f>
        <v>#REF!</v>
      </c>
      <c r="E320" s="56" t="e">
        <f>SUM(#REF!)</f>
        <v>#REF!</v>
      </c>
      <c r="F320" s="47"/>
    </row>
    <row r="321" hidden="1" outlineLevel="1" spans="2:6">
      <c r="B321" s="48" t="s">
        <v>647</v>
      </c>
      <c r="C321" s="54" t="s">
        <v>648</v>
      </c>
      <c r="D321" s="56" t="e">
        <f>SUM(#REF!)</f>
        <v>#REF!</v>
      </c>
      <c r="E321" s="56" t="e">
        <f>SUM(#REF!)</f>
        <v>#REF!</v>
      </c>
      <c r="F321" s="47"/>
    </row>
    <row r="322" hidden="1" outlineLevel="1" spans="2:6">
      <c r="B322" s="48" t="s">
        <v>649</v>
      </c>
      <c r="C322" s="54" t="s">
        <v>343</v>
      </c>
      <c r="D322" s="56" t="e">
        <f>SUM(#REF!)</f>
        <v>#REF!</v>
      </c>
      <c r="E322" s="56" t="e">
        <f>SUM(#REF!)</f>
        <v>#REF!</v>
      </c>
      <c r="F322" s="47"/>
    </row>
    <row r="323" hidden="1" outlineLevel="1" spans="2:6">
      <c r="B323" s="48" t="s">
        <v>650</v>
      </c>
      <c r="C323" s="54" t="s">
        <v>651</v>
      </c>
      <c r="D323" s="56" t="e">
        <f>SUM(#REF!)</f>
        <v>#REF!</v>
      </c>
      <c r="E323" s="56" t="e">
        <f>SUM(#REF!)</f>
        <v>#REF!</v>
      </c>
      <c r="F323" s="47"/>
    </row>
    <row r="324" hidden="1" outlineLevel="1" spans="2:6">
      <c r="B324" s="48" t="s">
        <v>652</v>
      </c>
      <c r="C324" s="54" t="s">
        <v>653</v>
      </c>
      <c r="D324" s="56" t="e">
        <f>SUM(#REF!)</f>
        <v>#REF!</v>
      </c>
      <c r="E324" s="56" t="e">
        <f>SUM(#REF!)</f>
        <v>#REF!</v>
      </c>
      <c r="F324" s="47"/>
    </row>
    <row r="325" hidden="1" outlineLevel="1" spans="2:6">
      <c r="B325" s="48" t="s">
        <v>654</v>
      </c>
      <c r="C325" s="54" t="s">
        <v>655</v>
      </c>
      <c r="D325" s="56" t="e">
        <f>SUM(#REF!)</f>
        <v>#REF!</v>
      </c>
      <c r="E325" s="56" t="e">
        <f>SUM(#REF!)</f>
        <v>#REF!</v>
      </c>
      <c r="F325" s="47"/>
    </row>
    <row r="326" hidden="1" outlineLevel="1" spans="2:6">
      <c r="B326" s="48" t="s">
        <v>656</v>
      </c>
      <c r="C326" s="54" t="s">
        <v>657</v>
      </c>
      <c r="D326" s="56" t="e">
        <f>SUM(#REF!)</f>
        <v>#REF!</v>
      </c>
      <c r="E326" s="56" t="e">
        <f>SUM(#REF!)</f>
        <v>#REF!</v>
      </c>
      <c r="F326" s="47"/>
    </row>
    <row r="327" collapsed="1" spans="2:6">
      <c r="B327" s="44" t="s">
        <v>6</v>
      </c>
      <c r="C327" s="45" t="s">
        <v>7</v>
      </c>
      <c r="D327" s="46" t="e">
        <f>SUM(D328:D376)/49</f>
        <v>#REF!</v>
      </c>
      <c r="E327" s="46" t="e">
        <f>SUM(E328:E376)</f>
        <v>#REF!</v>
      </c>
      <c r="F327" s="47" t="s">
        <v>57</v>
      </c>
    </row>
    <row r="328" hidden="1" outlineLevel="1" spans="2:6">
      <c r="B328" s="48">
        <v>4.1</v>
      </c>
      <c r="C328" s="54" t="s">
        <v>658</v>
      </c>
      <c r="D328" s="50" t="e">
        <f>SUM(#REF!)</f>
        <v>#REF!</v>
      </c>
      <c r="E328" s="50" t="e">
        <f>SUM(#REF!)/49</f>
        <v>#REF!</v>
      </c>
      <c r="F328" s="47"/>
    </row>
    <row r="329" hidden="1" outlineLevel="1" spans="2:6">
      <c r="B329" s="60">
        <v>4.2</v>
      </c>
      <c r="C329" s="61" t="s">
        <v>659</v>
      </c>
      <c r="D329" s="50" t="e">
        <f>SUM(#REF!)</f>
        <v>#REF!</v>
      </c>
      <c r="E329" s="50" t="e">
        <f>SUM(#REF!)</f>
        <v>#REF!</v>
      </c>
      <c r="F329" s="47"/>
    </row>
    <row r="330" hidden="1" outlineLevel="1" spans="2:6">
      <c r="B330" s="60">
        <v>4.3</v>
      </c>
      <c r="C330" s="61" t="s">
        <v>660</v>
      </c>
      <c r="D330" s="50" t="e">
        <f>SUM(#REF!)</f>
        <v>#REF!</v>
      </c>
      <c r="E330" s="50" t="e">
        <f>SUM(#REF!)</f>
        <v>#REF!</v>
      </c>
      <c r="F330" s="47"/>
    </row>
    <row r="331" hidden="1" outlineLevel="1" spans="2:6">
      <c r="B331" s="60">
        <v>4.4</v>
      </c>
      <c r="C331" s="61" t="s">
        <v>661</v>
      </c>
      <c r="D331" s="50" t="e">
        <f>SUM(#REF!)</f>
        <v>#REF!</v>
      </c>
      <c r="E331" s="50" t="e">
        <f>SUM(#REF!)</f>
        <v>#REF!</v>
      </c>
      <c r="F331" s="47"/>
    </row>
    <row r="332" hidden="1" outlineLevel="1" spans="2:6">
      <c r="B332" s="60">
        <v>4.5</v>
      </c>
      <c r="C332" s="61" t="s">
        <v>662</v>
      </c>
      <c r="D332" s="50" t="e">
        <f>SUM(#REF!)</f>
        <v>#REF!</v>
      </c>
      <c r="E332" s="50" t="e">
        <f>SUM(#REF!)</f>
        <v>#REF!</v>
      </c>
      <c r="F332" s="47"/>
    </row>
    <row r="333" hidden="1" outlineLevel="1" spans="2:6">
      <c r="B333" s="60">
        <v>4.6</v>
      </c>
      <c r="C333" s="54" t="s">
        <v>663</v>
      </c>
      <c r="D333" s="50" t="e">
        <f>SUM(#REF!)</f>
        <v>#REF!</v>
      </c>
      <c r="E333" s="50" t="e">
        <f>SUM(#REF!)</f>
        <v>#REF!</v>
      </c>
      <c r="F333" s="47"/>
    </row>
    <row r="334" hidden="1" outlineLevel="1" spans="2:6">
      <c r="B334" s="60">
        <v>4.7</v>
      </c>
      <c r="C334" s="61" t="s">
        <v>664</v>
      </c>
      <c r="D334" s="50" t="e">
        <f>SUM(#REF!)</f>
        <v>#REF!</v>
      </c>
      <c r="E334" s="50" t="e">
        <f>SUM(#REF!)</f>
        <v>#REF!</v>
      </c>
      <c r="F334" s="47"/>
    </row>
    <row r="335" hidden="1" outlineLevel="1" spans="2:6">
      <c r="B335" s="60">
        <v>4.8</v>
      </c>
      <c r="C335" s="61" t="s">
        <v>665</v>
      </c>
      <c r="D335" s="50" t="e">
        <f>SUM(#REF!)</f>
        <v>#REF!</v>
      </c>
      <c r="E335" s="50" t="e">
        <f>SUM(#REF!)</f>
        <v>#REF!</v>
      </c>
      <c r="F335" s="47"/>
    </row>
    <row r="336" hidden="1" outlineLevel="1" spans="2:6">
      <c r="B336" s="60">
        <v>4.9</v>
      </c>
      <c r="C336" s="61" t="s">
        <v>666</v>
      </c>
      <c r="D336" s="50" t="e">
        <f>SUM(#REF!)</f>
        <v>#REF!</v>
      </c>
      <c r="E336" s="50" t="e">
        <f>SUM(#REF!)</f>
        <v>#REF!</v>
      </c>
      <c r="F336" s="47"/>
    </row>
    <row r="337" hidden="1" outlineLevel="1" spans="2:6">
      <c r="B337" s="62">
        <v>4.1</v>
      </c>
      <c r="C337" s="61" t="s">
        <v>667</v>
      </c>
      <c r="D337" s="50" t="e">
        <f>SUM(#REF!)</f>
        <v>#REF!</v>
      </c>
      <c r="E337" s="50" t="e">
        <f>SUM(#REF!)</f>
        <v>#REF!</v>
      </c>
      <c r="F337" s="47"/>
    </row>
    <row r="338" hidden="1" outlineLevel="1" spans="2:6">
      <c r="B338" s="60">
        <v>4.11</v>
      </c>
      <c r="C338" s="61" t="s">
        <v>668</v>
      </c>
      <c r="D338" s="50" t="e">
        <f>SUM(#REF!)</f>
        <v>#REF!</v>
      </c>
      <c r="E338" s="50" t="e">
        <f>SUM(#REF!)</f>
        <v>#REF!</v>
      </c>
      <c r="F338" s="47"/>
    </row>
    <row r="339" hidden="1" outlineLevel="1" spans="2:6">
      <c r="B339" s="60">
        <v>4.12</v>
      </c>
      <c r="C339" s="61" t="s">
        <v>669</v>
      </c>
      <c r="D339" s="50" t="e">
        <f>SUM(#REF!)</f>
        <v>#REF!</v>
      </c>
      <c r="E339" s="50" t="e">
        <f>SUM(#REF!)</f>
        <v>#REF!</v>
      </c>
      <c r="F339" s="47"/>
    </row>
    <row r="340" hidden="1" outlineLevel="1" spans="2:6">
      <c r="B340" s="60">
        <v>4.13</v>
      </c>
      <c r="C340" s="61" t="s">
        <v>670</v>
      </c>
      <c r="D340" s="50" t="e">
        <f>SUM(#REF!)</f>
        <v>#REF!</v>
      </c>
      <c r="E340" s="50" t="e">
        <f>SUM(#REF!)</f>
        <v>#REF!</v>
      </c>
      <c r="F340" s="47"/>
    </row>
    <row r="341" hidden="1" outlineLevel="1" spans="2:6">
      <c r="B341" s="60">
        <v>4.14</v>
      </c>
      <c r="C341" s="61" t="s">
        <v>671</v>
      </c>
      <c r="D341" s="50" t="e">
        <f>SUM(#REF!)</f>
        <v>#REF!</v>
      </c>
      <c r="E341" s="50" t="e">
        <f>SUM(#REF!)</f>
        <v>#REF!</v>
      </c>
      <c r="F341" s="47"/>
    </row>
    <row r="342" hidden="1" outlineLevel="1" spans="2:6">
      <c r="B342" s="60">
        <v>4.15</v>
      </c>
      <c r="C342" s="61" t="s">
        <v>672</v>
      </c>
      <c r="D342" s="50" t="e">
        <f>SUM(#REF!)</f>
        <v>#REF!</v>
      </c>
      <c r="E342" s="50" t="e">
        <f>SUM(#REF!)</f>
        <v>#REF!</v>
      </c>
      <c r="F342" s="47"/>
    </row>
    <row r="343" hidden="1" outlineLevel="1" spans="2:6">
      <c r="B343" s="60">
        <v>4.16</v>
      </c>
      <c r="C343" s="61" t="s">
        <v>673</v>
      </c>
      <c r="D343" s="50" t="e">
        <f>SUM(#REF!)</f>
        <v>#REF!</v>
      </c>
      <c r="E343" s="50" t="e">
        <f>SUM(#REF!)</f>
        <v>#REF!</v>
      </c>
      <c r="F343" s="47"/>
    </row>
    <row r="344" hidden="1" outlineLevel="1" spans="2:6">
      <c r="B344" s="60">
        <v>4.17</v>
      </c>
      <c r="C344" s="61" t="s">
        <v>674</v>
      </c>
      <c r="D344" s="50" t="e">
        <f>SUM(#REF!)</f>
        <v>#REF!</v>
      </c>
      <c r="E344" s="50" t="e">
        <f>SUM(#REF!)</f>
        <v>#REF!</v>
      </c>
      <c r="F344" s="47"/>
    </row>
    <row r="345" hidden="1" outlineLevel="1" spans="2:6">
      <c r="B345" s="60">
        <v>4.18</v>
      </c>
      <c r="C345" s="61" t="s">
        <v>675</v>
      </c>
      <c r="D345" s="50" t="e">
        <f>SUM(#REF!)</f>
        <v>#REF!</v>
      </c>
      <c r="E345" s="50" t="e">
        <f>SUM(#REF!)</f>
        <v>#REF!</v>
      </c>
      <c r="F345" s="47"/>
    </row>
    <row r="346" hidden="1" outlineLevel="1" spans="2:6">
      <c r="B346" s="60">
        <v>4.19</v>
      </c>
      <c r="C346" s="61" t="s">
        <v>676</v>
      </c>
      <c r="D346" s="50" t="e">
        <f>SUM(#REF!)</f>
        <v>#REF!</v>
      </c>
      <c r="E346" s="50" t="e">
        <f>SUM(#REF!)</f>
        <v>#REF!</v>
      </c>
      <c r="F346" s="47"/>
    </row>
    <row r="347" hidden="1" outlineLevel="1" spans="2:6">
      <c r="B347" s="62">
        <v>4.2</v>
      </c>
      <c r="C347" s="61" t="s">
        <v>677</v>
      </c>
      <c r="D347" s="50" t="e">
        <f>SUM(#REF!)</f>
        <v>#REF!</v>
      </c>
      <c r="E347" s="50" t="e">
        <f>SUM(#REF!)</f>
        <v>#REF!</v>
      </c>
      <c r="F347" s="47"/>
    </row>
    <row r="348" hidden="1" outlineLevel="1" spans="2:6">
      <c r="B348" s="60">
        <v>4.21</v>
      </c>
      <c r="C348" s="61" t="s">
        <v>678</v>
      </c>
      <c r="D348" s="50" t="e">
        <f>SUM(#REF!)</f>
        <v>#REF!</v>
      </c>
      <c r="E348" s="50" t="e">
        <f>SUM(#REF!)</f>
        <v>#REF!</v>
      </c>
      <c r="F348" s="47"/>
    </row>
    <row r="349" hidden="1" outlineLevel="1" spans="2:6">
      <c r="B349" s="60">
        <v>4.22</v>
      </c>
      <c r="C349" s="61" t="s">
        <v>679</v>
      </c>
      <c r="D349" s="50" t="e">
        <f>SUM(#REF!)</f>
        <v>#REF!</v>
      </c>
      <c r="E349" s="50" t="e">
        <f>SUM(#REF!)</f>
        <v>#REF!</v>
      </c>
      <c r="F349" s="47"/>
    </row>
    <row r="350" hidden="1" outlineLevel="1" spans="2:6">
      <c r="B350" s="60">
        <v>4.23</v>
      </c>
      <c r="C350" s="54" t="s">
        <v>680</v>
      </c>
      <c r="D350" s="50" t="e">
        <f>SUM(#REF!)</f>
        <v>#REF!</v>
      </c>
      <c r="E350" s="50" t="e">
        <f>SUM(#REF!)</f>
        <v>#REF!</v>
      </c>
      <c r="F350" s="47"/>
    </row>
    <row r="351" hidden="1" outlineLevel="1" spans="2:6">
      <c r="B351" s="60">
        <v>4.24</v>
      </c>
      <c r="C351" s="61" t="s">
        <v>681</v>
      </c>
      <c r="D351" s="50" t="e">
        <f>SUM(#REF!)</f>
        <v>#REF!</v>
      </c>
      <c r="E351" s="50" t="e">
        <f>SUM(#REF!)</f>
        <v>#REF!</v>
      </c>
      <c r="F351" s="47"/>
    </row>
    <row r="352" hidden="1" outlineLevel="1" spans="2:6">
      <c r="B352" s="60">
        <v>4.25</v>
      </c>
      <c r="C352" s="54" t="s">
        <v>682</v>
      </c>
      <c r="D352" s="50" t="e">
        <f>SUM(#REF!)</f>
        <v>#REF!</v>
      </c>
      <c r="E352" s="50" t="e">
        <f>SUM(#REF!)</f>
        <v>#REF!</v>
      </c>
      <c r="F352" s="47"/>
    </row>
    <row r="353" hidden="1" outlineLevel="1" spans="2:6">
      <c r="B353" s="60">
        <v>4.26</v>
      </c>
      <c r="C353" s="61" t="s">
        <v>683</v>
      </c>
      <c r="D353" s="50" t="e">
        <f>SUM(#REF!)</f>
        <v>#REF!</v>
      </c>
      <c r="E353" s="50" t="e">
        <f>SUM(#REF!)</f>
        <v>#REF!</v>
      </c>
      <c r="F353" s="47"/>
    </row>
    <row r="354" hidden="1" outlineLevel="1" spans="2:6">
      <c r="B354" s="60">
        <v>4.27</v>
      </c>
      <c r="C354" s="61" t="s">
        <v>684</v>
      </c>
      <c r="D354" s="50" t="e">
        <f>SUM(#REF!)</f>
        <v>#REF!</v>
      </c>
      <c r="E354" s="50" t="e">
        <f>SUM(#REF!)</f>
        <v>#REF!</v>
      </c>
      <c r="F354" s="47"/>
    </row>
    <row r="355" hidden="1" outlineLevel="1" spans="2:6">
      <c r="B355" s="60">
        <v>4.28</v>
      </c>
      <c r="C355" s="61" t="s">
        <v>685</v>
      </c>
      <c r="D355" s="50" t="e">
        <f>SUM(#REF!)</f>
        <v>#REF!</v>
      </c>
      <c r="E355" s="50" t="e">
        <f>SUM(#REF!)</f>
        <v>#REF!</v>
      </c>
      <c r="F355" s="47"/>
    </row>
    <row r="356" hidden="1" outlineLevel="1" spans="2:6">
      <c r="B356" s="60">
        <v>4.29</v>
      </c>
      <c r="C356" s="61" t="s">
        <v>686</v>
      </c>
      <c r="D356" s="50" t="e">
        <f>SUM(#REF!)</f>
        <v>#REF!</v>
      </c>
      <c r="E356" s="50" t="e">
        <f>SUM(#REF!)</f>
        <v>#REF!</v>
      </c>
      <c r="F356" s="47"/>
    </row>
    <row r="357" hidden="1" outlineLevel="1" spans="2:6">
      <c r="B357" s="62">
        <v>4.3</v>
      </c>
      <c r="C357" s="54" t="s">
        <v>687</v>
      </c>
      <c r="D357" s="50" t="e">
        <f>SUM(#REF!)</f>
        <v>#REF!</v>
      </c>
      <c r="E357" s="50" t="e">
        <f>SUM(#REF!)</f>
        <v>#REF!</v>
      </c>
      <c r="F357" s="47"/>
    </row>
    <row r="358" hidden="1" outlineLevel="1" spans="2:6">
      <c r="B358" s="60">
        <v>4.31</v>
      </c>
      <c r="C358" s="61" t="s">
        <v>688</v>
      </c>
      <c r="D358" s="50" t="e">
        <f>SUM(#REF!)</f>
        <v>#REF!</v>
      </c>
      <c r="E358" s="50" t="e">
        <f>SUM(#REF!)</f>
        <v>#REF!</v>
      </c>
      <c r="F358" s="47"/>
    </row>
    <row r="359" hidden="1" outlineLevel="1" spans="2:6">
      <c r="B359" s="60">
        <v>4.32</v>
      </c>
      <c r="C359" s="61" t="s">
        <v>689</v>
      </c>
      <c r="D359" s="50" t="e">
        <f>SUM(#REF!)</f>
        <v>#REF!</v>
      </c>
      <c r="E359" s="50" t="e">
        <f>SUM(#REF!)</f>
        <v>#REF!</v>
      </c>
      <c r="F359" s="47"/>
    </row>
    <row r="360" hidden="1" outlineLevel="1" spans="2:6">
      <c r="B360" s="60">
        <v>4.33</v>
      </c>
      <c r="C360" s="61" t="s">
        <v>690</v>
      </c>
      <c r="D360" s="50" t="e">
        <f>SUM(#REF!)</f>
        <v>#REF!</v>
      </c>
      <c r="E360" s="50" t="e">
        <f>SUM(#REF!)</f>
        <v>#REF!</v>
      </c>
      <c r="F360" s="47"/>
    </row>
    <row r="361" hidden="1" outlineLevel="1" spans="2:6">
      <c r="B361" s="60">
        <v>4.34</v>
      </c>
      <c r="C361" s="61" t="s">
        <v>691</v>
      </c>
      <c r="D361" s="50" t="e">
        <f>SUM(#REF!)</f>
        <v>#REF!</v>
      </c>
      <c r="E361" s="50" t="e">
        <f>SUM(#REF!)</f>
        <v>#REF!</v>
      </c>
      <c r="F361" s="47"/>
    </row>
    <row r="362" hidden="1" outlineLevel="1" spans="2:6">
      <c r="B362" s="60">
        <v>4.35</v>
      </c>
      <c r="C362" s="61" t="s">
        <v>692</v>
      </c>
      <c r="D362" s="50" t="e">
        <f>SUM(#REF!)</f>
        <v>#REF!</v>
      </c>
      <c r="E362" s="50" t="e">
        <f>SUM(#REF!)</f>
        <v>#REF!</v>
      </c>
      <c r="F362" s="47"/>
    </row>
    <row r="363" hidden="1" outlineLevel="1" spans="2:6">
      <c r="B363" s="60">
        <v>4.36</v>
      </c>
      <c r="C363" s="61" t="s">
        <v>693</v>
      </c>
      <c r="D363" s="50" t="e">
        <f>SUM(#REF!)</f>
        <v>#REF!</v>
      </c>
      <c r="E363" s="50" t="e">
        <f>SUM(#REF!)</f>
        <v>#REF!</v>
      </c>
      <c r="F363" s="47"/>
    </row>
    <row r="364" hidden="1" outlineLevel="1" spans="2:6">
      <c r="B364" s="60">
        <v>4.37</v>
      </c>
      <c r="C364" s="61" t="s">
        <v>694</v>
      </c>
      <c r="D364" s="50" t="e">
        <f>SUM(#REF!)</f>
        <v>#REF!</v>
      </c>
      <c r="E364" s="50" t="e">
        <f>SUM(#REF!)</f>
        <v>#REF!</v>
      </c>
      <c r="F364" s="47"/>
    </row>
    <row r="365" hidden="1" outlineLevel="1" spans="2:6">
      <c r="B365" s="60">
        <v>4.38</v>
      </c>
      <c r="C365" s="61" t="s">
        <v>695</v>
      </c>
      <c r="D365" s="50" t="e">
        <f>SUM(#REF!)</f>
        <v>#REF!</v>
      </c>
      <c r="E365" s="50" t="e">
        <f>SUM(#REF!)</f>
        <v>#REF!</v>
      </c>
      <c r="F365" s="47"/>
    </row>
    <row r="366" hidden="1" outlineLevel="1" spans="2:6">
      <c r="B366" s="60">
        <v>4.39</v>
      </c>
      <c r="C366" s="61" t="s">
        <v>696</v>
      </c>
      <c r="D366" s="50" t="e">
        <f>SUM(#REF!)</f>
        <v>#REF!</v>
      </c>
      <c r="E366" s="50" t="e">
        <f>SUM(#REF!)</f>
        <v>#REF!</v>
      </c>
      <c r="F366" s="47"/>
    </row>
    <row r="367" hidden="1" outlineLevel="1" spans="2:6">
      <c r="B367" s="62">
        <v>4.4</v>
      </c>
      <c r="C367" s="61" t="s">
        <v>697</v>
      </c>
      <c r="D367" s="50" t="e">
        <f>SUM(#REF!)</f>
        <v>#REF!</v>
      </c>
      <c r="E367" s="50" t="e">
        <f>SUM(#REF!)</f>
        <v>#REF!</v>
      </c>
      <c r="F367" s="47"/>
    </row>
    <row r="368" hidden="1" outlineLevel="1" spans="2:6">
      <c r="B368" s="60">
        <v>4.41</v>
      </c>
      <c r="C368" s="61" t="s">
        <v>698</v>
      </c>
      <c r="D368" s="50" t="e">
        <f>SUM(#REF!)</f>
        <v>#REF!</v>
      </c>
      <c r="E368" s="50" t="e">
        <f>SUM(#REF!)</f>
        <v>#REF!</v>
      </c>
      <c r="F368" s="47"/>
    </row>
    <row r="369" hidden="1" outlineLevel="1" spans="2:6">
      <c r="B369" s="60">
        <v>4.42</v>
      </c>
      <c r="C369" s="61" t="s">
        <v>699</v>
      </c>
      <c r="D369" s="50" t="e">
        <f>SUM(#REF!)</f>
        <v>#REF!</v>
      </c>
      <c r="E369" s="50" t="e">
        <f>SUM(#REF!)</f>
        <v>#REF!</v>
      </c>
      <c r="F369" s="47"/>
    </row>
    <row r="370" hidden="1" outlineLevel="1" spans="2:6">
      <c r="B370" s="60">
        <v>4.43</v>
      </c>
      <c r="C370" s="61" t="s">
        <v>700</v>
      </c>
      <c r="D370" s="50" t="e">
        <f>SUM(#REF!)</f>
        <v>#REF!</v>
      </c>
      <c r="E370" s="50" t="e">
        <f>SUM(#REF!)</f>
        <v>#REF!</v>
      </c>
      <c r="F370" s="47"/>
    </row>
    <row r="371" hidden="1" outlineLevel="1" spans="2:6">
      <c r="B371" s="60">
        <v>4.44</v>
      </c>
      <c r="C371" s="61" t="s">
        <v>701</v>
      </c>
      <c r="D371" s="50" t="e">
        <f>SUM(#REF!)</f>
        <v>#REF!</v>
      </c>
      <c r="E371" s="50" t="e">
        <f>SUM(#REF!)</f>
        <v>#REF!</v>
      </c>
      <c r="F371" s="47"/>
    </row>
    <row r="372" hidden="1" outlineLevel="1" spans="2:6">
      <c r="B372" s="60">
        <v>4.45</v>
      </c>
      <c r="C372" s="61" t="s">
        <v>702</v>
      </c>
      <c r="D372" s="50" t="e">
        <f>SUM(#REF!)</f>
        <v>#REF!</v>
      </c>
      <c r="E372" s="50" t="e">
        <f>SUM(#REF!)</f>
        <v>#REF!</v>
      </c>
      <c r="F372" s="47"/>
    </row>
    <row r="373" hidden="1" outlineLevel="1" spans="2:6">
      <c r="B373" s="60">
        <v>4.46</v>
      </c>
      <c r="C373" s="61" t="s">
        <v>703</v>
      </c>
      <c r="D373" s="50" t="e">
        <f>SUM(#REF!)</f>
        <v>#REF!</v>
      </c>
      <c r="E373" s="50" t="e">
        <f>SUM(#REF!)</f>
        <v>#REF!</v>
      </c>
      <c r="F373" s="47"/>
    </row>
    <row r="374" hidden="1" outlineLevel="1" spans="2:6">
      <c r="B374" s="60">
        <v>4.47</v>
      </c>
      <c r="C374" s="61" t="s">
        <v>704</v>
      </c>
      <c r="D374" s="50" t="e">
        <f>SUM(#REF!)</f>
        <v>#REF!</v>
      </c>
      <c r="E374" s="50" t="e">
        <f>SUM(#REF!)</f>
        <v>#REF!</v>
      </c>
      <c r="F374" s="47"/>
    </row>
    <row r="375" hidden="1" outlineLevel="1" spans="2:6">
      <c r="B375" s="60">
        <v>4.48</v>
      </c>
      <c r="C375" s="61" t="s">
        <v>705</v>
      </c>
      <c r="D375" s="50" t="e">
        <f>SUM(#REF!)</f>
        <v>#REF!</v>
      </c>
      <c r="E375" s="50" t="e">
        <f>SUM(#REF!)</f>
        <v>#REF!</v>
      </c>
      <c r="F375" s="47"/>
    </row>
    <row r="376" hidden="1" outlineLevel="1" spans="2:6">
      <c r="B376" s="60">
        <v>4.49</v>
      </c>
      <c r="C376" s="61" t="s">
        <v>706</v>
      </c>
      <c r="D376" s="50" t="e">
        <f>SUM(#REF!)</f>
        <v>#REF!</v>
      </c>
      <c r="E376" s="50" t="e">
        <f>SUM(#REF!)</f>
        <v>#REF!</v>
      </c>
      <c r="F376" s="47"/>
    </row>
    <row r="377" collapsed="1" spans="2:6">
      <c r="B377" s="44" t="s">
        <v>17</v>
      </c>
      <c r="C377" s="45" t="s">
        <v>707</v>
      </c>
      <c r="D377" s="46" t="e">
        <f>SUM(#REF!)</f>
        <v>#REF!</v>
      </c>
      <c r="E377" s="46" t="e">
        <f>SUM(#REF!)</f>
        <v>#REF!</v>
      </c>
      <c r="F377" s="47" t="s">
        <v>57</v>
      </c>
    </row>
    <row r="378" hidden="1" outlineLevel="1" spans="2:6">
      <c r="B378" s="63">
        <v>5.1</v>
      </c>
      <c r="C378" s="61" t="s">
        <v>708</v>
      </c>
      <c r="D378" s="64" t="e">
        <f>SUM(#REF!)</f>
        <v>#REF!</v>
      </c>
      <c r="E378" s="64" t="e">
        <f>SUM(#REF!)</f>
        <v>#REF!</v>
      </c>
      <c r="F378" s="47"/>
    </row>
    <row r="379" hidden="1" outlineLevel="2" spans="2:6">
      <c r="B379" s="65" t="s">
        <v>709</v>
      </c>
      <c r="C379" s="61" t="s">
        <v>710</v>
      </c>
      <c r="D379" s="50" t="e">
        <f>SUM(#REF!)</f>
        <v>#REF!</v>
      </c>
      <c r="E379" s="50" t="e">
        <f>SUM(#REF!)</f>
        <v>#REF!</v>
      </c>
      <c r="F379" s="47"/>
    </row>
    <row r="380" hidden="1" outlineLevel="2" spans="2:6">
      <c r="B380" s="65" t="s">
        <v>711</v>
      </c>
      <c r="C380" s="61" t="s">
        <v>712</v>
      </c>
      <c r="D380" s="50" t="e">
        <f>SUM(#REF!)</f>
        <v>#REF!</v>
      </c>
      <c r="E380" s="50" t="e">
        <f>SUM(#REF!)</f>
        <v>#REF!</v>
      </c>
      <c r="F380" s="47"/>
    </row>
    <row r="381" hidden="1" outlineLevel="2" spans="2:6">
      <c r="B381" s="65" t="s">
        <v>713</v>
      </c>
      <c r="C381" s="61" t="s">
        <v>714</v>
      </c>
      <c r="D381" s="50" t="e">
        <f>SUM(#REF!)</f>
        <v>#REF!</v>
      </c>
      <c r="E381" s="50" t="e">
        <f>SUM(#REF!)</f>
        <v>#REF!</v>
      </c>
      <c r="F381" s="47"/>
    </row>
    <row r="382" hidden="1" outlineLevel="2" spans="2:6">
      <c r="B382" s="65" t="s">
        <v>713</v>
      </c>
      <c r="C382" s="61" t="s">
        <v>283</v>
      </c>
      <c r="D382" s="50" t="e">
        <f>SUM(#REF!)</f>
        <v>#REF!</v>
      </c>
      <c r="E382" s="50" t="e">
        <f>SUM(#REF!)</f>
        <v>#REF!</v>
      </c>
      <c r="F382" s="47"/>
    </row>
    <row r="383" hidden="1" outlineLevel="2" spans="2:6">
      <c r="B383" s="65" t="s">
        <v>715</v>
      </c>
      <c r="C383" s="61" t="s">
        <v>716</v>
      </c>
      <c r="D383" s="50" t="e">
        <f>SUM(#REF!)</f>
        <v>#REF!</v>
      </c>
      <c r="E383" s="50" t="e">
        <f>SUM(#REF!)</f>
        <v>#REF!</v>
      </c>
      <c r="F383" s="47"/>
    </row>
    <row r="384" hidden="1" outlineLevel="2" spans="2:6">
      <c r="B384" s="65" t="s">
        <v>717</v>
      </c>
      <c r="C384" s="61" t="s">
        <v>718</v>
      </c>
      <c r="D384" s="50" t="e">
        <f>SUM(#REF!)</f>
        <v>#REF!</v>
      </c>
      <c r="E384" s="50" t="e">
        <f>SUM(#REF!)</f>
        <v>#REF!</v>
      </c>
      <c r="F384" s="47"/>
    </row>
    <row r="385" hidden="1" outlineLevel="2" spans="2:6">
      <c r="B385" s="65" t="s">
        <v>719</v>
      </c>
      <c r="C385" s="61" t="s">
        <v>720</v>
      </c>
      <c r="D385" s="50" t="e">
        <f>SUM(#REF!)</f>
        <v>#REF!</v>
      </c>
      <c r="E385" s="50" t="e">
        <f>SUM(#REF!)</f>
        <v>#REF!</v>
      </c>
      <c r="F385" s="47"/>
    </row>
    <row r="386" hidden="1" outlineLevel="2" spans="2:6">
      <c r="B386" s="65" t="s">
        <v>721</v>
      </c>
      <c r="C386" s="61" t="s">
        <v>722</v>
      </c>
      <c r="D386" s="50" t="e">
        <f>SUM(#REF!)</f>
        <v>#REF!</v>
      </c>
      <c r="E386" s="50" t="e">
        <f>SUM(#REF!)</f>
        <v>#REF!</v>
      </c>
      <c r="F386" s="47"/>
    </row>
    <row r="387" hidden="1" outlineLevel="1" collapsed="1" spans="2:6">
      <c r="B387" s="63">
        <v>5.2</v>
      </c>
      <c r="C387" s="61" t="s">
        <v>723</v>
      </c>
      <c r="D387" s="64" t="e">
        <f>SUM(#REF!)</f>
        <v>#REF!</v>
      </c>
      <c r="E387" s="64" t="e">
        <f>SUM(#REF!)</f>
        <v>#REF!</v>
      </c>
      <c r="F387" s="47"/>
    </row>
    <row r="388" hidden="1" outlineLevel="2" spans="2:6">
      <c r="B388" s="65" t="s">
        <v>724</v>
      </c>
      <c r="C388" s="61" t="s">
        <v>710</v>
      </c>
      <c r="D388" s="50" t="e">
        <f>SUM(#REF!)</f>
        <v>#REF!</v>
      </c>
      <c r="E388" s="50" t="e">
        <f>SUM(#REF!)</f>
        <v>#REF!</v>
      </c>
      <c r="F388" s="47"/>
    </row>
    <row r="389" hidden="1" outlineLevel="2" spans="2:6">
      <c r="B389" s="65" t="s">
        <v>725</v>
      </c>
      <c r="C389" s="61" t="s">
        <v>712</v>
      </c>
      <c r="D389" s="50" t="e">
        <f>SUM(#REF!)</f>
        <v>#REF!</v>
      </c>
      <c r="E389" s="50" t="e">
        <f>SUM(#REF!)</f>
        <v>#REF!</v>
      </c>
      <c r="F389" s="47"/>
    </row>
    <row r="390" hidden="1" outlineLevel="2" spans="2:6">
      <c r="B390" s="65" t="s">
        <v>726</v>
      </c>
      <c r="C390" s="61" t="s">
        <v>714</v>
      </c>
      <c r="D390" s="50" t="e">
        <f>SUM(#REF!)</f>
        <v>#REF!</v>
      </c>
      <c r="E390" s="50" t="e">
        <f>SUM(#REF!)</f>
        <v>#REF!</v>
      </c>
      <c r="F390" s="47"/>
    </row>
    <row r="391" hidden="1" outlineLevel="2" spans="2:6">
      <c r="B391" s="65" t="s">
        <v>727</v>
      </c>
      <c r="C391" s="61" t="s">
        <v>283</v>
      </c>
      <c r="D391" s="50" t="e">
        <f>SUM(#REF!)</f>
        <v>#REF!</v>
      </c>
      <c r="E391" s="50" t="e">
        <f>SUM(#REF!)</f>
        <v>#REF!</v>
      </c>
      <c r="F391" s="47"/>
    </row>
    <row r="392" hidden="1" outlineLevel="2" spans="2:6">
      <c r="B392" s="65" t="s">
        <v>728</v>
      </c>
      <c r="C392" s="61" t="s">
        <v>729</v>
      </c>
      <c r="D392" s="50" t="e">
        <f>SUM(#REF!)</f>
        <v>#REF!</v>
      </c>
      <c r="E392" s="50" t="e">
        <f>SUM(#REF!)</f>
        <v>#REF!</v>
      </c>
      <c r="F392" s="47"/>
    </row>
    <row r="393" hidden="1" outlineLevel="2" spans="2:6">
      <c r="B393" s="65" t="s">
        <v>730</v>
      </c>
      <c r="C393" s="61" t="s">
        <v>731</v>
      </c>
      <c r="D393" s="50" t="e">
        <f>SUM(#REF!)</f>
        <v>#REF!</v>
      </c>
      <c r="E393" s="50" t="e">
        <f>SUM(#REF!)</f>
        <v>#REF!</v>
      </c>
      <c r="F393" s="47"/>
    </row>
    <row r="394" hidden="1" outlineLevel="2" spans="2:6">
      <c r="B394" s="65" t="s">
        <v>732</v>
      </c>
      <c r="C394" s="61" t="s">
        <v>733</v>
      </c>
      <c r="D394" s="50" t="e">
        <f>SUM(#REF!)</f>
        <v>#REF!</v>
      </c>
      <c r="E394" s="50" t="e">
        <f>SUM(#REF!)</f>
        <v>#REF!</v>
      </c>
      <c r="F394" s="47"/>
    </row>
    <row r="395" hidden="1" outlineLevel="2" spans="2:6">
      <c r="B395" s="65" t="s">
        <v>734</v>
      </c>
      <c r="C395" s="61" t="s">
        <v>735</v>
      </c>
      <c r="D395" s="50" t="e">
        <f>SUM(#REF!)</f>
        <v>#REF!</v>
      </c>
      <c r="E395" s="50" t="e">
        <f>SUM(#REF!)</f>
        <v>#REF!</v>
      </c>
      <c r="F395" s="47"/>
    </row>
    <row r="396" hidden="1" outlineLevel="2" spans="2:6">
      <c r="B396" s="65" t="s">
        <v>736</v>
      </c>
      <c r="C396" s="61" t="s">
        <v>737</v>
      </c>
      <c r="D396" s="50" t="e">
        <f>SUM(#REF!)</f>
        <v>#REF!</v>
      </c>
      <c r="E396" s="50" t="e">
        <f>SUM(#REF!)</f>
        <v>#REF!</v>
      </c>
      <c r="F396" s="47"/>
    </row>
    <row r="397" hidden="1" outlineLevel="2" spans="2:6">
      <c r="B397" s="65" t="s">
        <v>738</v>
      </c>
      <c r="C397" s="61" t="s">
        <v>739</v>
      </c>
      <c r="D397" s="50" t="e">
        <f>SUM(#REF!)</f>
        <v>#REF!</v>
      </c>
      <c r="E397" s="50" t="e">
        <f>SUM(#REF!)</f>
        <v>#REF!</v>
      </c>
      <c r="F397" s="47"/>
    </row>
    <row r="398" hidden="1" outlineLevel="2" spans="2:6">
      <c r="B398" s="65" t="s">
        <v>740</v>
      </c>
      <c r="C398" s="61" t="s">
        <v>741</v>
      </c>
      <c r="D398" s="50" t="e">
        <f>SUM(#REF!)</f>
        <v>#REF!</v>
      </c>
      <c r="E398" s="50" t="e">
        <f>SUM(#REF!)</f>
        <v>#REF!</v>
      </c>
      <c r="F398" s="47"/>
    </row>
    <row r="399" hidden="1" outlineLevel="2" spans="2:6">
      <c r="B399" s="65" t="s">
        <v>742</v>
      </c>
      <c r="C399" s="61" t="s">
        <v>743</v>
      </c>
      <c r="D399" s="50" t="e">
        <f>SUM(#REF!)</f>
        <v>#REF!</v>
      </c>
      <c r="E399" s="50" t="e">
        <f>SUM(#REF!)</f>
        <v>#REF!</v>
      </c>
      <c r="F399" s="47"/>
    </row>
    <row r="400" hidden="1" outlineLevel="2" spans="2:6">
      <c r="B400" s="65" t="s">
        <v>744</v>
      </c>
      <c r="C400" s="61" t="s">
        <v>745</v>
      </c>
      <c r="D400" s="50" t="e">
        <f>SUM(#REF!)</f>
        <v>#REF!</v>
      </c>
      <c r="E400" s="50" t="e">
        <f>SUM(#REF!)</f>
        <v>#REF!</v>
      </c>
      <c r="F400" s="47"/>
    </row>
    <row r="401" hidden="1" outlineLevel="2" spans="2:6">
      <c r="B401" s="65" t="s">
        <v>746</v>
      </c>
      <c r="C401" s="61" t="s">
        <v>722</v>
      </c>
      <c r="D401" s="50" t="e">
        <f>SUM(#REF!)</f>
        <v>#REF!</v>
      </c>
      <c r="E401" s="50" t="e">
        <f>SUM(#REF!)</f>
        <v>#REF!</v>
      </c>
      <c r="F401" s="47"/>
    </row>
    <row r="402" hidden="1" outlineLevel="1" collapsed="1" spans="2:6">
      <c r="B402" s="63">
        <v>5.3</v>
      </c>
      <c r="C402" s="61" t="s">
        <v>747</v>
      </c>
      <c r="D402" s="64" t="e">
        <f>SUM(#REF!)</f>
        <v>#REF!</v>
      </c>
      <c r="E402" s="64" t="e">
        <f>SUM(#REF!)</f>
        <v>#REF!</v>
      </c>
      <c r="F402" s="47"/>
    </row>
    <row r="403" hidden="1" outlineLevel="2" spans="2:6">
      <c r="B403" s="65" t="s">
        <v>748</v>
      </c>
      <c r="C403" s="61" t="s">
        <v>710</v>
      </c>
      <c r="D403" s="50" t="e">
        <f>SUM(#REF!)</f>
        <v>#REF!</v>
      </c>
      <c r="E403" s="50" t="e">
        <f>SUM(#REF!)</f>
        <v>#REF!</v>
      </c>
      <c r="F403" s="47"/>
    </row>
    <row r="404" hidden="1" outlineLevel="2" spans="2:6">
      <c r="B404" s="65" t="s">
        <v>749</v>
      </c>
      <c r="C404" s="61" t="s">
        <v>712</v>
      </c>
      <c r="D404" s="50" t="e">
        <f>SUM(#REF!)</f>
        <v>#REF!</v>
      </c>
      <c r="E404" s="50" t="e">
        <f>SUM(#REF!)</f>
        <v>#REF!</v>
      </c>
      <c r="F404" s="47"/>
    </row>
    <row r="405" hidden="1" outlineLevel="2" spans="2:6">
      <c r="B405" s="65" t="s">
        <v>750</v>
      </c>
      <c r="C405" s="61" t="s">
        <v>714</v>
      </c>
      <c r="D405" s="50" t="e">
        <f>SUM(#REF!)</f>
        <v>#REF!</v>
      </c>
      <c r="E405" s="50" t="e">
        <f>SUM(#REF!)</f>
        <v>#REF!</v>
      </c>
      <c r="F405" s="47"/>
    </row>
    <row r="406" hidden="1" outlineLevel="2" spans="2:6">
      <c r="B406" s="65" t="s">
        <v>751</v>
      </c>
      <c r="C406" s="61" t="s">
        <v>283</v>
      </c>
      <c r="D406" s="50" t="e">
        <f>SUM(#REF!)</f>
        <v>#REF!</v>
      </c>
      <c r="E406" s="50" t="e">
        <f>SUM(#REF!)</f>
        <v>#REF!</v>
      </c>
      <c r="F406" s="47"/>
    </row>
    <row r="407" hidden="1" outlineLevel="2" spans="2:6">
      <c r="B407" s="65" t="s">
        <v>752</v>
      </c>
      <c r="C407" s="61" t="s">
        <v>735</v>
      </c>
      <c r="D407" s="50" t="e">
        <f>SUM(#REF!)</f>
        <v>#REF!</v>
      </c>
      <c r="E407" s="50" t="e">
        <f>SUM(#REF!)</f>
        <v>#REF!</v>
      </c>
      <c r="F407" s="47"/>
    </row>
    <row r="408" hidden="1" outlineLevel="2" spans="2:6">
      <c r="B408" s="65" t="s">
        <v>753</v>
      </c>
      <c r="C408" s="61" t="s">
        <v>754</v>
      </c>
      <c r="D408" s="50" t="e">
        <f>SUM(#REF!)</f>
        <v>#REF!</v>
      </c>
      <c r="E408" s="50" t="e">
        <f>SUM(#REF!)</f>
        <v>#REF!</v>
      </c>
      <c r="F408" s="47"/>
    </row>
    <row r="409" hidden="1" outlineLevel="2" spans="2:6">
      <c r="B409" s="65" t="s">
        <v>755</v>
      </c>
      <c r="C409" s="61" t="s">
        <v>756</v>
      </c>
      <c r="D409" s="50" t="e">
        <f>SUM(#REF!)</f>
        <v>#REF!</v>
      </c>
      <c r="E409" s="50" t="e">
        <f>SUM(#REF!)</f>
        <v>#REF!</v>
      </c>
      <c r="F409" s="47"/>
    </row>
    <row r="410" hidden="1" outlineLevel="2" spans="2:6">
      <c r="B410" s="65" t="s">
        <v>757</v>
      </c>
      <c r="C410" s="61" t="s">
        <v>758</v>
      </c>
      <c r="D410" s="50" t="e">
        <f>SUM(#REF!)</f>
        <v>#REF!</v>
      </c>
      <c r="E410" s="50" t="e">
        <f>SUM(#REF!)</f>
        <v>#REF!</v>
      </c>
      <c r="F410" s="47"/>
    </row>
    <row r="411" hidden="1" outlineLevel="2" spans="2:6">
      <c r="B411" s="65" t="s">
        <v>759</v>
      </c>
      <c r="C411" s="61" t="s">
        <v>760</v>
      </c>
      <c r="D411" s="50" t="e">
        <f>SUM(#REF!)</f>
        <v>#REF!</v>
      </c>
      <c r="E411" s="50" t="e">
        <f>SUM(#REF!)</f>
        <v>#REF!</v>
      </c>
      <c r="F411" s="47"/>
    </row>
    <row r="412" hidden="1" outlineLevel="2" spans="2:6">
      <c r="B412" s="65" t="s">
        <v>761</v>
      </c>
      <c r="C412" s="61" t="s">
        <v>762</v>
      </c>
      <c r="D412" s="50" t="e">
        <f>SUM(#REF!)</f>
        <v>#REF!</v>
      </c>
      <c r="E412" s="50" t="e">
        <f>SUM(#REF!)</f>
        <v>#REF!</v>
      </c>
      <c r="F412" s="47"/>
    </row>
    <row r="413" hidden="1" outlineLevel="2" spans="2:6">
      <c r="B413" s="65" t="s">
        <v>763</v>
      </c>
      <c r="C413" s="61" t="s">
        <v>764</v>
      </c>
      <c r="D413" s="50" t="e">
        <f>SUM(#REF!)</f>
        <v>#REF!</v>
      </c>
      <c r="E413" s="50" t="e">
        <f>SUM(#REF!)</f>
        <v>#REF!</v>
      </c>
      <c r="F413" s="47"/>
    </row>
    <row r="414" hidden="1" outlineLevel="2" spans="2:6">
      <c r="B414" s="65" t="s">
        <v>765</v>
      </c>
      <c r="C414" s="61" t="s">
        <v>766</v>
      </c>
      <c r="D414" s="50" t="e">
        <f>SUM(#REF!)</f>
        <v>#REF!</v>
      </c>
      <c r="E414" s="50" t="e">
        <f>SUM(#REF!)</f>
        <v>#REF!</v>
      </c>
      <c r="F414" s="47"/>
    </row>
    <row r="415" hidden="1" outlineLevel="2" spans="2:6">
      <c r="B415" s="65" t="s">
        <v>767</v>
      </c>
      <c r="C415" s="61" t="s">
        <v>722</v>
      </c>
      <c r="D415" s="50" t="e">
        <f>SUM(#REF!)</f>
        <v>#REF!</v>
      </c>
      <c r="E415" s="50" t="e">
        <f>SUM(#REF!)</f>
        <v>#REF!</v>
      </c>
      <c r="F415" s="47"/>
    </row>
    <row r="416" hidden="1" outlineLevel="1" collapsed="1" spans="2:6">
      <c r="B416" s="63">
        <v>5.4</v>
      </c>
      <c r="C416" s="61" t="s">
        <v>768</v>
      </c>
      <c r="D416" s="64" t="e">
        <f>SUM(#REF!)</f>
        <v>#REF!</v>
      </c>
      <c r="E416" s="64" t="e">
        <f>SUM(#REF!)</f>
        <v>#REF!</v>
      </c>
      <c r="F416" s="47"/>
    </row>
    <row r="417" hidden="1" outlineLevel="2" spans="2:6">
      <c r="B417" s="65" t="s">
        <v>769</v>
      </c>
      <c r="C417" s="61" t="s">
        <v>710</v>
      </c>
      <c r="D417" s="50" t="e">
        <f>SUM(#REF!)</f>
        <v>#REF!</v>
      </c>
      <c r="E417" s="50" t="e">
        <f>SUM(#REF!)</f>
        <v>#REF!</v>
      </c>
      <c r="F417" s="47"/>
    </row>
    <row r="418" hidden="1" outlineLevel="2" spans="2:6">
      <c r="B418" s="65" t="s">
        <v>770</v>
      </c>
      <c r="C418" s="61" t="s">
        <v>712</v>
      </c>
      <c r="D418" s="50" t="e">
        <f>SUM(#REF!)</f>
        <v>#REF!</v>
      </c>
      <c r="E418" s="50" t="e">
        <f>SUM(#REF!)</f>
        <v>#REF!</v>
      </c>
      <c r="F418" s="47"/>
    </row>
    <row r="419" hidden="1" outlineLevel="2" spans="2:6">
      <c r="B419" s="65" t="s">
        <v>771</v>
      </c>
      <c r="C419" s="61" t="s">
        <v>714</v>
      </c>
      <c r="D419" s="50" t="e">
        <f>SUM(#REF!)</f>
        <v>#REF!</v>
      </c>
      <c r="E419" s="50" t="e">
        <f>SUM(#REF!)</f>
        <v>#REF!</v>
      </c>
      <c r="F419" s="47"/>
    </row>
    <row r="420" hidden="1" outlineLevel="2" spans="2:6">
      <c r="B420" s="65" t="s">
        <v>772</v>
      </c>
      <c r="C420" s="61" t="s">
        <v>773</v>
      </c>
      <c r="D420" s="50" t="e">
        <f>SUM(#REF!)</f>
        <v>#REF!</v>
      </c>
      <c r="E420" s="50" t="e">
        <f>SUM(#REF!)</f>
        <v>#REF!</v>
      </c>
      <c r="F420" s="47"/>
    </row>
    <row r="421" hidden="1" outlineLevel="2" spans="2:6">
      <c r="B421" s="65" t="s">
        <v>774</v>
      </c>
      <c r="C421" s="61" t="s">
        <v>775</v>
      </c>
      <c r="D421" s="50" t="e">
        <f>SUM(#REF!)</f>
        <v>#REF!</v>
      </c>
      <c r="E421" s="50" t="e">
        <f>SUM(#REF!)</f>
        <v>#REF!</v>
      </c>
      <c r="F421" s="47"/>
    </row>
    <row r="422" hidden="1" outlineLevel="2" spans="2:6">
      <c r="B422" s="65" t="s">
        <v>776</v>
      </c>
      <c r="C422" s="61" t="s">
        <v>777</v>
      </c>
      <c r="D422" s="50" t="e">
        <f>SUM(#REF!)</f>
        <v>#REF!</v>
      </c>
      <c r="E422" s="50" t="e">
        <f>SUM(#REF!)</f>
        <v>#REF!</v>
      </c>
      <c r="F422" s="47"/>
    </row>
    <row r="423" hidden="1" outlineLevel="2" spans="2:6">
      <c r="B423" s="65" t="s">
        <v>778</v>
      </c>
      <c r="C423" s="61" t="s">
        <v>779</v>
      </c>
      <c r="D423" s="50" t="e">
        <f>SUM(#REF!)</f>
        <v>#REF!</v>
      </c>
      <c r="E423" s="50" t="e">
        <f>SUM(#REF!)</f>
        <v>#REF!</v>
      </c>
      <c r="F423" s="47"/>
    </row>
    <row r="424" hidden="1" outlineLevel="2" spans="2:6">
      <c r="B424" s="65" t="s">
        <v>780</v>
      </c>
      <c r="C424" s="61" t="s">
        <v>781</v>
      </c>
      <c r="D424" s="50" t="e">
        <f>SUM(#REF!)</f>
        <v>#REF!</v>
      </c>
      <c r="E424" s="50" t="e">
        <f>SUM(#REF!)</f>
        <v>#REF!</v>
      </c>
      <c r="F424" s="47"/>
    </row>
    <row r="425" hidden="1" outlineLevel="2" spans="2:6">
      <c r="B425" s="65" t="s">
        <v>782</v>
      </c>
      <c r="C425" s="61" t="s">
        <v>783</v>
      </c>
      <c r="D425" s="50" t="e">
        <f>SUM(#REF!)</f>
        <v>#REF!</v>
      </c>
      <c r="E425" s="50" t="e">
        <f>SUM(#REF!)</f>
        <v>#REF!</v>
      </c>
      <c r="F425" s="47"/>
    </row>
    <row r="426" hidden="1" outlineLevel="2" spans="2:6">
      <c r="B426" s="65" t="s">
        <v>784</v>
      </c>
      <c r="C426" s="61" t="s">
        <v>785</v>
      </c>
      <c r="D426" s="50" t="e">
        <f>SUM(#REF!)</f>
        <v>#REF!</v>
      </c>
      <c r="E426" s="50" t="e">
        <f>SUM(#REF!)</f>
        <v>#REF!</v>
      </c>
      <c r="F426" s="47"/>
    </row>
    <row r="427" hidden="1" outlineLevel="2" spans="2:6">
      <c r="B427" s="65" t="s">
        <v>786</v>
      </c>
      <c r="C427" s="61" t="s">
        <v>787</v>
      </c>
      <c r="D427" s="50" t="e">
        <f>SUM(#REF!)</f>
        <v>#REF!</v>
      </c>
      <c r="E427" s="50" t="e">
        <f>SUM(#REF!)</f>
        <v>#REF!</v>
      </c>
      <c r="F427" s="47"/>
    </row>
    <row r="428" hidden="1" outlineLevel="2" spans="2:6">
      <c r="B428" s="65" t="s">
        <v>788</v>
      </c>
      <c r="C428" s="61" t="s">
        <v>789</v>
      </c>
      <c r="D428" s="50" t="e">
        <f>SUM(#REF!)</f>
        <v>#REF!</v>
      </c>
      <c r="E428" s="50" t="e">
        <f>SUM(#REF!)</f>
        <v>#REF!</v>
      </c>
      <c r="F428" s="47"/>
    </row>
    <row r="429" hidden="1" outlineLevel="2" spans="2:6">
      <c r="B429" s="65" t="s">
        <v>790</v>
      </c>
      <c r="C429" s="61" t="s">
        <v>791</v>
      </c>
      <c r="D429" s="50" t="e">
        <f>SUM(#REF!)</f>
        <v>#REF!</v>
      </c>
      <c r="E429" s="50" t="e">
        <f>SUM(#REF!)</f>
        <v>#REF!</v>
      </c>
      <c r="F429" s="47"/>
    </row>
    <row r="430" hidden="1" outlineLevel="2" spans="2:6">
      <c r="B430" s="65" t="s">
        <v>792</v>
      </c>
      <c r="C430" s="61" t="s">
        <v>793</v>
      </c>
      <c r="D430" s="50" t="e">
        <f>SUM(#REF!)</f>
        <v>#REF!</v>
      </c>
      <c r="E430" s="50" t="e">
        <f>SUM(#REF!)</f>
        <v>#REF!</v>
      </c>
      <c r="F430" s="47"/>
    </row>
    <row r="431" hidden="1" outlineLevel="2" spans="2:6">
      <c r="B431" s="65" t="s">
        <v>794</v>
      </c>
      <c r="C431" s="61" t="s">
        <v>795</v>
      </c>
      <c r="D431" s="50" t="e">
        <f>SUM(#REF!)</f>
        <v>#REF!</v>
      </c>
      <c r="E431" s="50" t="e">
        <f>SUM(#REF!)</f>
        <v>#REF!</v>
      </c>
      <c r="F431" s="47"/>
    </row>
    <row r="432" hidden="1" outlineLevel="2" spans="2:6">
      <c r="B432" s="65" t="s">
        <v>796</v>
      </c>
      <c r="C432" s="61" t="s">
        <v>797</v>
      </c>
      <c r="D432" s="50" t="e">
        <f>SUM(#REF!)</f>
        <v>#REF!</v>
      </c>
      <c r="E432" s="50" t="e">
        <f>SUM(#REF!)</f>
        <v>#REF!</v>
      </c>
      <c r="F432" s="47"/>
    </row>
    <row r="433" hidden="1" outlineLevel="2" spans="2:6">
      <c r="B433" s="65" t="s">
        <v>798</v>
      </c>
      <c r="C433" s="61" t="s">
        <v>799</v>
      </c>
      <c r="D433" s="50" t="e">
        <f>SUM(#REF!)</f>
        <v>#REF!</v>
      </c>
      <c r="E433" s="50" t="e">
        <f>SUM(#REF!)</f>
        <v>#REF!</v>
      </c>
      <c r="F433" s="47"/>
    </row>
    <row r="434" hidden="1" outlineLevel="2" spans="2:6">
      <c r="B434" s="65" t="s">
        <v>800</v>
      </c>
      <c r="C434" s="61" t="s">
        <v>722</v>
      </c>
      <c r="D434" s="50" t="e">
        <f>SUM(#REF!)</f>
        <v>#REF!</v>
      </c>
      <c r="E434" s="50" t="e">
        <f>SUM(#REF!)</f>
        <v>#REF!</v>
      </c>
      <c r="F434" s="47"/>
    </row>
    <row r="435" hidden="1" outlineLevel="1" collapsed="1" spans="2:6">
      <c r="B435" s="63">
        <v>5.5</v>
      </c>
      <c r="C435" s="66" t="s">
        <v>801</v>
      </c>
      <c r="D435" s="64" t="e">
        <f>SUM(#REF!)</f>
        <v>#REF!</v>
      </c>
      <c r="E435" s="64" t="e">
        <f>SUM(#REF!)</f>
        <v>#REF!</v>
      </c>
      <c r="F435" s="47"/>
    </row>
    <row r="436" hidden="1" outlineLevel="2" spans="2:6">
      <c r="B436" s="65" t="s">
        <v>802</v>
      </c>
      <c r="C436" s="61" t="s">
        <v>710</v>
      </c>
      <c r="D436" s="50" t="e">
        <f>SUM(#REF!)</f>
        <v>#REF!</v>
      </c>
      <c r="E436" s="50" t="e">
        <f>SUM(#REF!)</f>
        <v>#REF!</v>
      </c>
      <c r="F436" s="47"/>
    </row>
    <row r="437" hidden="1" outlineLevel="2" spans="2:6">
      <c r="B437" s="65" t="s">
        <v>803</v>
      </c>
      <c r="C437" s="61" t="s">
        <v>712</v>
      </c>
      <c r="D437" s="50" t="e">
        <f>SUM(#REF!)</f>
        <v>#REF!</v>
      </c>
      <c r="E437" s="50" t="e">
        <f>SUM(#REF!)</f>
        <v>#REF!</v>
      </c>
      <c r="F437" s="47"/>
    </row>
    <row r="438" hidden="1" outlineLevel="2" spans="2:6">
      <c r="B438" s="65" t="s">
        <v>804</v>
      </c>
      <c r="C438" s="61" t="s">
        <v>714</v>
      </c>
      <c r="D438" s="50" t="e">
        <f>SUM(#REF!)</f>
        <v>#REF!</v>
      </c>
      <c r="E438" s="50" t="e">
        <f>SUM(#REF!)</f>
        <v>#REF!</v>
      </c>
      <c r="F438" s="47"/>
    </row>
    <row r="439" hidden="1" outlineLevel="2" spans="2:6">
      <c r="B439" s="65" t="s">
        <v>805</v>
      </c>
      <c r="C439" s="61" t="s">
        <v>773</v>
      </c>
      <c r="D439" s="50" t="e">
        <f>SUM(#REF!)</f>
        <v>#REF!</v>
      </c>
      <c r="E439" s="50" t="e">
        <f>SUM(#REF!)</f>
        <v>#REF!</v>
      </c>
      <c r="F439" s="47"/>
    </row>
    <row r="440" hidden="1" outlineLevel="2" spans="2:6">
      <c r="B440" s="65" t="s">
        <v>806</v>
      </c>
      <c r="C440" s="61" t="s">
        <v>775</v>
      </c>
      <c r="D440" s="50" t="e">
        <f>SUM(#REF!)</f>
        <v>#REF!</v>
      </c>
      <c r="E440" s="50" t="e">
        <f>SUM(#REF!)</f>
        <v>#REF!</v>
      </c>
      <c r="F440" s="47"/>
    </row>
    <row r="441" hidden="1" outlineLevel="2" spans="2:6">
      <c r="B441" s="65" t="s">
        <v>807</v>
      </c>
      <c r="C441" s="61" t="s">
        <v>777</v>
      </c>
      <c r="D441" s="50" t="e">
        <f>SUM(#REF!)</f>
        <v>#REF!</v>
      </c>
      <c r="E441" s="50" t="e">
        <f>SUM(#REF!)</f>
        <v>#REF!</v>
      </c>
      <c r="F441" s="47"/>
    </row>
    <row r="442" hidden="1" outlineLevel="2" spans="2:6">
      <c r="B442" s="65" t="s">
        <v>808</v>
      </c>
      <c r="C442" s="61" t="s">
        <v>779</v>
      </c>
      <c r="D442" s="50" t="e">
        <f>SUM(#REF!)</f>
        <v>#REF!</v>
      </c>
      <c r="E442" s="50" t="e">
        <f>SUM(#REF!)</f>
        <v>#REF!</v>
      </c>
      <c r="F442" s="47"/>
    </row>
    <row r="443" hidden="1" outlineLevel="2" spans="2:6">
      <c r="B443" s="65" t="s">
        <v>809</v>
      </c>
      <c r="C443" s="61" t="s">
        <v>810</v>
      </c>
      <c r="D443" s="50" t="e">
        <f>SUM(#REF!)</f>
        <v>#REF!</v>
      </c>
      <c r="E443" s="50" t="e">
        <f>SUM(#REF!)</f>
        <v>#REF!</v>
      </c>
      <c r="F443" s="47"/>
    </row>
    <row r="444" hidden="1" outlineLevel="2" spans="2:6">
      <c r="B444" s="65" t="s">
        <v>811</v>
      </c>
      <c r="C444" s="61" t="s">
        <v>785</v>
      </c>
      <c r="D444" s="50" t="e">
        <f>SUM(#REF!)</f>
        <v>#REF!</v>
      </c>
      <c r="E444" s="50" t="e">
        <f>SUM(#REF!)</f>
        <v>#REF!</v>
      </c>
      <c r="F444" s="47"/>
    </row>
    <row r="445" hidden="1" outlineLevel="2" spans="2:6">
      <c r="B445" s="65" t="s">
        <v>812</v>
      </c>
      <c r="C445" s="61" t="s">
        <v>787</v>
      </c>
      <c r="D445" s="50" t="e">
        <f>SUM(#REF!)</f>
        <v>#REF!</v>
      </c>
      <c r="E445" s="50" t="e">
        <f>SUM(#REF!)</f>
        <v>#REF!</v>
      </c>
      <c r="F445" s="47"/>
    </row>
    <row r="446" hidden="1" outlineLevel="2" spans="2:6">
      <c r="B446" s="65" t="s">
        <v>813</v>
      </c>
      <c r="C446" s="61" t="s">
        <v>789</v>
      </c>
      <c r="D446" s="50" t="e">
        <f>SUM(#REF!)</f>
        <v>#REF!</v>
      </c>
      <c r="E446" s="50" t="e">
        <f>SUM(#REF!)</f>
        <v>#REF!</v>
      </c>
      <c r="F446" s="47"/>
    </row>
    <row r="447" hidden="1" outlineLevel="2" spans="2:6">
      <c r="B447" s="65" t="s">
        <v>814</v>
      </c>
      <c r="C447" s="61" t="s">
        <v>815</v>
      </c>
      <c r="D447" s="50" t="e">
        <f>SUM(#REF!)</f>
        <v>#REF!</v>
      </c>
      <c r="E447" s="50" t="e">
        <f>SUM(#REF!)</f>
        <v>#REF!</v>
      </c>
      <c r="F447" s="47"/>
    </row>
    <row r="448" hidden="1" outlineLevel="2" spans="2:6">
      <c r="B448" s="65" t="s">
        <v>816</v>
      </c>
      <c r="C448" s="61" t="s">
        <v>791</v>
      </c>
      <c r="D448" s="50" t="e">
        <f>SUM(#REF!)</f>
        <v>#REF!</v>
      </c>
      <c r="E448" s="50" t="e">
        <f>SUM(#REF!)</f>
        <v>#REF!</v>
      </c>
      <c r="F448" s="47"/>
    </row>
    <row r="449" hidden="1" outlineLevel="2" spans="2:6">
      <c r="B449" s="65" t="s">
        <v>817</v>
      </c>
      <c r="C449" s="61" t="s">
        <v>793</v>
      </c>
      <c r="D449" s="50" t="e">
        <f>SUM(#REF!)</f>
        <v>#REF!</v>
      </c>
      <c r="E449" s="50" t="e">
        <f>SUM(#REF!)</f>
        <v>#REF!</v>
      </c>
      <c r="F449" s="47"/>
    </row>
    <row r="450" hidden="1" outlineLevel="2" spans="2:6">
      <c r="B450" s="65" t="s">
        <v>818</v>
      </c>
      <c r="C450" s="61" t="s">
        <v>819</v>
      </c>
      <c r="D450" s="50" t="e">
        <f>SUM(#REF!)</f>
        <v>#REF!</v>
      </c>
      <c r="E450" s="50" t="e">
        <f>SUM(#REF!)</f>
        <v>#REF!</v>
      </c>
      <c r="F450" s="47"/>
    </row>
    <row r="451" hidden="1" outlineLevel="2" spans="2:6">
      <c r="B451" s="65" t="s">
        <v>820</v>
      </c>
      <c r="C451" s="61" t="s">
        <v>821</v>
      </c>
      <c r="D451" s="50" t="e">
        <f>SUM(#REF!)</f>
        <v>#REF!</v>
      </c>
      <c r="E451" s="50" t="e">
        <f>SUM(#REF!)</f>
        <v>#REF!</v>
      </c>
      <c r="F451" s="47"/>
    </row>
    <row r="452" hidden="1" outlineLevel="2" spans="2:6">
      <c r="B452" s="65" t="s">
        <v>822</v>
      </c>
      <c r="C452" s="61" t="s">
        <v>823</v>
      </c>
      <c r="D452" s="50" t="e">
        <f>SUM(#REF!)</f>
        <v>#REF!</v>
      </c>
      <c r="E452" s="50" t="e">
        <f>SUM(#REF!)</f>
        <v>#REF!</v>
      </c>
      <c r="F452" s="47"/>
    </row>
    <row r="453" hidden="1" outlineLevel="2" spans="2:6">
      <c r="B453" s="65" t="s">
        <v>824</v>
      </c>
      <c r="C453" s="61" t="s">
        <v>825</v>
      </c>
      <c r="D453" s="50" t="e">
        <f>SUM(#REF!)</f>
        <v>#REF!</v>
      </c>
      <c r="E453" s="50" t="e">
        <f>SUM(#REF!)</f>
        <v>#REF!</v>
      </c>
      <c r="F453" s="47"/>
    </row>
    <row r="454" hidden="1" outlineLevel="2" spans="2:6">
      <c r="B454" s="65" t="s">
        <v>826</v>
      </c>
      <c r="C454" s="61" t="s">
        <v>827</v>
      </c>
      <c r="D454" s="50" t="e">
        <f>SUM(#REF!)</f>
        <v>#REF!</v>
      </c>
      <c r="E454" s="50" t="e">
        <f>SUM(#REF!)</f>
        <v>#REF!</v>
      </c>
      <c r="F454" s="47"/>
    </row>
    <row r="455" hidden="1" outlineLevel="2" spans="2:6">
      <c r="B455" s="65" t="s">
        <v>828</v>
      </c>
      <c r="C455" s="61" t="s">
        <v>829</v>
      </c>
      <c r="D455" s="50" t="e">
        <f>SUM(#REF!)</f>
        <v>#REF!</v>
      </c>
      <c r="E455" s="50" t="e">
        <f>SUM(#REF!)</f>
        <v>#REF!</v>
      </c>
      <c r="F455" s="47"/>
    </row>
    <row r="456" hidden="1" outlineLevel="2" spans="2:6">
      <c r="B456" s="65" t="s">
        <v>830</v>
      </c>
      <c r="C456" s="61" t="s">
        <v>831</v>
      </c>
      <c r="D456" s="50" t="e">
        <f>SUM(#REF!)</f>
        <v>#REF!</v>
      </c>
      <c r="E456" s="50" t="e">
        <f>SUM(#REF!)</f>
        <v>#REF!</v>
      </c>
      <c r="F456" s="47"/>
    </row>
    <row r="457" hidden="1" outlineLevel="2" spans="2:6">
      <c r="B457" s="65" t="s">
        <v>832</v>
      </c>
      <c r="C457" s="61" t="s">
        <v>833</v>
      </c>
      <c r="D457" s="50" t="e">
        <f>SUM(#REF!)</f>
        <v>#REF!</v>
      </c>
      <c r="E457" s="50" t="e">
        <f>SUM(#REF!)</f>
        <v>#REF!</v>
      </c>
      <c r="F457" s="47"/>
    </row>
    <row r="458" hidden="1" outlineLevel="2" spans="2:6">
      <c r="B458" s="65" t="s">
        <v>834</v>
      </c>
      <c r="C458" s="61" t="s">
        <v>797</v>
      </c>
      <c r="D458" s="50" t="e">
        <f>SUM(#REF!)</f>
        <v>#REF!</v>
      </c>
      <c r="E458" s="50" t="e">
        <f>SUM(#REF!)</f>
        <v>#REF!</v>
      </c>
      <c r="F458" s="47"/>
    </row>
    <row r="459" hidden="1" outlineLevel="2" spans="2:6">
      <c r="B459" s="65" t="s">
        <v>835</v>
      </c>
      <c r="C459" s="61" t="s">
        <v>799</v>
      </c>
      <c r="D459" s="50" t="e">
        <f>SUM(#REF!)</f>
        <v>#REF!</v>
      </c>
      <c r="E459" s="50" t="e">
        <f>SUM(#REF!)</f>
        <v>#REF!</v>
      </c>
      <c r="F459" s="47"/>
    </row>
    <row r="460" hidden="1" outlineLevel="2" spans="2:6">
      <c r="B460" s="65" t="s">
        <v>836</v>
      </c>
      <c r="C460" s="61" t="s">
        <v>722</v>
      </c>
      <c r="D460" s="50" t="e">
        <f>SUM(#REF!)</f>
        <v>#REF!</v>
      </c>
      <c r="E460" s="50" t="e">
        <f>SUM(#REF!)</f>
        <v>#REF!</v>
      </c>
      <c r="F460" s="47"/>
    </row>
    <row r="461" hidden="1" outlineLevel="1" collapsed="1" spans="2:6">
      <c r="B461" s="63">
        <v>5.6</v>
      </c>
      <c r="C461" s="61" t="s">
        <v>837</v>
      </c>
      <c r="D461" s="64" t="e">
        <f>SUM(#REF!)</f>
        <v>#REF!</v>
      </c>
      <c r="E461" s="64" t="e">
        <f>SUM(#REF!)</f>
        <v>#REF!</v>
      </c>
      <c r="F461" s="47"/>
    </row>
    <row r="462" hidden="1" outlineLevel="2" spans="2:6">
      <c r="B462" s="65" t="s">
        <v>838</v>
      </c>
      <c r="C462" s="61" t="s">
        <v>710</v>
      </c>
      <c r="D462" s="50" t="e">
        <f>SUM(#REF!)</f>
        <v>#REF!</v>
      </c>
      <c r="E462" s="50" t="e">
        <f>SUM(#REF!)</f>
        <v>#REF!</v>
      </c>
      <c r="F462" s="47"/>
    </row>
    <row r="463" hidden="1" outlineLevel="2" spans="2:6">
      <c r="B463" s="65" t="s">
        <v>839</v>
      </c>
      <c r="C463" s="61" t="s">
        <v>714</v>
      </c>
      <c r="D463" s="50" t="e">
        <f>SUM(#REF!)</f>
        <v>#REF!</v>
      </c>
      <c r="E463" s="50" t="e">
        <f>SUM(#REF!)</f>
        <v>#REF!</v>
      </c>
      <c r="F463" s="47"/>
    </row>
    <row r="464" hidden="1" outlineLevel="2" spans="2:6">
      <c r="B464" s="65" t="s">
        <v>840</v>
      </c>
      <c r="C464" s="61" t="s">
        <v>841</v>
      </c>
      <c r="D464" s="50" t="e">
        <f>SUM(#REF!)</f>
        <v>#REF!</v>
      </c>
      <c r="E464" s="50" t="e">
        <f>SUM(#REF!)</f>
        <v>#REF!</v>
      </c>
      <c r="F464" s="47"/>
    </row>
    <row r="465" hidden="1" outlineLevel="2" spans="2:6">
      <c r="B465" s="65" t="s">
        <v>842</v>
      </c>
      <c r="C465" s="61" t="s">
        <v>785</v>
      </c>
      <c r="D465" s="50" t="e">
        <f>SUM(#REF!)</f>
        <v>#REF!</v>
      </c>
      <c r="E465" s="50" t="e">
        <f>SUM(#REF!)</f>
        <v>#REF!</v>
      </c>
      <c r="F465" s="47"/>
    </row>
    <row r="466" hidden="1" outlineLevel="2" spans="2:6">
      <c r="B466" s="65" t="s">
        <v>843</v>
      </c>
      <c r="C466" s="61" t="s">
        <v>844</v>
      </c>
      <c r="D466" s="50" t="e">
        <f>SUM(#REF!)</f>
        <v>#REF!</v>
      </c>
      <c r="E466" s="50" t="e">
        <f>SUM(#REF!)</f>
        <v>#REF!</v>
      </c>
      <c r="F466" s="47"/>
    </row>
    <row r="467" hidden="1" outlineLevel="2" spans="2:6">
      <c r="B467" s="65" t="s">
        <v>845</v>
      </c>
      <c r="C467" s="61" t="s">
        <v>722</v>
      </c>
      <c r="D467" s="50" t="e">
        <f>SUM(#REF!)</f>
        <v>#REF!</v>
      </c>
      <c r="E467" s="50" t="e">
        <f>SUM(#REF!)</f>
        <v>#REF!</v>
      </c>
      <c r="F467" s="47"/>
    </row>
    <row r="468" hidden="1" outlineLevel="1" collapsed="1" spans="2:6">
      <c r="B468" s="63">
        <v>5.7</v>
      </c>
      <c r="C468" s="61" t="s">
        <v>364</v>
      </c>
      <c r="D468" s="64" t="e">
        <f>SUM(#REF!)</f>
        <v>#REF!</v>
      </c>
      <c r="E468" s="64" t="e">
        <f>SUM(#REF!)</f>
        <v>#REF!</v>
      </c>
      <c r="F468" s="47"/>
    </row>
    <row r="469" hidden="1" outlineLevel="2" spans="2:6">
      <c r="B469" s="65" t="s">
        <v>846</v>
      </c>
      <c r="C469" s="61" t="s">
        <v>710</v>
      </c>
      <c r="D469" s="50" t="e">
        <f>SUM(#REF!)</f>
        <v>#REF!</v>
      </c>
      <c r="E469" s="50" t="e">
        <f>SUM(#REF!)</f>
        <v>#REF!</v>
      </c>
      <c r="F469" s="47"/>
    </row>
    <row r="470" hidden="1" outlineLevel="2" spans="2:6">
      <c r="B470" s="65" t="s">
        <v>847</v>
      </c>
      <c r="C470" s="61" t="s">
        <v>712</v>
      </c>
      <c r="D470" s="50" t="e">
        <f>SUM(#REF!)</f>
        <v>#REF!</v>
      </c>
      <c r="E470" s="50" t="e">
        <f>SUM(#REF!)</f>
        <v>#REF!</v>
      </c>
      <c r="F470" s="47"/>
    </row>
    <row r="471" hidden="1" outlineLevel="2" spans="2:6">
      <c r="B471" s="65" t="s">
        <v>848</v>
      </c>
      <c r="C471" s="61" t="s">
        <v>714</v>
      </c>
      <c r="D471" s="50" t="e">
        <f>SUM(#REF!)</f>
        <v>#REF!</v>
      </c>
      <c r="E471" s="50" t="e">
        <f>SUM(#REF!)</f>
        <v>#REF!</v>
      </c>
      <c r="F471" s="47"/>
    </row>
    <row r="472" hidden="1" outlineLevel="2" spans="2:6">
      <c r="B472" s="65" t="s">
        <v>849</v>
      </c>
      <c r="C472" s="61" t="s">
        <v>773</v>
      </c>
      <c r="D472" s="50" t="e">
        <f>SUM(#REF!)</f>
        <v>#REF!</v>
      </c>
      <c r="E472" s="50" t="e">
        <f>SUM(#REF!)</f>
        <v>#REF!</v>
      </c>
      <c r="F472" s="47"/>
    </row>
    <row r="473" hidden="1" outlineLevel="2" spans="2:6">
      <c r="B473" s="65" t="s">
        <v>850</v>
      </c>
      <c r="C473" s="61" t="s">
        <v>775</v>
      </c>
      <c r="D473" s="50" t="e">
        <f>SUM(#REF!)</f>
        <v>#REF!</v>
      </c>
      <c r="E473" s="50" t="e">
        <f>SUM(#REF!)</f>
        <v>#REF!</v>
      </c>
      <c r="F473" s="47"/>
    </row>
    <row r="474" hidden="1" outlineLevel="2" spans="2:6">
      <c r="B474" s="65" t="s">
        <v>851</v>
      </c>
      <c r="C474" s="61" t="s">
        <v>777</v>
      </c>
      <c r="D474" s="50" t="e">
        <f>SUM(#REF!)</f>
        <v>#REF!</v>
      </c>
      <c r="E474" s="50" t="e">
        <f>SUM(#REF!)</f>
        <v>#REF!</v>
      </c>
      <c r="F474" s="47"/>
    </row>
    <row r="475" hidden="1" outlineLevel="2" spans="2:6">
      <c r="B475" s="65" t="s">
        <v>852</v>
      </c>
      <c r="C475" s="61" t="s">
        <v>853</v>
      </c>
      <c r="D475" s="50" t="e">
        <f>SUM(#REF!)</f>
        <v>#REF!</v>
      </c>
      <c r="E475" s="50" t="e">
        <f>SUM(#REF!)</f>
        <v>#REF!</v>
      </c>
      <c r="F475" s="47"/>
    </row>
    <row r="476" hidden="1" outlineLevel="2" spans="2:6">
      <c r="B476" s="65" t="s">
        <v>854</v>
      </c>
      <c r="C476" s="61" t="s">
        <v>810</v>
      </c>
      <c r="D476" s="50" t="e">
        <f>SUM(#REF!)</f>
        <v>#REF!</v>
      </c>
      <c r="E476" s="50" t="e">
        <f>SUM(#REF!)</f>
        <v>#REF!</v>
      </c>
      <c r="F476" s="47"/>
    </row>
    <row r="477" hidden="1" outlineLevel="2" spans="2:6">
      <c r="B477" s="65" t="s">
        <v>855</v>
      </c>
      <c r="C477" s="61" t="s">
        <v>785</v>
      </c>
      <c r="D477" s="50" t="e">
        <f>SUM(#REF!)</f>
        <v>#REF!</v>
      </c>
      <c r="E477" s="50" t="e">
        <f>SUM(#REF!)</f>
        <v>#REF!</v>
      </c>
      <c r="F477" s="47"/>
    </row>
    <row r="478" hidden="1" outlineLevel="2" spans="2:6">
      <c r="B478" s="65" t="s">
        <v>856</v>
      </c>
      <c r="C478" s="61" t="s">
        <v>787</v>
      </c>
      <c r="D478" s="50" t="e">
        <f>SUM(#REF!)</f>
        <v>#REF!</v>
      </c>
      <c r="E478" s="50" t="e">
        <f>SUM(#REF!)</f>
        <v>#REF!</v>
      </c>
      <c r="F478" s="47"/>
    </row>
    <row r="479" hidden="1" outlineLevel="2" spans="2:6">
      <c r="B479" s="65" t="s">
        <v>857</v>
      </c>
      <c r="C479" s="61" t="s">
        <v>858</v>
      </c>
      <c r="D479" s="50" t="e">
        <f>SUM(#REF!)</f>
        <v>#REF!</v>
      </c>
      <c r="E479" s="50" t="e">
        <f>SUM(#REF!)</f>
        <v>#REF!</v>
      </c>
      <c r="F479" s="47"/>
    </row>
    <row r="480" hidden="1" outlineLevel="2" spans="2:6">
      <c r="B480" s="65" t="s">
        <v>859</v>
      </c>
      <c r="C480" s="61" t="s">
        <v>791</v>
      </c>
      <c r="D480" s="50" t="e">
        <f>SUM(#REF!)</f>
        <v>#REF!</v>
      </c>
      <c r="E480" s="50" t="e">
        <f>SUM(#REF!)</f>
        <v>#REF!</v>
      </c>
      <c r="F480" s="47"/>
    </row>
    <row r="481" hidden="1" outlineLevel="2" spans="2:6">
      <c r="B481" s="65" t="s">
        <v>860</v>
      </c>
      <c r="C481" s="61" t="s">
        <v>793</v>
      </c>
      <c r="D481" s="50" t="e">
        <f>SUM(#REF!)</f>
        <v>#REF!</v>
      </c>
      <c r="E481" s="50" t="e">
        <f>SUM(#REF!)</f>
        <v>#REF!</v>
      </c>
      <c r="F481" s="47"/>
    </row>
    <row r="482" hidden="1" outlineLevel="2" spans="2:6">
      <c r="B482" s="65" t="s">
        <v>861</v>
      </c>
      <c r="C482" s="61" t="s">
        <v>819</v>
      </c>
      <c r="D482" s="50" t="e">
        <f>SUM(#REF!)</f>
        <v>#REF!</v>
      </c>
      <c r="E482" s="50" t="e">
        <f>SUM(#REF!)</f>
        <v>#REF!</v>
      </c>
      <c r="F482" s="47"/>
    </row>
    <row r="483" hidden="1" outlineLevel="2" spans="2:6">
      <c r="B483" s="65" t="s">
        <v>862</v>
      </c>
      <c r="C483" s="61" t="s">
        <v>863</v>
      </c>
      <c r="D483" s="50" t="e">
        <f>SUM(#REF!)</f>
        <v>#REF!</v>
      </c>
      <c r="E483" s="50" t="e">
        <f>SUM(#REF!)</f>
        <v>#REF!</v>
      </c>
      <c r="F483" s="47"/>
    </row>
    <row r="484" hidden="1" outlineLevel="2" spans="2:6">
      <c r="B484" s="65" t="s">
        <v>864</v>
      </c>
      <c r="C484" s="61" t="s">
        <v>865</v>
      </c>
      <c r="D484" s="50" t="e">
        <f>SUM(#REF!)</f>
        <v>#REF!</v>
      </c>
      <c r="E484" s="50" t="e">
        <f>SUM(#REF!)</f>
        <v>#REF!</v>
      </c>
      <c r="F484" s="47"/>
    </row>
    <row r="485" hidden="1" outlineLevel="2" spans="2:6">
      <c r="B485" s="65" t="s">
        <v>866</v>
      </c>
      <c r="C485" s="61" t="s">
        <v>823</v>
      </c>
      <c r="D485" s="50" t="e">
        <f>SUM(#REF!)</f>
        <v>#REF!</v>
      </c>
      <c r="E485" s="50" t="e">
        <f>SUM(#REF!)</f>
        <v>#REF!</v>
      </c>
      <c r="F485" s="47"/>
    </row>
    <row r="486" hidden="1" outlineLevel="2" spans="2:6">
      <c r="B486" s="65" t="s">
        <v>867</v>
      </c>
      <c r="C486" s="61" t="s">
        <v>868</v>
      </c>
      <c r="D486" s="50" t="e">
        <f>SUM(#REF!)</f>
        <v>#REF!</v>
      </c>
      <c r="E486" s="50" t="e">
        <f>SUM(#REF!)</f>
        <v>#REF!</v>
      </c>
      <c r="F486" s="47"/>
    </row>
    <row r="487" hidden="1" outlineLevel="2" spans="2:6">
      <c r="B487" s="65" t="s">
        <v>869</v>
      </c>
      <c r="C487" s="61" t="s">
        <v>829</v>
      </c>
      <c r="D487" s="50" t="e">
        <f>SUM(#REF!)</f>
        <v>#REF!</v>
      </c>
      <c r="E487" s="50" t="e">
        <f>SUM(#REF!)</f>
        <v>#REF!</v>
      </c>
      <c r="F487" s="47"/>
    </row>
    <row r="488" hidden="1" outlineLevel="2" spans="2:6">
      <c r="B488" s="65" t="s">
        <v>870</v>
      </c>
      <c r="C488" s="61" t="s">
        <v>871</v>
      </c>
      <c r="D488" s="50" t="e">
        <f>SUM(#REF!)</f>
        <v>#REF!</v>
      </c>
      <c r="E488" s="50" t="e">
        <f>SUM(#REF!)</f>
        <v>#REF!</v>
      </c>
      <c r="F488" s="47"/>
    </row>
    <row r="489" hidden="1" outlineLevel="2" spans="2:6">
      <c r="B489" s="65" t="s">
        <v>872</v>
      </c>
      <c r="C489" s="61" t="s">
        <v>873</v>
      </c>
      <c r="D489" s="50" t="e">
        <f>SUM(#REF!)</f>
        <v>#REF!</v>
      </c>
      <c r="E489" s="50" t="e">
        <f>SUM(#REF!)</f>
        <v>#REF!</v>
      </c>
      <c r="F489" s="47"/>
    </row>
    <row r="490" hidden="1" outlineLevel="2" spans="2:6">
      <c r="B490" s="65" t="s">
        <v>874</v>
      </c>
      <c r="C490" s="61" t="s">
        <v>797</v>
      </c>
      <c r="D490" s="50" t="e">
        <f>SUM(#REF!)</f>
        <v>#REF!</v>
      </c>
      <c r="E490" s="50" t="e">
        <f>SUM(#REF!)</f>
        <v>#REF!</v>
      </c>
      <c r="F490" s="47"/>
    </row>
    <row r="491" hidden="1" outlineLevel="2" spans="2:6">
      <c r="B491" s="65" t="s">
        <v>875</v>
      </c>
      <c r="C491" s="61" t="s">
        <v>799</v>
      </c>
      <c r="D491" s="50" t="e">
        <f>SUM(#REF!)</f>
        <v>#REF!</v>
      </c>
      <c r="E491" s="50" t="e">
        <f>SUM(#REF!)</f>
        <v>#REF!</v>
      </c>
      <c r="F491" s="47"/>
    </row>
    <row r="492" hidden="1" outlineLevel="2" spans="2:6">
      <c r="B492" s="65" t="s">
        <v>876</v>
      </c>
      <c r="C492" s="61" t="s">
        <v>722</v>
      </c>
      <c r="D492" s="50" t="e">
        <f>SUM(#REF!)</f>
        <v>#REF!</v>
      </c>
      <c r="E492" s="50" t="e">
        <f>SUM(#REF!)</f>
        <v>#REF!</v>
      </c>
      <c r="F492" s="47"/>
    </row>
    <row r="493" hidden="1" outlineLevel="1" collapsed="1" spans="2:6">
      <c r="B493" s="63">
        <v>5.8</v>
      </c>
      <c r="C493" s="61" t="s">
        <v>877</v>
      </c>
      <c r="D493" s="64" t="e">
        <f>SUM(#REF!)</f>
        <v>#REF!</v>
      </c>
      <c r="E493" s="64" t="e">
        <f>SUM(#REF!)</f>
        <v>#REF!</v>
      </c>
      <c r="F493" s="47"/>
    </row>
    <row r="494" hidden="1" outlineLevel="2" spans="2:6">
      <c r="B494" s="65" t="s">
        <v>878</v>
      </c>
      <c r="C494" s="61" t="s">
        <v>710</v>
      </c>
      <c r="D494" s="50" t="e">
        <f>SUM(#REF!)</f>
        <v>#REF!</v>
      </c>
      <c r="E494" s="50" t="e">
        <f>SUM(#REF!)</f>
        <v>#REF!</v>
      </c>
      <c r="F494" s="47"/>
    </row>
    <row r="495" hidden="1" outlineLevel="2" spans="2:6">
      <c r="B495" s="65" t="s">
        <v>879</v>
      </c>
      <c r="C495" s="61" t="s">
        <v>712</v>
      </c>
      <c r="D495" s="50" t="e">
        <f>SUM(#REF!)</f>
        <v>#REF!</v>
      </c>
      <c r="E495" s="50" t="e">
        <f>SUM(#REF!)</f>
        <v>#REF!</v>
      </c>
      <c r="F495" s="47"/>
    </row>
    <row r="496" hidden="1" outlineLevel="2" spans="2:6">
      <c r="B496" s="65" t="s">
        <v>880</v>
      </c>
      <c r="C496" s="61" t="s">
        <v>714</v>
      </c>
      <c r="D496" s="50" t="e">
        <f>SUM(#REF!)</f>
        <v>#REF!</v>
      </c>
      <c r="E496" s="50" t="e">
        <f>SUM(#REF!)</f>
        <v>#REF!</v>
      </c>
      <c r="F496" s="47"/>
    </row>
    <row r="497" hidden="1" outlineLevel="2" spans="2:6">
      <c r="B497" s="65" t="s">
        <v>881</v>
      </c>
      <c r="C497" s="61" t="s">
        <v>882</v>
      </c>
      <c r="D497" s="50" t="e">
        <f>SUM(#REF!)</f>
        <v>#REF!</v>
      </c>
      <c r="E497" s="50" t="e">
        <f>SUM(#REF!)</f>
        <v>#REF!</v>
      </c>
      <c r="F497" s="47"/>
    </row>
    <row r="498" hidden="1" outlineLevel="2" spans="2:6">
      <c r="B498" s="65" t="s">
        <v>883</v>
      </c>
      <c r="C498" s="61" t="s">
        <v>884</v>
      </c>
      <c r="D498" s="50" t="e">
        <f>SUM(#REF!)</f>
        <v>#REF!</v>
      </c>
      <c r="E498" s="50" t="e">
        <f>SUM(#REF!)</f>
        <v>#REF!</v>
      </c>
      <c r="F498" s="47"/>
    </row>
    <row r="499" hidden="1" outlineLevel="2" spans="2:6">
      <c r="B499" s="65" t="s">
        <v>885</v>
      </c>
      <c r="C499" s="61" t="s">
        <v>844</v>
      </c>
      <c r="D499" s="50" t="e">
        <f>SUM(#REF!)</f>
        <v>#REF!</v>
      </c>
      <c r="E499" s="50" t="e">
        <f>SUM(#REF!)</f>
        <v>#REF!</v>
      </c>
      <c r="F499" s="47"/>
    </row>
    <row r="500" hidden="1" outlineLevel="2" spans="2:6">
      <c r="B500" s="65" t="s">
        <v>886</v>
      </c>
      <c r="C500" s="61" t="s">
        <v>722</v>
      </c>
      <c r="D500" s="50" t="e">
        <f>SUM(#REF!)</f>
        <v>#REF!</v>
      </c>
      <c r="E500" s="50" t="e">
        <f>SUM(#REF!)</f>
        <v>#REF!</v>
      </c>
      <c r="F500" s="47"/>
    </row>
    <row r="501" hidden="1" outlineLevel="1" collapsed="1" spans="2:6">
      <c r="B501" s="63">
        <v>5.9</v>
      </c>
      <c r="C501" s="61" t="s">
        <v>887</v>
      </c>
      <c r="D501" s="64" t="e">
        <f>SUM(#REF!)</f>
        <v>#REF!</v>
      </c>
      <c r="E501" s="64" t="e">
        <f>SUM(#REF!)</f>
        <v>#REF!</v>
      </c>
      <c r="F501" s="47"/>
    </row>
    <row r="502" hidden="1" outlineLevel="2" spans="2:6">
      <c r="B502" s="65" t="s">
        <v>888</v>
      </c>
      <c r="C502" s="61" t="s">
        <v>710</v>
      </c>
      <c r="D502" s="50" t="e">
        <f>SUM(#REF!)</f>
        <v>#REF!</v>
      </c>
      <c r="E502" s="50" t="e">
        <f>SUM(#REF!)</f>
        <v>#REF!</v>
      </c>
      <c r="F502" s="47"/>
    </row>
    <row r="503" hidden="1" outlineLevel="2" spans="2:6">
      <c r="B503" s="65" t="s">
        <v>889</v>
      </c>
      <c r="C503" s="61" t="s">
        <v>714</v>
      </c>
      <c r="D503" s="50" t="e">
        <f>SUM(#REF!)</f>
        <v>#REF!</v>
      </c>
      <c r="E503" s="50" t="e">
        <f>SUM(#REF!)</f>
        <v>#REF!</v>
      </c>
      <c r="F503" s="47"/>
    </row>
    <row r="504" hidden="1" outlineLevel="2" spans="2:6">
      <c r="B504" s="65" t="s">
        <v>890</v>
      </c>
      <c r="C504" s="61" t="s">
        <v>891</v>
      </c>
      <c r="D504" s="50" t="e">
        <f>SUM(#REF!)</f>
        <v>#REF!</v>
      </c>
      <c r="E504" s="50" t="e">
        <f>SUM(#REF!)</f>
        <v>#REF!</v>
      </c>
      <c r="F504" s="47"/>
    </row>
    <row r="505" hidden="1" outlineLevel="2" spans="2:6">
      <c r="B505" s="65" t="s">
        <v>892</v>
      </c>
      <c r="C505" s="61" t="s">
        <v>893</v>
      </c>
      <c r="D505" s="50" t="e">
        <f>SUM(#REF!)</f>
        <v>#REF!</v>
      </c>
      <c r="E505" s="50" t="e">
        <f>SUM(#REF!)</f>
        <v>#REF!</v>
      </c>
      <c r="F505" s="47"/>
    </row>
    <row r="506" hidden="1" outlineLevel="2" spans="2:6">
      <c r="B506" s="65" t="s">
        <v>894</v>
      </c>
      <c r="C506" s="61" t="s">
        <v>844</v>
      </c>
      <c r="D506" s="50" t="e">
        <f>SUM(#REF!)</f>
        <v>#REF!</v>
      </c>
      <c r="E506" s="50" t="e">
        <f>SUM(#REF!)</f>
        <v>#REF!</v>
      </c>
      <c r="F506" s="47"/>
    </row>
    <row r="507" hidden="1" outlineLevel="2" spans="2:6">
      <c r="B507" s="65" t="s">
        <v>895</v>
      </c>
      <c r="C507" s="61" t="s">
        <v>722</v>
      </c>
      <c r="D507" s="50" t="e">
        <f>SUM(#REF!)</f>
        <v>#REF!</v>
      </c>
      <c r="E507" s="50" t="e">
        <f>SUM(#REF!)</f>
        <v>#REF!</v>
      </c>
      <c r="F507" s="47"/>
    </row>
    <row r="508" hidden="1" outlineLevel="1" collapsed="1" spans="2:6">
      <c r="B508" s="67">
        <v>5.1</v>
      </c>
      <c r="C508" s="61" t="s">
        <v>896</v>
      </c>
      <c r="D508" s="64" t="e">
        <f>SUM(#REF!)</f>
        <v>#REF!</v>
      </c>
      <c r="E508" s="64" t="e">
        <f>SUM(#REF!)</f>
        <v>#REF!</v>
      </c>
      <c r="F508" s="47"/>
    </row>
    <row r="509" hidden="1" outlineLevel="2" spans="2:6">
      <c r="B509" s="65" t="s">
        <v>897</v>
      </c>
      <c r="C509" s="61" t="s">
        <v>710</v>
      </c>
      <c r="D509" s="50" t="e">
        <f>SUM(#REF!)</f>
        <v>#REF!</v>
      </c>
      <c r="E509" s="50" t="e">
        <f>SUM(#REF!)</f>
        <v>#REF!</v>
      </c>
      <c r="F509" s="47"/>
    </row>
    <row r="510" hidden="1" outlineLevel="2" spans="2:6">
      <c r="B510" s="65" t="s">
        <v>898</v>
      </c>
      <c r="C510" s="61" t="s">
        <v>714</v>
      </c>
      <c r="D510" s="50" t="e">
        <f>SUM(#REF!)</f>
        <v>#REF!</v>
      </c>
      <c r="E510" s="50" t="e">
        <f>SUM(#REF!)</f>
        <v>#REF!</v>
      </c>
      <c r="F510" s="47"/>
    </row>
    <row r="511" hidden="1" outlineLevel="2" spans="2:6">
      <c r="B511" s="65" t="s">
        <v>899</v>
      </c>
      <c r="C511" s="61" t="s">
        <v>891</v>
      </c>
      <c r="D511" s="50" t="e">
        <f>SUM(#REF!)</f>
        <v>#REF!</v>
      </c>
      <c r="E511" s="50" t="e">
        <f>SUM(#REF!)</f>
        <v>#REF!</v>
      </c>
      <c r="F511" s="47"/>
    </row>
    <row r="512" hidden="1" outlineLevel="2" spans="2:6">
      <c r="B512" s="65" t="s">
        <v>900</v>
      </c>
      <c r="C512" s="61" t="s">
        <v>844</v>
      </c>
      <c r="D512" s="50" t="e">
        <f>SUM(#REF!)</f>
        <v>#REF!</v>
      </c>
      <c r="E512" s="50" t="e">
        <f>SUM(#REF!)</f>
        <v>#REF!</v>
      </c>
      <c r="F512" s="47"/>
    </row>
    <row r="513" hidden="1" outlineLevel="2" spans="2:6">
      <c r="B513" s="65" t="s">
        <v>901</v>
      </c>
      <c r="C513" s="61" t="s">
        <v>722</v>
      </c>
      <c r="D513" s="50" t="e">
        <f>SUM(#REF!)</f>
        <v>#REF!</v>
      </c>
      <c r="E513" s="50" t="e">
        <f>SUM(#REF!)</f>
        <v>#REF!</v>
      </c>
      <c r="F513" s="47"/>
    </row>
    <row r="514" hidden="1" outlineLevel="1" collapsed="1" spans="2:6">
      <c r="B514" s="63">
        <v>5.11</v>
      </c>
      <c r="C514" s="61" t="s">
        <v>902</v>
      </c>
      <c r="D514" s="64" t="e">
        <f>SUM(#REF!)</f>
        <v>#REF!</v>
      </c>
      <c r="E514" s="64" t="e">
        <f>SUM(#REF!)</f>
        <v>#REF!</v>
      </c>
      <c r="F514" s="47"/>
    </row>
    <row r="515" hidden="1" outlineLevel="2" spans="2:6">
      <c r="B515" s="65" t="s">
        <v>903</v>
      </c>
      <c r="C515" s="61" t="s">
        <v>714</v>
      </c>
      <c r="D515" s="50" t="e">
        <f>SUM(#REF!)</f>
        <v>#REF!</v>
      </c>
      <c r="E515" s="50" t="e">
        <f>SUM(#REF!)</f>
        <v>#REF!</v>
      </c>
      <c r="F515" s="47"/>
    </row>
    <row r="516" hidden="1" outlineLevel="2" spans="2:6">
      <c r="B516" s="65" t="s">
        <v>904</v>
      </c>
      <c r="C516" s="61" t="s">
        <v>905</v>
      </c>
      <c r="D516" s="50" t="e">
        <f>SUM(#REF!)</f>
        <v>#REF!</v>
      </c>
      <c r="E516" s="50" t="e">
        <f>SUM(#REF!)</f>
        <v>#REF!</v>
      </c>
      <c r="F516" s="47"/>
    </row>
    <row r="517" hidden="1" outlineLevel="2" spans="2:6">
      <c r="B517" s="65" t="s">
        <v>906</v>
      </c>
      <c r="C517" s="61" t="s">
        <v>907</v>
      </c>
      <c r="D517" s="50" t="e">
        <f>SUM(#REF!)</f>
        <v>#REF!</v>
      </c>
      <c r="E517" s="50" t="e">
        <f>SUM(#REF!)</f>
        <v>#REF!</v>
      </c>
      <c r="F517" s="47"/>
    </row>
    <row r="518" hidden="1" outlineLevel="2" spans="2:6">
      <c r="B518" s="65" t="s">
        <v>908</v>
      </c>
      <c r="C518" s="61" t="s">
        <v>909</v>
      </c>
      <c r="D518" s="50" t="e">
        <f>SUM(#REF!)</f>
        <v>#REF!</v>
      </c>
      <c r="E518" s="50" t="e">
        <f>SUM(#REF!)</f>
        <v>#REF!</v>
      </c>
      <c r="F518" s="47"/>
    </row>
    <row r="519" hidden="1" outlineLevel="2" spans="2:6">
      <c r="B519" s="65" t="s">
        <v>910</v>
      </c>
      <c r="C519" s="61" t="s">
        <v>911</v>
      </c>
      <c r="D519" s="50" t="e">
        <f>SUM(#REF!)</f>
        <v>#REF!</v>
      </c>
      <c r="E519" s="50" t="e">
        <f>SUM(#REF!)</f>
        <v>#REF!</v>
      </c>
      <c r="F519" s="47"/>
    </row>
    <row r="520" hidden="1" outlineLevel="2" spans="2:6">
      <c r="B520" s="65" t="s">
        <v>912</v>
      </c>
      <c r="C520" s="61" t="s">
        <v>913</v>
      </c>
      <c r="D520" s="50" t="e">
        <f>SUM(#REF!)</f>
        <v>#REF!</v>
      </c>
      <c r="E520" s="50" t="e">
        <f>SUM(#REF!)</f>
        <v>#REF!</v>
      </c>
      <c r="F520" s="47"/>
    </row>
    <row r="521" hidden="1" outlineLevel="2" spans="2:6">
      <c r="B521" s="65" t="s">
        <v>914</v>
      </c>
      <c r="C521" s="61" t="s">
        <v>801</v>
      </c>
      <c r="D521" s="50" t="e">
        <f>SUM(#REF!)</f>
        <v>#REF!</v>
      </c>
      <c r="E521" s="50" t="e">
        <f>SUM(#REF!)</f>
        <v>#REF!</v>
      </c>
      <c r="F521" s="47"/>
    </row>
    <row r="522" hidden="1" outlineLevel="2" spans="2:6">
      <c r="B522" s="65" t="s">
        <v>915</v>
      </c>
      <c r="C522" s="61" t="s">
        <v>364</v>
      </c>
      <c r="D522" s="50" t="e">
        <f>SUM(#REF!)</f>
        <v>#REF!</v>
      </c>
      <c r="E522" s="50" t="e">
        <f>SUM(#REF!)</f>
        <v>#REF!</v>
      </c>
      <c r="F522" s="47"/>
    </row>
    <row r="523" hidden="1" outlineLevel="2" spans="2:6">
      <c r="B523" s="65" t="s">
        <v>916</v>
      </c>
      <c r="C523" s="61" t="s">
        <v>917</v>
      </c>
      <c r="D523" s="50" t="e">
        <f>SUM(#REF!)</f>
        <v>#REF!</v>
      </c>
      <c r="E523" s="50" t="e">
        <f>SUM(#REF!)</f>
        <v>#REF!</v>
      </c>
      <c r="F523" s="47"/>
    </row>
    <row r="524" hidden="1" outlineLevel="2" spans="2:6">
      <c r="B524" s="65" t="s">
        <v>918</v>
      </c>
      <c r="C524" s="61" t="s">
        <v>837</v>
      </c>
      <c r="D524" s="50" t="e">
        <f>SUM(#REF!)</f>
        <v>#REF!</v>
      </c>
      <c r="E524" s="50" t="e">
        <f>SUM(#REF!)</f>
        <v>#REF!</v>
      </c>
      <c r="F524" s="47"/>
    </row>
    <row r="525" hidden="1" outlineLevel="2" spans="2:6">
      <c r="B525" s="65" t="s">
        <v>919</v>
      </c>
      <c r="C525" s="61" t="s">
        <v>747</v>
      </c>
      <c r="D525" s="50" t="e">
        <f>SUM(#REF!)</f>
        <v>#REF!</v>
      </c>
      <c r="E525" s="50" t="e">
        <f>SUM(#REF!)</f>
        <v>#REF!</v>
      </c>
      <c r="F525" s="47"/>
    </row>
    <row r="526" hidden="1" outlineLevel="2" spans="2:6">
      <c r="B526" s="65" t="s">
        <v>920</v>
      </c>
      <c r="C526" s="61" t="s">
        <v>921</v>
      </c>
      <c r="D526" s="50" t="e">
        <f>SUM(#REF!)</f>
        <v>#REF!</v>
      </c>
      <c r="E526" s="50" t="e">
        <f>SUM(#REF!)</f>
        <v>#REF!</v>
      </c>
      <c r="F526" s="47"/>
    </row>
    <row r="527" hidden="1" outlineLevel="2" spans="2:6">
      <c r="B527" s="65" t="s">
        <v>922</v>
      </c>
      <c r="C527" s="61" t="s">
        <v>923</v>
      </c>
      <c r="D527" s="50" t="e">
        <f>SUM(#REF!)</f>
        <v>#REF!</v>
      </c>
      <c r="E527" s="50" t="e">
        <f>SUM(#REF!)</f>
        <v>#REF!</v>
      </c>
      <c r="F527" s="47"/>
    </row>
    <row r="528" hidden="1" outlineLevel="2" spans="2:6">
      <c r="B528" s="65" t="s">
        <v>924</v>
      </c>
      <c r="C528" s="61" t="s">
        <v>925</v>
      </c>
      <c r="D528" s="50" t="e">
        <f>SUM(#REF!)</f>
        <v>#REF!</v>
      </c>
      <c r="E528" s="50" t="e">
        <f>SUM(#REF!)</f>
        <v>#REF!</v>
      </c>
      <c r="F528" s="47"/>
    </row>
    <row r="529" hidden="1" outlineLevel="2" spans="2:6">
      <c r="B529" s="65" t="s">
        <v>926</v>
      </c>
      <c r="C529" s="61" t="s">
        <v>927</v>
      </c>
      <c r="D529" s="50" t="e">
        <f>SUM(#REF!)</f>
        <v>#REF!</v>
      </c>
      <c r="E529" s="50" t="e">
        <f>SUM(#REF!)</f>
        <v>#REF!</v>
      </c>
      <c r="F529" s="47"/>
    </row>
    <row r="530" hidden="1" outlineLevel="2" spans="2:6">
      <c r="B530" s="65" t="s">
        <v>928</v>
      </c>
      <c r="C530" s="61" t="s">
        <v>929</v>
      </c>
      <c r="D530" s="50" t="e">
        <f>SUM(#REF!)</f>
        <v>#REF!</v>
      </c>
      <c r="E530" s="50" t="e">
        <f>SUM(#REF!)</f>
        <v>#REF!</v>
      </c>
      <c r="F530" s="47"/>
    </row>
    <row r="531" hidden="1" outlineLevel="2" spans="2:6">
      <c r="B531" s="65" t="s">
        <v>930</v>
      </c>
      <c r="C531" s="61" t="s">
        <v>931</v>
      </c>
      <c r="D531" s="50" t="e">
        <f>SUM(#REF!)</f>
        <v>#REF!</v>
      </c>
      <c r="E531" s="50" t="e">
        <f>SUM(#REF!)</f>
        <v>#REF!</v>
      </c>
      <c r="F531" s="47"/>
    </row>
    <row r="532" hidden="1" outlineLevel="2" spans="2:6">
      <c r="B532" s="65" t="s">
        <v>932</v>
      </c>
      <c r="C532" s="61" t="s">
        <v>933</v>
      </c>
      <c r="D532" s="50" t="e">
        <f>SUM(#REF!)</f>
        <v>#REF!</v>
      </c>
      <c r="E532" s="50" t="e">
        <f>SUM(#REF!)</f>
        <v>#REF!</v>
      </c>
      <c r="F532" s="47"/>
    </row>
    <row r="533" hidden="1" outlineLevel="2" spans="2:6">
      <c r="B533" s="65" t="s">
        <v>934</v>
      </c>
      <c r="C533" s="61" t="s">
        <v>935</v>
      </c>
      <c r="D533" s="50" t="e">
        <f>SUM(#REF!)</f>
        <v>#REF!</v>
      </c>
      <c r="E533" s="50" t="e">
        <f>SUM(#REF!)</f>
        <v>#REF!</v>
      </c>
      <c r="F533" s="47"/>
    </row>
    <row r="534" hidden="1" outlineLevel="2" spans="2:6">
      <c r="B534" s="65" t="s">
        <v>936</v>
      </c>
      <c r="C534" s="61" t="s">
        <v>937</v>
      </c>
      <c r="D534" s="50" t="e">
        <f>SUM(#REF!)</f>
        <v>#REF!</v>
      </c>
      <c r="E534" s="50" t="e">
        <f>SUM(#REF!)</f>
        <v>#REF!</v>
      </c>
      <c r="F534" s="47"/>
    </row>
    <row r="535" hidden="1" outlineLevel="2" spans="2:6">
      <c r="B535" s="65" t="s">
        <v>938</v>
      </c>
      <c r="C535" s="61" t="s">
        <v>939</v>
      </c>
      <c r="D535" s="50" t="e">
        <f>SUM(#REF!)</f>
        <v>#REF!</v>
      </c>
      <c r="E535" s="50" t="e">
        <f>SUM(#REF!)</f>
        <v>#REF!</v>
      </c>
      <c r="F535" s="47"/>
    </row>
    <row r="536" hidden="1" outlineLevel="2" spans="2:6">
      <c r="B536" s="65" t="s">
        <v>940</v>
      </c>
      <c r="C536" s="61" t="s">
        <v>722</v>
      </c>
      <c r="D536" s="50" t="e">
        <f>SUM(#REF!)</f>
        <v>#REF!</v>
      </c>
      <c r="E536" s="50" t="e">
        <f>SUM(#REF!)</f>
        <v>#REF!</v>
      </c>
      <c r="F536" s="47"/>
    </row>
    <row r="537" hidden="1" outlineLevel="1" collapsed="1" spans="2:6">
      <c r="B537" s="63">
        <v>5.12</v>
      </c>
      <c r="C537" s="61" t="s">
        <v>244</v>
      </c>
      <c r="D537" s="64" t="e">
        <f>SUM(#REF!)</f>
        <v>#REF!</v>
      </c>
      <c r="E537" s="64" t="e">
        <f>SUM(#REF!)</f>
        <v>#REF!</v>
      </c>
      <c r="F537" s="47"/>
    </row>
    <row r="538" hidden="1" outlineLevel="2" spans="2:6">
      <c r="B538" s="65" t="s">
        <v>941</v>
      </c>
      <c r="C538" s="61" t="s">
        <v>942</v>
      </c>
      <c r="D538" s="50" t="e">
        <f>SUM(#REF!)</f>
        <v>#REF!</v>
      </c>
      <c r="E538" s="50" t="e">
        <f>SUM(#REF!)</f>
        <v>#REF!</v>
      </c>
      <c r="F538" s="47"/>
    </row>
    <row r="539" hidden="1" outlineLevel="2" spans="2:6">
      <c r="B539" s="65" t="s">
        <v>943</v>
      </c>
      <c r="C539" s="61" t="s">
        <v>944</v>
      </c>
      <c r="D539" s="50" t="e">
        <f>SUM(#REF!)</f>
        <v>#REF!</v>
      </c>
      <c r="E539" s="50" t="e">
        <f>SUM(#REF!)</f>
        <v>#REF!</v>
      </c>
      <c r="F539" s="47"/>
    </row>
    <row r="540" hidden="1" outlineLevel="2" spans="2:6">
      <c r="B540" s="65" t="s">
        <v>945</v>
      </c>
      <c r="C540" s="61" t="s">
        <v>946</v>
      </c>
      <c r="D540" s="50" t="e">
        <f>SUM(#REF!)</f>
        <v>#REF!</v>
      </c>
      <c r="E540" s="50" t="e">
        <f>SUM(#REF!)</f>
        <v>#REF!</v>
      </c>
      <c r="F540" s="47"/>
    </row>
    <row r="541" hidden="1" outlineLevel="1" collapsed="1" spans="2:6">
      <c r="B541" s="63">
        <v>5.13</v>
      </c>
      <c r="C541" s="61" t="s">
        <v>947</v>
      </c>
      <c r="D541" s="64" t="e">
        <f>SUM(#REF!)</f>
        <v>#REF!</v>
      </c>
      <c r="E541" s="64" t="e">
        <f>SUM(#REF!)</f>
        <v>#REF!</v>
      </c>
      <c r="F541" s="47"/>
    </row>
    <row r="542" hidden="1" outlineLevel="1" spans="2:6">
      <c r="B542" s="65" t="s">
        <v>948</v>
      </c>
      <c r="C542" s="61" t="s">
        <v>949</v>
      </c>
      <c r="D542" s="50" t="e">
        <f>SUM(#REF!)</f>
        <v>#REF!</v>
      </c>
      <c r="E542" s="50" t="e">
        <f>SUM(#REF!)</f>
        <v>#REF!</v>
      </c>
      <c r="F542" s="47"/>
    </row>
    <row r="543" hidden="1" outlineLevel="1" spans="2:6">
      <c r="B543" s="65" t="s">
        <v>950</v>
      </c>
      <c r="C543" s="61" t="s">
        <v>951</v>
      </c>
      <c r="D543" s="50" t="e">
        <f>SUM(#REF!)</f>
        <v>#REF!</v>
      </c>
      <c r="E543" s="50" t="e">
        <f>SUM(#REF!)</f>
        <v>#REF!</v>
      </c>
      <c r="F543" s="47"/>
    </row>
    <row r="544" hidden="1" outlineLevel="1" spans="2:6">
      <c r="B544" s="65" t="s">
        <v>952</v>
      </c>
      <c r="C544" s="61" t="s">
        <v>953</v>
      </c>
      <c r="D544" s="50" t="e">
        <f>SUM(#REF!)</f>
        <v>#REF!</v>
      </c>
      <c r="E544" s="50" t="e">
        <f>SUM(#REF!)</f>
        <v>#REF!</v>
      </c>
      <c r="F544" s="47"/>
    </row>
    <row r="545" hidden="1" outlineLevel="1" spans="2:6">
      <c r="B545" s="65" t="s">
        <v>954</v>
      </c>
      <c r="C545" s="61" t="s">
        <v>955</v>
      </c>
      <c r="D545" s="50" t="e">
        <f>SUM(#REF!)</f>
        <v>#REF!</v>
      </c>
      <c r="E545" s="50" t="e">
        <f>SUM(#REF!)</f>
        <v>#REF!</v>
      </c>
      <c r="F545" s="47"/>
    </row>
    <row r="546" hidden="1" outlineLevel="1" spans="2:6">
      <c r="B546" s="65" t="s">
        <v>956</v>
      </c>
      <c r="C546" s="61" t="s">
        <v>957</v>
      </c>
      <c r="D546" s="50" t="e">
        <f>SUM(#REF!)</f>
        <v>#REF!</v>
      </c>
      <c r="E546" s="50" t="e">
        <f>SUM(#REF!)</f>
        <v>#REF!</v>
      </c>
      <c r="F546" s="47"/>
    </row>
    <row r="547" hidden="1" outlineLevel="1" spans="2:6">
      <c r="B547" s="65" t="s">
        <v>958</v>
      </c>
      <c r="C547" s="61" t="s">
        <v>959</v>
      </c>
      <c r="D547" s="50" t="e">
        <f>SUM(#REF!)</f>
        <v>#REF!</v>
      </c>
      <c r="E547" s="50" t="e">
        <f>SUM(#REF!)</f>
        <v>#REF!</v>
      </c>
      <c r="F547" s="47"/>
    </row>
    <row r="548" hidden="1" outlineLevel="1" spans="2:6">
      <c r="B548" s="65" t="s">
        <v>960</v>
      </c>
      <c r="C548" s="61" t="s">
        <v>961</v>
      </c>
      <c r="D548" s="50" t="e">
        <f>SUM(#REF!)</f>
        <v>#REF!</v>
      </c>
      <c r="E548" s="50" t="e">
        <f>SUM(#REF!)</f>
        <v>#REF!</v>
      </c>
      <c r="F548" s="47"/>
    </row>
    <row r="549" hidden="1" outlineLevel="1" spans="2:6">
      <c r="B549" s="65" t="s">
        <v>962</v>
      </c>
      <c r="C549" s="61" t="s">
        <v>963</v>
      </c>
      <c r="D549" s="50" t="e">
        <f>SUM(#REF!)</f>
        <v>#REF!</v>
      </c>
      <c r="E549" s="50" t="e">
        <f>SUM(#REF!)</f>
        <v>#REF!</v>
      </c>
      <c r="F549" s="47"/>
    </row>
    <row r="550" hidden="1" outlineLevel="1" spans="2:6">
      <c r="B550" s="65" t="s">
        <v>964</v>
      </c>
      <c r="C550" s="61" t="s">
        <v>965</v>
      </c>
      <c r="D550" s="50" t="e">
        <f>SUM(#REF!)</f>
        <v>#REF!</v>
      </c>
      <c r="E550" s="50" t="e">
        <f>SUM(#REF!)</f>
        <v>#REF!</v>
      </c>
      <c r="F550" s="47"/>
    </row>
    <row r="551" hidden="1" outlineLevel="1" spans="2:6">
      <c r="B551" s="65" t="s">
        <v>966</v>
      </c>
      <c r="C551" s="61" t="s">
        <v>967</v>
      </c>
      <c r="D551" s="50" t="e">
        <f>SUM(#REF!)</f>
        <v>#REF!</v>
      </c>
      <c r="E551" s="50" t="e">
        <f>SUM(#REF!)</f>
        <v>#REF!</v>
      </c>
      <c r="F551" s="47"/>
    </row>
    <row r="552" hidden="1" outlineLevel="1" spans="2:6">
      <c r="B552" s="65" t="s">
        <v>968</v>
      </c>
      <c r="C552" s="61" t="s">
        <v>969</v>
      </c>
      <c r="D552" s="50" t="e">
        <f>SUM(#REF!)</f>
        <v>#REF!</v>
      </c>
      <c r="E552" s="50" t="e">
        <f>SUM(#REF!)</f>
        <v>#REF!</v>
      </c>
      <c r="F552" s="47"/>
    </row>
    <row r="553" hidden="1" outlineLevel="1" spans="2:6">
      <c r="B553" s="65" t="s">
        <v>970</v>
      </c>
      <c r="C553" s="61" t="s">
        <v>971</v>
      </c>
      <c r="D553" s="50" t="e">
        <f>SUM(#REF!)</f>
        <v>#REF!</v>
      </c>
      <c r="E553" s="50" t="e">
        <f>SUM(#REF!)</f>
        <v>#REF!</v>
      </c>
      <c r="F553" s="47"/>
    </row>
    <row r="554" hidden="1" outlineLevel="1" spans="2:6">
      <c r="B554" s="65" t="s">
        <v>972</v>
      </c>
      <c r="C554" s="61" t="s">
        <v>973</v>
      </c>
      <c r="D554" s="50" t="e">
        <f>SUM(#REF!)</f>
        <v>#REF!</v>
      </c>
      <c r="E554" s="50" t="e">
        <f>SUM(#REF!)</f>
        <v>#REF!</v>
      </c>
      <c r="F554" s="47"/>
    </row>
    <row r="555" hidden="1" outlineLevel="1" spans="2:6">
      <c r="B555" s="65" t="s">
        <v>974</v>
      </c>
      <c r="C555" s="61" t="s">
        <v>975</v>
      </c>
      <c r="D555" s="50" t="e">
        <f>SUM(#REF!)</f>
        <v>#REF!</v>
      </c>
      <c r="E555" s="50" t="e">
        <f>SUM(#REF!)</f>
        <v>#REF!</v>
      </c>
      <c r="F555" s="47"/>
    </row>
    <row r="556" hidden="1" outlineLevel="1" spans="2:6">
      <c r="B556" s="65" t="s">
        <v>976</v>
      </c>
      <c r="C556" s="61" t="s">
        <v>977</v>
      </c>
      <c r="D556" s="50" t="e">
        <f>SUM(#REF!)</f>
        <v>#REF!</v>
      </c>
      <c r="E556" s="50" t="e">
        <f>SUM(#REF!)</f>
        <v>#REF!</v>
      </c>
      <c r="F556" s="47"/>
    </row>
    <row r="557" hidden="1" outlineLevel="1" spans="2:6">
      <c r="B557" s="65" t="s">
        <v>978</v>
      </c>
      <c r="C557" s="61" t="s">
        <v>979</v>
      </c>
      <c r="D557" s="50" t="e">
        <f>SUM(#REF!)</f>
        <v>#REF!</v>
      </c>
      <c r="E557" s="50" t="e">
        <f>SUM(#REF!)</f>
        <v>#REF!</v>
      </c>
      <c r="F557" s="47"/>
    </row>
    <row r="558" hidden="1" outlineLevel="1" spans="2:6">
      <c r="B558" s="65" t="s">
        <v>980</v>
      </c>
      <c r="C558" s="61" t="s">
        <v>981</v>
      </c>
      <c r="D558" s="50" t="e">
        <f>SUM(#REF!)</f>
        <v>#REF!</v>
      </c>
      <c r="E558" s="50" t="e">
        <f>SUM(#REF!)</f>
        <v>#REF!</v>
      </c>
      <c r="F558" s="47"/>
    </row>
    <row r="559" hidden="1" outlineLevel="1" spans="2:6">
      <c r="B559" s="65" t="s">
        <v>982</v>
      </c>
      <c r="C559" s="61" t="s">
        <v>983</v>
      </c>
      <c r="D559" s="50" t="e">
        <f>SUM(#REF!)</f>
        <v>#REF!</v>
      </c>
      <c r="E559" s="50" t="e">
        <f>SUM(#REF!)</f>
        <v>#REF!</v>
      </c>
      <c r="F559" s="47"/>
    </row>
    <row r="560" hidden="1" outlineLevel="1" spans="2:6">
      <c r="B560" s="65" t="s">
        <v>984</v>
      </c>
      <c r="C560" s="61" t="s">
        <v>985</v>
      </c>
      <c r="D560" s="50" t="e">
        <f>SUM(#REF!)</f>
        <v>#REF!</v>
      </c>
      <c r="E560" s="50" t="e">
        <f>SUM(#REF!)</f>
        <v>#REF!</v>
      </c>
      <c r="F560" s="47"/>
    </row>
    <row r="561" hidden="1" outlineLevel="1" spans="2:6">
      <c r="B561" s="65" t="s">
        <v>986</v>
      </c>
      <c r="C561" s="61" t="s">
        <v>987</v>
      </c>
      <c r="D561" s="50" t="e">
        <f>SUM(#REF!)</f>
        <v>#REF!</v>
      </c>
      <c r="E561" s="50" t="e">
        <f>SUM(#REF!)</f>
        <v>#REF!</v>
      </c>
      <c r="F561" s="47"/>
    </row>
    <row r="562" hidden="1" outlineLevel="1" spans="2:6">
      <c r="B562" s="65" t="s">
        <v>988</v>
      </c>
      <c r="C562" s="61" t="s">
        <v>989</v>
      </c>
      <c r="D562" s="50" t="e">
        <f>SUM(#REF!)</f>
        <v>#REF!</v>
      </c>
      <c r="E562" s="50" t="e">
        <f>SUM(#REF!)</f>
        <v>#REF!</v>
      </c>
      <c r="F562" s="47"/>
    </row>
    <row r="563" hidden="1" outlineLevel="1" spans="2:6">
      <c r="B563" s="65" t="s">
        <v>990</v>
      </c>
      <c r="C563" s="61" t="s">
        <v>991</v>
      </c>
      <c r="D563" s="50" t="e">
        <f>SUM(#REF!)</f>
        <v>#REF!</v>
      </c>
      <c r="E563" s="50" t="e">
        <f>SUM(#REF!)</f>
        <v>#REF!</v>
      </c>
      <c r="F563" s="47"/>
    </row>
    <row r="564" hidden="1" outlineLevel="1" spans="2:6">
      <c r="B564" s="65" t="s">
        <v>992</v>
      </c>
      <c r="C564" s="61" t="s">
        <v>993</v>
      </c>
      <c r="D564" s="50" t="e">
        <f>SUM(#REF!)</f>
        <v>#REF!</v>
      </c>
      <c r="E564" s="50" t="e">
        <f>SUM(#REF!)</f>
        <v>#REF!</v>
      </c>
      <c r="F564" s="47"/>
    </row>
    <row r="565" hidden="1" outlineLevel="1" spans="2:6">
      <c r="B565" s="65" t="s">
        <v>994</v>
      </c>
      <c r="C565" s="61" t="s">
        <v>995</v>
      </c>
      <c r="D565" s="50" t="e">
        <f>SUM(#REF!)</f>
        <v>#REF!</v>
      </c>
      <c r="E565" s="50" t="e">
        <f>SUM(#REF!)</f>
        <v>#REF!</v>
      </c>
      <c r="F565" s="47"/>
    </row>
    <row r="566" hidden="1" outlineLevel="1" spans="2:6">
      <c r="B566" s="65" t="s">
        <v>996</v>
      </c>
      <c r="C566" s="61" t="s">
        <v>997</v>
      </c>
      <c r="D566" s="50" t="e">
        <f>SUM(#REF!)</f>
        <v>#REF!</v>
      </c>
      <c r="E566" s="50" t="e">
        <f>SUM(#REF!)</f>
        <v>#REF!</v>
      </c>
      <c r="F566" s="47"/>
    </row>
    <row r="567" hidden="1" outlineLevel="1" spans="2:6">
      <c r="B567" s="65" t="s">
        <v>998</v>
      </c>
      <c r="C567" s="61" t="s">
        <v>999</v>
      </c>
      <c r="D567" s="50" t="e">
        <f>SUM(#REF!)</f>
        <v>#REF!</v>
      </c>
      <c r="E567" s="50" t="e">
        <f>SUM(#REF!)</f>
        <v>#REF!</v>
      </c>
      <c r="F567" s="47"/>
    </row>
    <row r="568" hidden="1" outlineLevel="1" spans="2:6">
      <c r="B568" s="65" t="s">
        <v>1000</v>
      </c>
      <c r="C568" s="61" t="s">
        <v>1001</v>
      </c>
      <c r="D568" s="50" t="e">
        <f>SUM(#REF!)</f>
        <v>#REF!</v>
      </c>
      <c r="E568" s="50" t="e">
        <f>SUM(#REF!)</f>
        <v>#REF!</v>
      </c>
      <c r="F568" s="47"/>
    </row>
    <row r="569" hidden="1" outlineLevel="1" spans="2:6">
      <c r="B569" s="65" t="s">
        <v>1002</v>
      </c>
      <c r="C569" s="61" t="s">
        <v>1003</v>
      </c>
      <c r="D569" s="50" t="e">
        <f>SUM(#REF!)</f>
        <v>#REF!</v>
      </c>
      <c r="E569" s="50" t="e">
        <f>SUM(#REF!)</f>
        <v>#REF!</v>
      </c>
      <c r="F569" s="47"/>
    </row>
    <row r="570" hidden="1" outlineLevel="1" spans="2:6">
      <c r="B570" s="65" t="s">
        <v>1004</v>
      </c>
      <c r="C570" s="61" t="s">
        <v>1005</v>
      </c>
      <c r="D570" s="50" t="e">
        <f>SUM(#REF!)</f>
        <v>#REF!</v>
      </c>
      <c r="E570" s="50" t="e">
        <f>SUM(#REF!)</f>
        <v>#REF!</v>
      </c>
      <c r="F570" s="47"/>
    </row>
    <row r="571" hidden="1" outlineLevel="1" spans="2:6">
      <c r="B571" s="65" t="s">
        <v>1006</v>
      </c>
      <c r="C571" s="61" t="s">
        <v>1007</v>
      </c>
      <c r="D571" s="50" t="e">
        <f>SUM(#REF!)</f>
        <v>#REF!</v>
      </c>
      <c r="E571" s="50" t="e">
        <f>SUM(#REF!)</f>
        <v>#REF!</v>
      </c>
      <c r="F571" s="47"/>
    </row>
    <row r="572" hidden="1" outlineLevel="1" spans="2:6">
      <c r="B572" s="65" t="s">
        <v>1008</v>
      </c>
      <c r="C572" s="61" t="s">
        <v>1009</v>
      </c>
      <c r="D572" s="50" t="e">
        <f>SUM(#REF!)</f>
        <v>#REF!</v>
      </c>
      <c r="E572" s="50" t="e">
        <f>SUM(#REF!)</f>
        <v>#REF!</v>
      </c>
      <c r="F572" s="47"/>
    </row>
    <row r="573" hidden="1" outlineLevel="1" spans="2:6">
      <c r="B573" s="65" t="s">
        <v>1010</v>
      </c>
      <c r="C573" s="61" t="s">
        <v>1011</v>
      </c>
      <c r="D573" s="50" t="e">
        <f>SUM(#REF!)</f>
        <v>#REF!</v>
      </c>
      <c r="E573" s="50" t="e">
        <f>SUM(#REF!)</f>
        <v>#REF!</v>
      </c>
      <c r="F573" s="47"/>
    </row>
    <row r="574" hidden="1" outlineLevel="1" spans="2:6">
      <c r="B574" s="65" t="s">
        <v>1012</v>
      </c>
      <c r="C574" s="61" t="s">
        <v>1013</v>
      </c>
      <c r="D574" s="50" t="e">
        <f>SUM(#REF!)</f>
        <v>#REF!</v>
      </c>
      <c r="E574" s="50" t="e">
        <f>SUM(#REF!)</f>
        <v>#REF!</v>
      </c>
      <c r="F574" s="47"/>
    </row>
    <row r="575" hidden="1" outlineLevel="1" spans="2:6">
      <c r="B575" s="65" t="s">
        <v>1014</v>
      </c>
      <c r="C575" s="61" t="s">
        <v>1015</v>
      </c>
      <c r="D575" s="50" t="e">
        <f>SUM(#REF!)</f>
        <v>#REF!</v>
      </c>
      <c r="E575" s="50" t="e">
        <f>SUM(#REF!)</f>
        <v>#REF!</v>
      </c>
      <c r="F575" s="47"/>
    </row>
    <row r="576" hidden="1" outlineLevel="1" spans="2:6">
      <c r="B576" s="65" t="s">
        <v>1016</v>
      </c>
      <c r="C576" s="61" t="s">
        <v>1017</v>
      </c>
      <c r="D576" s="50" t="e">
        <f>SUM(#REF!)</f>
        <v>#REF!</v>
      </c>
      <c r="E576" s="50" t="e">
        <f>SUM(#REF!)</f>
        <v>#REF!</v>
      </c>
      <c r="F576" s="47"/>
    </row>
    <row r="577" hidden="1" outlineLevel="1" spans="2:6">
      <c r="B577" s="65" t="s">
        <v>1018</v>
      </c>
      <c r="C577" s="61" t="s">
        <v>1019</v>
      </c>
      <c r="D577" s="50" t="e">
        <f>SUM(#REF!)</f>
        <v>#REF!</v>
      </c>
      <c r="E577" s="50" t="e">
        <f>SUM(#REF!)</f>
        <v>#REF!</v>
      </c>
      <c r="F577" s="47"/>
    </row>
    <row r="578" hidden="1" outlineLevel="1" spans="2:6">
      <c r="B578" s="65" t="s">
        <v>1020</v>
      </c>
      <c r="C578" s="61" t="s">
        <v>1021</v>
      </c>
      <c r="D578" s="50" t="e">
        <f>SUM(#REF!)</f>
        <v>#REF!</v>
      </c>
      <c r="E578" s="50" t="e">
        <f>SUM(#REF!)</f>
        <v>#REF!</v>
      </c>
      <c r="F578" s="47"/>
    </row>
    <row r="579" hidden="1" outlineLevel="1" spans="2:6">
      <c r="B579" s="65" t="s">
        <v>1022</v>
      </c>
      <c r="C579" s="61" t="s">
        <v>1023</v>
      </c>
      <c r="D579" s="50" t="e">
        <f>SUM(#REF!)</f>
        <v>#REF!</v>
      </c>
      <c r="E579" s="50" t="e">
        <f>SUM(#REF!)</f>
        <v>#REF!</v>
      </c>
      <c r="F579" s="47"/>
    </row>
    <row r="580" hidden="1" outlineLevel="1" spans="2:6">
      <c r="B580" s="65" t="s">
        <v>1024</v>
      </c>
      <c r="C580" s="61" t="s">
        <v>1025</v>
      </c>
      <c r="D580" s="50" t="e">
        <f>SUM(#REF!)</f>
        <v>#REF!</v>
      </c>
      <c r="E580" s="50" t="e">
        <f>SUM(#REF!)</f>
        <v>#REF!</v>
      </c>
      <c r="F580" s="47"/>
    </row>
    <row r="581" hidden="1" outlineLevel="1" spans="2:6">
      <c r="B581" s="65" t="s">
        <v>1026</v>
      </c>
      <c r="C581" s="61" t="s">
        <v>1027</v>
      </c>
      <c r="D581" s="50" t="e">
        <f>SUM(#REF!)</f>
        <v>#REF!</v>
      </c>
      <c r="E581" s="50" t="e">
        <f>SUM(#REF!)</f>
        <v>#REF!</v>
      </c>
      <c r="F581" s="47"/>
    </row>
    <row r="582" hidden="1" outlineLevel="1" spans="2:6">
      <c r="B582" s="65" t="s">
        <v>1028</v>
      </c>
      <c r="C582" s="61" t="s">
        <v>1029</v>
      </c>
      <c r="D582" s="50" t="e">
        <f>SUM(#REF!)</f>
        <v>#REF!</v>
      </c>
      <c r="E582" s="50" t="e">
        <f>SUM(#REF!)</f>
        <v>#REF!</v>
      </c>
      <c r="F582" s="47"/>
    </row>
    <row r="583" hidden="1" outlineLevel="1" spans="2:6">
      <c r="B583" s="65" t="s">
        <v>1030</v>
      </c>
      <c r="C583" s="61" t="s">
        <v>1031</v>
      </c>
      <c r="D583" s="50" t="e">
        <f>SUM(#REF!)</f>
        <v>#REF!</v>
      </c>
      <c r="E583" s="50" t="e">
        <f>SUM(#REF!)</f>
        <v>#REF!</v>
      </c>
      <c r="F583" s="47"/>
    </row>
    <row r="584" hidden="1" outlineLevel="1" spans="2:6">
      <c r="B584" s="65" t="s">
        <v>1032</v>
      </c>
      <c r="C584" s="61" t="s">
        <v>1033</v>
      </c>
      <c r="D584" s="50" t="e">
        <f>SUM(#REF!)</f>
        <v>#REF!</v>
      </c>
      <c r="E584" s="50" t="e">
        <f>SUM(#REF!)</f>
        <v>#REF!</v>
      </c>
      <c r="F584" s="47"/>
    </row>
    <row r="585" hidden="1" outlineLevel="1" spans="2:6">
      <c r="B585" s="65" t="s">
        <v>1034</v>
      </c>
      <c r="C585" s="61" t="s">
        <v>1035</v>
      </c>
      <c r="D585" s="50" t="e">
        <f>SUM(#REF!)</f>
        <v>#REF!</v>
      </c>
      <c r="E585" s="50" t="e">
        <f>SUM(#REF!)</f>
        <v>#REF!</v>
      </c>
      <c r="F585" s="47"/>
    </row>
    <row r="586" hidden="1" outlineLevel="1" spans="2:6">
      <c r="B586" s="65" t="s">
        <v>1036</v>
      </c>
      <c r="C586" s="61" t="s">
        <v>1037</v>
      </c>
      <c r="D586" s="50" t="e">
        <f>SUM(#REF!)</f>
        <v>#REF!</v>
      </c>
      <c r="E586" s="50" t="e">
        <f>SUM(#REF!)</f>
        <v>#REF!</v>
      </c>
      <c r="F586" s="47"/>
    </row>
    <row r="587" hidden="1" outlineLevel="1" spans="2:6">
      <c r="B587" s="65" t="s">
        <v>1038</v>
      </c>
      <c r="C587" s="61" t="s">
        <v>1039</v>
      </c>
      <c r="D587" s="50" t="e">
        <f>SUM(#REF!)</f>
        <v>#REF!</v>
      </c>
      <c r="E587" s="50" t="e">
        <f>SUM(#REF!)</f>
        <v>#REF!</v>
      </c>
      <c r="F587" s="47"/>
    </row>
    <row r="588" hidden="1" outlineLevel="1" spans="2:6">
      <c r="B588" s="65" t="s">
        <v>1040</v>
      </c>
      <c r="C588" s="61" t="s">
        <v>1041</v>
      </c>
      <c r="D588" s="50" t="e">
        <f>SUM(#REF!)</f>
        <v>#REF!</v>
      </c>
      <c r="E588" s="50" t="e">
        <f>SUM(#REF!)</f>
        <v>#REF!</v>
      </c>
      <c r="F588" s="47"/>
    </row>
    <row r="589" hidden="1" outlineLevel="1" spans="2:6">
      <c r="B589" s="65" t="s">
        <v>1042</v>
      </c>
      <c r="C589" s="61" t="s">
        <v>1043</v>
      </c>
      <c r="D589" s="50" t="e">
        <f>SUM(#REF!)</f>
        <v>#REF!</v>
      </c>
      <c r="E589" s="50" t="e">
        <f>SUM(#REF!)</f>
        <v>#REF!</v>
      </c>
      <c r="F589" s="47"/>
    </row>
    <row r="590" hidden="1" outlineLevel="1" spans="2:6">
      <c r="B590" s="65" t="s">
        <v>1044</v>
      </c>
      <c r="C590" s="61" t="s">
        <v>1045</v>
      </c>
      <c r="D590" s="50" t="e">
        <f>SUM(#REF!)</f>
        <v>#REF!</v>
      </c>
      <c r="E590" s="50" t="e">
        <f>SUM(#REF!)</f>
        <v>#REF!</v>
      </c>
      <c r="F590" s="47"/>
    </row>
    <row r="591" hidden="1" outlineLevel="1" spans="2:6">
      <c r="B591" s="65" t="s">
        <v>1046</v>
      </c>
      <c r="C591" s="61" t="s">
        <v>1047</v>
      </c>
      <c r="D591" s="50" t="e">
        <f>SUM(#REF!)</f>
        <v>#REF!</v>
      </c>
      <c r="E591" s="50" t="e">
        <f>SUM(#REF!)</f>
        <v>#REF!</v>
      </c>
      <c r="F591" s="47"/>
    </row>
    <row r="592" hidden="1" outlineLevel="1" spans="2:6">
      <c r="B592" s="65" t="s">
        <v>1048</v>
      </c>
      <c r="C592" s="61" t="s">
        <v>1049</v>
      </c>
      <c r="D592" s="50" t="e">
        <f>SUM(#REF!)</f>
        <v>#REF!</v>
      </c>
      <c r="E592" s="50" t="e">
        <f>SUM(#REF!)</f>
        <v>#REF!</v>
      </c>
      <c r="F592" s="47"/>
    </row>
    <row r="593" hidden="1" outlineLevel="1" spans="2:6">
      <c r="B593" s="65" t="s">
        <v>1050</v>
      </c>
      <c r="C593" s="61" t="s">
        <v>1051</v>
      </c>
      <c r="D593" s="50" t="e">
        <f>SUM(#REF!)</f>
        <v>#REF!</v>
      </c>
      <c r="E593" s="50" t="e">
        <f>SUM(#REF!)</f>
        <v>#REF!</v>
      </c>
      <c r="F593" s="47"/>
    </row>
    <row r="594" hidden="1" outlineLevel="1" spans="2:6">
      <c r="B594" s="65" t="s">
        <v>1052</v>
      </c>
      <c r="C594" s="61" t="s">
        <v>1053</v>
      </c>
      <c r="D594" s="50" t="e">
        <f>SUM(#REF!)</f>
        <v>#REF!</v>
      </c>
      <c r="E594" s="50" t="e">
        <f>SUM(#REF!)</f>
        <v>#REF!</v>
      </c>
      <c r="F594" s="47"/>
    </row>
    <row r="595" hidden="1" outlineLevel="1" spans="2:6">
      <c r="B595" s="65" t="s">
        <v>1054</v>
      </c>
      <c r="C595" s="61" t="s">
        <v>1055</v>
      </c>
      <c r="D595" s="50" t="e">
        <f>SUM(#REF!)</f>
        <v>#REF!</v>
      </c>
      <c r="E595" s="50" t="e">
        <f>SUM(#REF!)</f>
        <v>#REF!</v>
      </c>
      <c r="F595" s="47"/>
    </row>
    <row r="596" hidden="1" outlineLevel="1" spans="2:6">
      <c r="B596" s="65" t="s">
        <v>1056</v>
      </c>
      <c r="C596" s="61" t="s">
        <v>1057</v>
      </c>
      <c r="D596" s="50" t="e">
        <f>SUM(#REF!)</f>
        <v>#REF!</v>
      </c>
      <c r="E596" s="50" t="e">
        <f>SUM(#REF!)</f>
        <v>#REF!</v>
      </c>
      <c r="F596" s="47"/>
    </row>
    <row r="597" hidden="1" outlineLevel="1" spans="2:6">
      <c r="B597" s="65" t="s">
        <v>1058</v>
      </c>
      <c r="C597" s="61" t="s">
        <v>1059</v>
      </c>
      <c r="D597" s="50" t="e">
        <f>SUM(#REF!)</f>
        <v>#REF!</v>
      </c>
      <c r="E597" s="50" t="e">
        <f>SUM(#REF!)</f>
        <v>#REF!</v>
      </c>
      <c r="F597" s="47"/>
    </row>
    <row r="598" hidden="1" outlineLevel="1" spans="2:6">
      <c r="B598" s="65" t="s">
        <v>1060</v>
      </c>
      <c r="C598" s="61" t="s">
        <v>1061</v>
      </c>
      <c r="D598" s="50" t="e">
        <f>SUM(#REF!)</f>
        <v>#REF!</v>
      </c>
      <c r="E598" s="50" t="e">
        <f>SUM(#REF!)</f>
        <v>#REF!</v>
      </c>
      <c r="F598" s="47"/>
    </row>
    <row r="599" hidden="1" outlineLevel="1" spans="2:6">
      <c r="B599" s="65" t="s">
        <v>1062</v>
      </c>
      <c r="C599" s="61" t="s">
        <v>1063</v>
      </c>
      <c r="D599" s="50" t="e">
        <f>SUM(#REF!)</f>
        <v>#REF!</v>
      </c>
      <c r="E599" s="50" t="e">
        <f>SUM(#REF!)</f>
        <v>#REF!</v>
      </c>
      <c r="F599" s="47"/>
    </row>
    <row r="600" hidden="1" outlineLevel="1" spans="2:6">
      <c r="B600" s="65" t="s">
        <v>1064</v>
      </c>
      <c r="C600" s="61" t="s">
        <v>1065</v>
      </c>
      <c r="D600" s="50" t="e">
        <f>SUM(#REF!)</f>
        <v>#REF!</v>
      </c>
      <c r="E600" s="50" t="e">
        <f>SUM(#REF!)</f>
        <v>#REF!</v>
      </c>
      <c r="F600" s="47"/>
    </row>
    <row r="601" hidden="1" outlineLevel="1" spans="2:6">
      <c r="B601" s="65" t="s">
        <v>1066</v>
      </c>
      <c r="C601" s="61" t="s">
        <v>1067</v>
      </c>
      <c r="D601" s="50" t="e">
        <f>SUM(#REF!)</f>
        <v>#REF!</v>
      </c>
      <c r="E601" s="50" t="e">
        <f>SUM(#REF!)</f>
        <v>#REF!</v>
      </c>
      <c r="F601" s="47"/>
    </row>
    <row r="602" hidden="1" outlineLevel="1" spans="2:6">
      <c r="B602" s="65" t="s">
        <v>1068</v>
      </c>
      <c r="C602" s="61" t="s">
        <v>1069</v>
      </c>
      <c r="D602" s="50" t="e">
        <f>SUM(#REF!)</f>
        <v>#REF!</v>
      </c>
      <c r="E602" s="50" t="e">
        <f>SUM(#REF!)</f>
        <v>#REF!</v>
      </c>
      <c r="F602" s="47"/>
    </row>
    <row r="603" hidden="1" outlineLevel="1" spans="2:6">
      <c r="B603" s="65" t="s">
        <v>1070</v>
      </c>
      <c r="C603" s="61" t="s">
        <v>1071</v>
      </c>
      <c r="D603" s="50" t="e">
        <f>SUM(#REF!)</f>
        <v>#REF!</v>
      </c>
      <c r="E603" s="50" t="e">
        <f>SUM(#REF!)</f>
        <v>#REF!</v>
      </c>
      <c r="F603" s="47"/>
    </row>
    <row r="604" hidden="1" outlineLevel="1" spans="2:6">
      <c r="B604" s="65" t="s">
        <v>1072</v>
      </c>
      <c r="C604" s="61" t="s">
        <v>1073</v>
      </c>
      <c r="D604" s="50" t="e">
        <f>SUM(#REF!)</f>
        <v>#REF!</v>
      </c>
      <c r="E604" s="50" t="e">
        <f>SUM(#REF!)</f>
        <v>#REF!</v>
      </c>
      <c r="F604" s="47"/>
    </row>
    <row r="605" hidden="1" outlineLevel="1" spans="2:6">
      <c r="B605" s="65" t="s">
        <v>1074</v>
      </c>
      <c r="C605" s="61" t="s">
        <v>1075</v>
      </c>
      <c r="D605" s="50" t="e">
        <f>SUM(#REF!)</f>
        <v>#REF!</v>
      </c>
      <c r="E605" s="50" t="e">
        <f>SUM(#REF!)</f>
        <v>#REF!</v>
      </c>
      <c r="F605" s="47"/>
    </row>
    <row r="606" hidden="1" outlineLevel="1" spans="2:6">
      <c r="B606" s="65" t="s">
        <v>1076</v>
      </c>
      <c r="C606" s="61" t="s">
        <v>1077</v>
      </c>
      <c r="D606" s="50" t="e">
        <f>SUM(#REF!)</f>
        <v>#REF!</v>
      </c>
      <c r="E606" s="50" t="e">
        <f>SUM(#REF!)</f>
        <v>#REF!</v>
      </c>
      <c r="F606" s="47"/>
    </row>
    <row r="607" hidden="1" outlineLevel="1" spans="2:6">
      <c r="B607" s="65" t="s">
        <v>1078</v>
      </c>
      <c r="C607" s="61" t="s">
        <v>1079</v>
      </c>
      <c r="D607" s="50" t="e">
        <f>SUM(#REF!)</f>
        <v>#REF!</v>
      </c>
      <c r="E607" s="50" t="e">
        <f>SUM(#REF!)</f>
        <v>#REF!</v>
      </c>
      <c r="F607" s="47"/>
    </row>
    <row r="608" hidden="1" outlineLevel="1" spans="2:6">
      <c r="B608" s="65" t="s">
        <v>1080</v>
      </c>
      <c r="C608" s="61" t="s">
        <v>1081</v>
      </c>
      <c r="D608" s="50" t="e">
        <f>SUM(#REF!)</f>
        <v>#REF!</v>
      </c>
      <c r="E608" s="50" t="e">
        <f>SUM(#REF!)</f>
        <v>#REF!</v>
      </c>
      <c r="F608" s="47"/>
    </row>
    <row r="609" hidden="1" outlineLevel="1" spans="2:6">
      <c r="B609" s="65" t="s">
        <v>1082</v>
      </c>
      <c r="C609" s="61" t="s">
        <v>1079</v>
      </c>
      <c r="D609" s="50" t="e">
        <f>SUM(#REF!)</f>
        <v>#REF!</v>
      </c>
      <c r="E609" s="50" t="e">
        <f>SUM(#REF!)</f>
        <v>#REF!</v>
      </c>
      <c r="F609" s="47"/>
    </row>
    <row r="610" hidden="1" outlineLevel="1" spans="2:6">
      <c r="B610" s="65" t="s">
        <v>1083</v>
      </c>
      <c r="C610" s="61" t="s">
        <v>1084</v>
      </c>
      <c r="D610" s="50" t="e">
        <f>SUM(#REF!)</f>
        <v>#REF!</v>
      </c>
      <c r="E610" s="50" t="e">
        <f>SUM(#REF!)</f>
        <v>#REF!</v>
      </c>
      <c r="F610" s="47"/>
    </row>
    <row r="611" hidden="1" outlineLevel="1" spans="2:6">
      <c r="B611" s="65" t="s">
        <v>1085</v>
      </c>
      <c r="C611" s="61" t="s">
        <v>1086</v>
      </c>
      <c r="D611" s="50" t="e">
        <f>SUM(#REF!)</f>
        <v>#REF!</v>
      </c>
      <c r="E611" s="50" t="e">
        <f>SUM(#REF!)</f>
        <v>#REF!</v>
      </c>
      <c r="F611" s="47"/>
    </row>
    <row r="612" hidden="1" outlineLevel="1" spans="2:6">
      <c r="B612" s="65" t="s">
        <v>1087</v>
      </c>
      <c r="C612" s="61" t="s">
        <v>1088</v>
      </c>
      <c r="D612" s="50" t="e">
        <f>SUM(#REF!)</f>
        <v>#REF!</v>
      </c>
      <c r="E612" s="50" t="e">
        <f>SUM(#REF!)</f>
        <v>#REF!</v>
      </c>
      <c r="F612" s="47"/>
    </row>
    <row r="613" hidden="1" outlineLevel="1" spans="2:6">
      <c r="B613" s="65" t="s">
        <v>1089</v>
      </c>
      <c r="C613" s="61" t="s">
        <v>1090</v>
      </c>
      <c r="D613" s="50" t="e">
        <f>SUM(#REF!)</f>
        <v>#REF!</v>
      </c>
      <c r="E613" s="50" t="e">
        <f>SUM(#REF!)</f>
        <v>#REF!</v>
      </c>
      <c r="F613" s="47"/>
    </row>
    <row r="614" hidden="1" outlineLevel="1" spans="2:6">
      <c r="B614" s="65" t="s">
        <v>1091</v>
      </c>
      <c r="C614" s="61" t="s">
        <v>1092</v>
      </c>
      <c r="D614" s="50" t="e">
        <f>SUM(#REF!)</f>
        <v>#REF!</v>
      </c>
      <c r="E614" s="50" t="e">
        <f>SUM(#REF!)</f>
        <v>#REF!</v>
      </c>
      <c r="F614" s="47"/>
    </row>
    <row r="615" hidden="1" outlineLevel="1" spans="2:6">
      <c r="B615" s="65" t="s">
        <v>1093</v>
      </c>
      <c r="C615" s="61" t="s">
        <v>1094</v>
      </c>
      <c r="D615" s="50" t="e">
        <f>SUM(#REF!)</f>
        <v>#REF!</v>
      </c>
      <c r="E615" s="50" t="e">
        <f>SUM(#REF!)</f>
        <v>#REF!</v>
      </c>
      <c r="F615" s="47"/>
    </row>
    <row r="616" hidden="1" outlineLevel="1" spans="2:6">
      <c r="B616" s="65" t="s">
        <v>1095</v>
      </c>
      <c r="C616" s="61" t="s">
        <v>1096</v>
      </c>
      <c r="D616" s="50" t="e">
        <f>SUM(#REF!)</f>
        <v>#REF!</v>
      </c>
      <c r="E616" s="50" t="e">
        <f>SUM(#REF!)</f>
        <v>#REF!</v>
      </c>
      <c r="F616" s="47"/>
    </row>
    <row r="617" hidden="1" outlineLevel="1" spans="2:6">
      <c r="B617" s="65" t="s">
        <v>1097</v>
      </c>
      <c r="C617" s="61" t="s">
        <v>1098</v>
      </c>
      <c r="D617" s="50" t="e">
        <f>SUM(#REF!)</f>
        <v>#REF!</v>
      </c>
      <c r="E617" s="50" t="e">
        <f>SUM(#REF!)</f>
        <v>#REF!</v>
      </c>
      <c r="F617" s="47"/>
    </row>
    <row r="618" hidden="1" outlineLevel="1" spans="2:6">
      <c r="B618" s="65" t="s">
        <v>1099</v>
      </c>
      <c r="C618" s="61" t="s">
        <v>1100</v>
      </c>
      <c r="D618" s="50" t="e">
        <f>SUM(#REF!)</f>
        <v>#REF!</v>
      </c>
      <c r="E618" s="50" t="e">
        <f>SUM(#REF!)</f>
        <v>#REF!</v>
      </c>
      <c r="F618" s="47"/>
    </row>
    <row r="619" hidden="1" outlineLevel="1" spans="2:6">
      <c r="B619" s="65" t="s">
        <v>1101</v>
      </c>
      <c r="C619" s="61" t="s">
        <v>1102</v>
      </c>
      <c r="D619" s="50" t="e">
        <f>SUM(#REF!)</f>
        <v>#REF!</v>
      </c>
      <c r="E619" s="50" t="e">
        <f>SUM(#REF!)</f>
        <v>#REF!</v>
      </c>
      <c r="F619" s="47"/>
    </row>
    <row r="620" hidden="1" outlineLevel="1" spans="2:6">
      <c r="B620" s="65" t="s">
        <v>1103</v>
      </c>
      <c r="C620" s="61" t="s">
        <v>1104</v>
      </c>
      <c r="D620" s="50" t="e">
        <f>SUM(#REF!)</f>
        <v>#REF!</v>
      </c>
      <c r="E620" s="50" t="e">
        <f>SUM(#REF!)</f>
        <v>#REF!</v>
      </c>
      <c r="F620" s="47"/>
    </row>
    <row r="621" hidden="1" outlineLevel="1" spans="2:6">
      <c r="B621" s="65" t="s">
        <v>1105</v>
      </c>
      <c r="C621" s="61" t="s">
        <v>1106</v>
      </c>
      <c r="D621" s="50" t="e">
        <f>SUM(#REF!)</f>
        <v>#REF!</v>
      </c>
      <c r="E621" s="50" t="e">
        <f>SUM(#REF!)</f>
        <v>#REF!</v>
      </c>
      <c r="F621" s="47"/>
    </row>
    <row r="622" hidden="1" outlineLevel="1" spans="2:6">
      <c r="B622" s="65" t="s">
        <v>1107</v>
      </c>
      <c r="C622" s="61" t="s">
        <v>1108</v>
      </c>
      <c r="D622" s="50" t="e">
        <f>SUM(#REF!)</f>
        <v>#REF!</v>
      </c>
      <c r="E622" s="50" t="e">
        <f>SUM(#REF!)</f>
        <v>#REF!</v>
      </c>
      <c r="F622" s="47"/>
    </row>
    <row r="623" hidden="1" outlineLevel="1" spans="2:6">
      <c r="B623" s="65" t="s">
        <v>1109</v>
      </c>
      <c r="C623" s="61" t="s">
        <v>1110</v>
      </c>
      <c r="D623" s="50" t="e">
        <f>SUM(#REF!)</f>
        <v>#REF!</v>
      </c>
      <c r="E623" s="50" t="e">
        <f>SUM(#REF!)</f>
        <v>#REF!</v>
      </c>
      <c r="F623" s="47"/>
    </row>
    <row r="624" hidden="1" outlineLevel="1" spans="2:6">
      <c r="B624" s="65" t="s">
        <v>1111</v>
      </c>
      <c r="C624" s="61" t="s">
        <v>1112</v>
      </c>
      <c r="D624" s="50" t="e">
        <f>SUM(#REF!)</f>
        <v>#REF!</v>
      </c>
      <c r="E624" s="50" t="e">
        <f>SUM(#REF!)</f>
        <v>#REF!</v>
      </c>
      <c r="F624" s="47"/>
    </row>
    <row r="625" hidden="1" outlineLevel="1" spans="2:6">
      <c r="B625" s="65" t="s">
        <v>1113</v>
      </c>
      <c r="C625" s="61" t="s">
        <v>1114</v>
      </c>
      <c r="D625" s="50" t="e">
        <f>SUM(#REF!)</f>
        <v>#REF!</v>
      </c>
      <c r="E625" s="50" t="e">
        <f>SUM(#REF!)</f>
        <v>#REF!</v>
      </c>
      <c r="F625" s="47"/>
    </row>
    <row r="626" hidden="1" outlineLevel="1" spans="2:6">
      <c r="B626" s="65" t="s">
        <v>1115</v>
      </c>
      <c r="C626" s="61" t="s">
        <v>1116</v>
      </c>
      <c r="D626" s="50" t="e">
        <f>SUM(#REF!)</f>
        <v>#REF!</v>
      </c>
      <c r="E626" s="50" t="e">
        <f>SUM(#REF!)</f>
        <v>#REF!</v>
      </c>
      <c r="F626" s="47"/>
    </row>
    <row r="627" hidden="1" outlineLevel="1" spans="2:6">
      <c r="B627" s="65" t="s">
        <v>1117</v>
      </c>
      <c r="C627" s="61" t="s">
        <v>1118</v>
      </c>
      <c r="D627" s="50" t="e">
        <f>SUM(#REF!)</f>
        <v>#REF!</v>
      </c>
      <c r="E627" s="50" t="e">
        <f>SUM(#REF!)</f>
        <v>#REF!</v>
      </c>
      <c r="F627" s="47"/>
    </row>
    <row r="628" hidden="1" outlineLevel="1" spans="2:6">
      <c r="B628" s="65" t="s">
        <v>1119</v>
      </c>
      <c r="C628" s="61" t="s">
        <v>1120</v>
      </c>
      <c r="D628" s="50" t="e">
        <f>SUM(#REF!)</f>
        <v>#REF!</v>
      </c>
      <c r="E628" s="50" t="e">
        <f>SUM(#REF!)</f>
        <v>#REF!</v>
      </c>
      <c r="F628" s="47"/>
    </row>
    <row r="629" hidden="1" outlineLevel="1" spans="2:6">
      <c r="B629" s="65" t="s">
        <v>1121</v>
      </c>
      <c r="C629" s="61" t="s">
        <v>1122</v>
      </c>
      <c r="D629" s="50" t="e">
        <f>SUM(#REF!)</f>
        <v>#REF!</v>
      </c>
      <c r="E629" s="50" t="e">
        <f>SUM(#REF!)</f>
        <v>#REF!</v>
      </c>
      <c r="F629" s="47"/>
    </row>
    <row r="630" hidden="1" outlineLevel="1" spans="2:6">
      <c r="B630" s="65" t="s">
        <v>1123</v>
      </c>
      <c r="C630" s="61" t="s">
        <v>1124</v>
      </c>
      <c r="D630" s="50" t="e">
        <f>SUM(#REF!)</f>
        <v>#REF!</v>
      </c>
      <c r="E630" s="50" t="e">
        <f>SUM(#REF!)</f>
        <v>#REF!</v>
      </c>
      <c r="F630" s="47"/>
    </row>
    <row r="631" hidden="1" outlineLevel="1" spans="2:6">
      <c r="B631" s="65" t="s">
        <v>1125</v>
      </c>
      <c r="C631" s="61" t="s">
        <v>1126</v>
      </c>
      <c r="D631" s="50" t="e">
        <f>SUM(#REF!)</f>
        <v>#REF!</v>
      </c>
      <c r="E631" s="50" t="e">
        <f>SUM(#REF!)</f>
        <v>#REF!</v>
      </c>
      <c r="F631" s="47"/>
    </row>
    <row r="632" hidden="1" outlineLevel="1" spans="2:6">
      <c r="B632" s="65" t="s">
        <v>1127</v>
      </c>
      <c r="C632" s="61" t="s">
        <v>1128</v>
      </c>
      <c r="D632" s="50" t="e">
        <f>SUM(#REF!)</f>
        <v>#REF!</v>
      </c>
      <c r="E632" s="50" t="e">
        <f>SUM(#REF!)</f>
        <v>#REF!</v>
      </c>
      <c r="F632" s="47"/>
    </row>
    <row r="633" hidden="1" outlineLevel="1" spans="2:6">
      <c r="B633" s="65" t="s">
        <v>1129</v>
      </c>
      <c r="C633" s="61" t="s">
        <v>1130</v>
      </c>
      <c r="D633" s="50" t="e">
        <f>SUM(#REF!)</f>
        <v>#REF!</v>
      </c>
      <c r="E633" s="50" t="e">
        <f>SUM(#REF!)</f>
        <v>#REF!</v>
      </c>
      <c r="F633" s="47"/>
    </row>
    <row r="634" hidden="1" outlineLevel="1" spans="2:6">
      <c r="B634" s="65" t="s">
        <v>1131</v>
      </c>
      <c r="C634" s="61" t="s">
        <v>1132</v>
      </c>
      <c r="D634" s="50" t="e">
        <f>SUM(#REF!)</f>
        <v>#REF!</v>
      </c>
      <c r="E634" s="50" t="e">
        <f>SUM(#REF!)</f>
        <v>#REF!</v>
      </c>
      <c r="F634" s="47"/>
    </row>
    <row r="635" hidden="1" outlineLevel="1" spans="2:6">
      <c r="B635" s="65" t="s">
        <v>1133</v>
      </c>
      <c r="C635" s="61" t="s">
        <v>1134</v>
      </c>
      <c r="D635" s="50" t="e">
        <f>SUM(#REF!)</f>
        <v>#REF!</v>
      </c>
      <c r="E635" s="50" t="e">
        <f>SUM(#REF!)</f>
        <v>#REF!</v>
      </c>
      <c r="F635" s="47"/>
    </row>
    <row r="636" hidden="1" outlineLevel="1" spans="2:6">
      <c r="B636" s="65" t="s">
        <v>1135</v>
      </c>
      <c r="C636" s="61" t="s">
        <v>1136</v>
      </c>
      <c r="D636" s="50" t="e">
        <f>SUM(#REF!)</f>
        <v>#REF!</v>
      </c>
      <c r="E636" s="50" t="e">
        <f>SUM(#REF!)</f>
        <v>#REF!</v>
      </c>
      <c r="F636" s="47"/>
    </row>
    <row r="637" hidden="1" outlineLevel="1" spans="2:6">
      <c r="B637" s="65" t="s">
        <v>1137</v>
      </c>
      <c r="C637" s="61" t="s">
        <v>1138</v>
      </c>
      <c r="D637" s="50" t="e">
        <f>SUM(#REF!)</f>
        <v>#REF!</v>
      </c>
      <c r="E637" s="50" t="e">
        <f>SUM(#REF!)</f>
        <v>#REF!</v>
      </c>
      <c r="F637" s="47"/>
    </row>
    <row r="638" hidden="1" outlineLevel="1" spans="2:6">
      <c r="B638" s="65" t="s">
        <v>1139</v>
      </c>
      <c r="C638" s="61" t="s">
        <v>1140</v>
      </c>
      <c r="D638" s="50" t="e">
        <f>SUM(#REF!)</f>
        <v>#REF!</v>
      </c>
      <c r="E638" s="50" t="e">
        <f>SUM(#REF!)</f>
        <v>#REF!</v>
      </c>
      <c r="F638" s="47"/>
    </row>
    <row r="639" hidden="1" outlineLevel="1" spans="2:6">
      <c r="B639" s="65" t="s">
        <v>1141</v>
      </c>
      <c r="C639" s="61" t="s">
        <v>1142</v>
      </c>
      <c r="D639" s="50" t="e">
        <f>SUM(#REF!)</f>
        <v>#REF!</v>
      </c>
      <c r="E639" s="50" t="e">
        <f>SUM(#REF!)</f>
        <v>#REF!</v>
      </c>
      <c r="F639" s="47"/>
    </row>
    <row r="640" hidden="1" outlineLevel="1" spans="2:6">
      <c r="B640" s="65" t="s">
        <v>1143</v>
      </c>
      <c r="C640" s="61" t="s">
        <v>1144</v>
      </c>
      <c r="D640" s="50" t="e">
        <f>SUM(#REF!)</f>
        <v>#REF!</v>
      </c>
      <c r="E640" s="50" t="e">
        <f>SUM(#REF!)</f>
        <v>#REF!</v>
      </c>
      <c r="F640" s="47"/>
    </row>
    <row r="641" hidden="1" outlineLevel="1" spans="2:6">
      <c r="B641" s="65" t="s">
        <v>1145</v>
      </c>
      <c r="C641" s="61" t="s">
        <v>1146</v>
      </c>
      <c r="D641" s="50" t="e">
        <f>SUM(#REF!)</f>
        <v>#REF!</v>
      </c>
      <c r="E641" s="50" t="e">
        <f>SUM(#REF!)</f>
        <v>#REF!</v>
      </c>
      <c r="F641" s="47"/>
    </row>
    <row r="642" hidden="1" outlineLevel="1" spans="2:6">
      <c r="B642" s="65" t="s">
        <v>1147</v>
      </c>
      <c r="C642" s="61" t="s">
        <v>1148</v>
      </c>
      <c r="D642" s="50" t="e">
        <f>SUM(#REF!)</f>
        <v>#REF!</v>
      </c>
      <c r="E642" s="50" t="e">
        <f>SUM(#REF!)</f>
        <v>#REF!</v>
      </c>
      <c r="F642" s="47"/>
    </row>
    <row r="643" hidden="1" outlineLevel="1" spans="2:6">
      <c r="B643" s="65" t="s">
        <v>1149</v>
      </c>
      <c r="C643" s="61" t="s">
        <v>1150</v>
      </c>
      <c r="D643" s="50" t="e">
        <f>SUM(#REF!)</f>
        <v>#REF!</v>
      </c>
      <c r="E643" s="50" t="e">
        <f>SUM(#REF!)</f>
        <v>#REF!</v>
      </c>
      <c r="F643" s="47"/>
    </row>
    <row r="644" hidden="1" outlineLevel="1" spans="2:6">
      <c r="B644" s="65" t="s">
        <v>1151</v>
      </c>
      <c r="C644" s="61" t="s">
        <v>1152</v>
      </c>
      <c r="D644" s="50" t="e">
        <f>SUM(#REF!)</f>
        <v>#REF!</v>
      </c>
      <c r="E644" s="50" t="e">
        <f>SUM(#REF!)</f>
        <v>#REF!</v>
      </c>
      <c r="F644" s="47"/>
    </row>
    <row r="645" hidden="1" outlineLevel="1" spans="2:6">
      <c r="B645" s="65" t="s">
        <v>1153</v>
      </c>
      <c r="C645" s="61" t="s">
        <v>1154</v>
      </c>
      <c r="D645" s="50" t="e">
        <f>SUM(#REF!)</f>
        <v>#REF!</v>
      </c>
      <c r="E645" s="50" t="e">
        <f>SUM(#REF!)</f>
        <v>#REF!</v>
      </c>
      <c r="F645" s="47"/>
    </row>
    <row r="646" hidden="1" outlineLevel="1" spans="2:6">
      <c r="B646" s="65" t="s">
        <v>1155</v>
      </c>
      <c r="C646" s="61" t="s">
        <v>1156</v>
      </c>
      <c r="D646" s="50" t="e">
        <f>SUM(#REF!)</f>
        <v>#REF!</v>
      </c>
      <c r="E646" s="50" t="e">
        <f>SUM(#REF!)</f>
        <v>#REF!</v>
      </c>
      <c r="F646" s="47"/>
    </row>
    <row r="647" hidden="1" outlineLevel="1" spans="2:6">
      <c r="B647" s="65" t="s">
        <v>1157</v>
      </c>
      <c r="C647" s="61" t="s">
        <v>1158</v>
      </c>
      <c r="D647" s="50" t="e">
        <f>SUM(#REF!)</f>
        <v>#REF!</v>
      </c>
      <c r="E647" s="50" t="e">
        <f>SUM(#REF!)</f>
        <v>#REF!</v>
      </c>
      <c r="F647" s="47"/>
    </row>
    <row r="648" hidden="1" outlineLevel="1" spans="2:6">
      <c r="B648" s="65" t="s">
        <v>1159</v>
      </c>
      <c r="C648" s="61" t="s">
        <v>1160</v>
      </c>
      <c r="D648" s="50" t="e">
        <f>SUM(#REF!)</f>
        <v>#REF!</v>
      </c>
      <c r="E648" s="50" t="e">
        <f>SUM(#REF!)</f>
        <v>#REF!</v>
      </c>
      <c r="F648" s="47"/>
    </row>
    <row r="649" hidden="1" outlineLevel="1" spans="2:6">
      <c r="B649" s="65" t="s">
        <v>1161</v>
      </c>
      <c r="C649" s="61" t="s">
        <v>1162</v>
      </c>
      <c r="D649" s="50" t="e">
        <f>SUM(#REF!)</f>
        <v>#REF!</v>
      </c>
      <c r="E649" s="50" t="e">
        <f>SUM(#REF!)</f>
        <v>#REF!</v>
      </c>
      <c r="F649" s="47"/>
    </row>
    <row r="650" hidden="1" outlineLevel="1" spans="2:6">
      <c r="B650" s="65" t="s">
        <v>1163</v>
      </c>
      <c r="C650" s="61" t="s">
        <v>1164</v>
      </c>
      <c r="D650" s="50" t="e">
        <f>SUM(#REF!)</f>
        <v>#REF!</v>
      </c>
      <c r="E650" s="50" t="e">
        <f>SUM(#REF!)</f>
        <v>#REF!</v>
      </c>
      <c r="F650" s="47"/>
    </row>
    <row r="651" hidden="1" outlineLevel="1" spans="2:6">
      <c r="B651" s="65" t="s">
        <v>1165</v>
      </c>
      <c r="C651" s="61" t="s">
        <v>1166</v>
      </c>
      <c r="D651" s="50" t="e">
        <f>SUM(#REF!)</f>
        <v>#REF!</v>
      </c>
      <c r="E651" s="50" t="e">
        <f>SUM(#REF!)</f>
        <v>#REF!</v>
      </c>
      <c r="F651" s="47"/>
    </row>
    <row r="652" hidden="1" outlineLevel="1" spans="2:6">
      <c r="B652" s="65" t="s">
        <v>1167</v>
      </c>
      <c r="C652" s="61" t="s">
        <v>1168</v>
      </c>
      <c r="D652" s="50" t="e">
        <f>SUM(#REF!)</f>
        <v>#REF!</v>
      </c>
      <c r="E652" s="50" t="e">
        <f>SUM(#REF!)</f>
        <v>#REF!</v>
      </c>
      <c r="F652" s="47"/>
    </row>
    <row r="653" hidden="1" outlineLevel="1" spans="2:6">
      <c r="B653" s="65" t="s">
        <v>1169</v>
      </c>
      <c r="C653" s="61" t="s">
        <v>1170</v>
      </c>
      <c r="D653" s="50" t="e">
        <f>SUM(#REF!)</f>
        <v>#REF!</v>
      </c>
      <c r="E653" s="50" t="e">
        <f>SUM(#REF!)</f>
        <v>#REF!</v>
      </c>
      <c r="F653" s="47"/>
    </row>
    <row r="654" hidden="1" outlineLevel="1" spans="2:6">
      <c r="B654" s="65" t="s">
        <v>1171</v>
      </c>
      <c r="C654" s="61" t="s">
        <v>1172</v>
      </c>
      <c r="D654" s="50" t="e">
        <f>SUM(#REF!)</f>
        <v>#REF!</v>
      </c>
      <c r="E654" s="50" t="e">
        <f>SUM(#REF!)</f>
        <v>#REF!</v>
      </c>
      <c r="F654" s="47"/>
    </row>
    <row r="655" hidden="1" outlineLevel="1" spans="2:6">
      <c r="B655" s="65" t="s">
        <v>1173</v>
      </c>
      <c r="C655" s="61" t="s">
        <v>1174</v>
      </c>
      <c r="D655" s="50" t="e">
        <f>SUM(#REF!)</f>
        <v>#REF!</v>
      </c>
      <c r="E655" s="50" t="e">
        <f>SUM(#REF!)</f>
        <v>#REF!</v>
      </c>
      <c r="F655" s="47"/>
    </row>
    <row r="656" hidden="1" outlineLevel="1" spans="2:6">
      <c r="B656" s="65" t="s">
        <v>1175</v>
      </c>
      <c r="C656" s="61" t="s">
        <v>1176</v>
      </c>
      <c r="D656" s="50" t="e">
        <f>SUM(#REF!)</f>
        <v>#REF!</v>
      </c>
      <c r="E656" s="50" t="e">
        <f>SUM(#REF!)</f>
        <v>#REF!</v>
      </c>
      <c r="F656" s="47"/>
    </row>
    <row r="657" hidden="1" outlineLevel="1" spans="2:6">
      <c r="B657" s="65" t="s">
        <v>1177</v>
      </c>
      <c r="C657" s="61" t="s">
        <v>1178</v>
      </c>
      <c r="D657" s="50" t="e">
        <f>SUM(#REF!)</f>
        <v>#REF!</v>
      </c>
      <c r="E657" s="50" t="e">
        <f>SUM(#REF!)</f>
        <v>#REF!</v>
      </c>
      <c r="F657" s="47"/>
    </row>
    <row r="658" hidden="1" outlineLevel="1" spans="2:6">
      <c r="B658" s="65" t="s">
        <v>1179</v>
      </c>
      <c r="C658" s="61" t="s">
        <v>1180</v>
      </c>
      <c r="D658" s="50" t="e">
        <f>SUM(#REF!)</f>
        <v>#REF!</v>
      </c>
      <c r="E658" s="50" t="e">
        <f>SUM(#REF!)</f>
        <v>#REF!</v>
      </c>
      <c r="F658" s="47"/>
    </row>
    <row r="659" hidden="1" outlineLevel="1" spans="2:6">
      <c r="B659" s="65" t="s">
        <v>1181</v>
      </c>
      <c r="C659" s="61" t="s">
        <v>1182</v>
      </c>
      <c r="D659" s="50" t="e">
        <f>SUM(#REF!)</f>
        <v>#REF!</v>
      </c>
      <c r="E659" s="50" t="e">
        <f>SUM(#REF!)</f>
        <v>#REF!</v>
      </c>
      <c r="F659" s="47"/>
    </row>
    <row r="660" hidden="1" outlineLevel="1" spans="2:6">
      <c r="B660" s="65" t="s">
        <v>1183</v>
      </c>
      <c r="C660" s="61" t="s">
        <v>1184</v>
      </c>
      <c r="D660" s="50" t="e">
        <f>SUM(#REF!)</f>
        <v>#REF!</v>
      </c>
      <c r="E660" s="50" t="e">
        <f>SUM(#REF!)</f>
        <v>#REF!</v>
      </c>
      <c r="F660" s="47"/>
    </row>
    <row r="661" hidden="1" outlineLevel="1" spans="2:6">
      <c r="B661" s="65" t="s">
        <v>1185</v>
      </c>
      <c r="C661" s="61" t="s">
        <v>1186</v>
      </c>
      <c r="D661" s="50" t="e">
        <f>SUM(#REF!)</f>
        <v>#REF!</v>
      </c>
      <c r="E661" s="50" t="e">
        <f>SUM(#REF!)</f>
        <v>#REF!</v>
      </c>
      <c r="F661" s="47"/>
    </row>
    <row r="662" hidden="1" outlineLevel="1" spans="2:6">
      <c r="B662" s="65" t="s">
        <v>1187</v>
      </c>
      <c r="C662" s="61" t="s">
        <v>1188</v>
      </c>
      <c r="D662" s="50" t="e">
        <f>SUM(#REF!)</f>
        <v>#REF!</v>
      </c>
      <c r="E662" s="50" t="e">
        <f>SUM(#REF!)</f>
        <v>#REF!</v>
      </c>
      <c r="F662" s="47"/>
    </row>
    <row r="663" hidden="1" outlineLevel="1" spans="2:6">
      <c r="B663" s="65" t="s">
        <v>1189</v>
      </c>
      <c r="C663" s="61" t="s">
        <v>1190</v>
      </c>
      <c r="D663" s="50" t="e">
        <f>SUM(#REF!)</f>
        <v>#REF!</v>
      </c>
      <c r="E663" s="50" t="e">
        <f>SUM(#REF!)</f>
        <v>#REF!</v>
      </c>
      <c r="F663" s="47"/>
    </row>
    <row r="664" hidden="1" outlineLevel="1" spans="2:6">
      <c r="B664" s="65" t="s">
        <v>1191</v>
      </c>
      <c r="C664" s="61" t="s">
        <v>1192</v>
      </c>
      <c r="D664" s="50" t="e">
        <f>SUM(#REF!)</f>
        <v>#REF!</v>
      </c>
      <c r="E664" s="50" t="e">
        <f>SUM(#REF!)</f>
        <v>#REF!</v>
      </c>
      <c r="F664" s="47"/>
    </row>
    <row r="665" hidden="1" outlineLevel="1" spans="2:6">
      <c r="B665" s="65" t="s">
        <v>1193</v>
      </c>
      <c r="C665" s="61" t="s">
        <v>1194</v>
      </c>
      <c r="D665" s="50" t="e">
        <f>SUM(#REF!)</f>
        <v>#REF!</v>
      </c>
      <c r="E665" s="50" t="e">
        <f>SUM(#REF!)</f>
        <v>#REF!</v>
      </c>
      <c r="F665" s="47"/>
    </row>
    <row r="666" hidden="1" outlineLevel="1" spans="2:6">
      <c r="B666" s="65" t="s">
        <v>1195</v>
      </c>
      <c r="C666" s="61" t="s">
        <v>1196</v>
      </c>
      <c r="D666" s="50" t="e">
        <f>SUM(#REF!)</f>
        <v>#REF!</v>
      </c>
      <c r="E666" s="50" t="e">
        <f>SUM(#REF!)</f>
        <v>#REF!</v>
      </c>
      <c r="F666" s="47"/>
    </row>
    <row r="667" hidden="1" outlineLevel="1" spans="2:6">
      <c r="B667" s="65" t="s">
        <v>1197</v>
      </c>
      <c r="C667" s="61" t="s">
        <v>1198</v>
      </c>
      <c r="D667" s="50" t="e">
        <f>SUM(#REF!)</f>
        <v>#REF!</v>
      </c>
      <c r="E667" s="50" t="e">
        <f>SUM(#REF!)</f>
        <v>#REF!</v>
      </c>
      <c r="F667" s="47"/>
    </row>
    <row r="668" hidden="1" outlineLevel="1" spans="2:6">
      <c r="B668" s="65" t="s">
        <v>1199</v>
      </c>
      <c r="C668" s="61" t="s">
        <v>1200</v>
      </c>
      <c r="D668" s="50" t="e">
        <f>SUM(#REF!)</f>
        <v>#REF!</v>
      </c>
      <c r="E668" s="50" t="e">
        <f>SUM(#REF!)</f>
        <v>#REF!</v>
      </c>
      <c r="F668" s="47"/>
    </row>
    <row r="669" hidden="1" outlineLevel="1" spans="2:6">
      <c r="B669" s="65" t="s">
        <v>1201</v>
      </c>
      <c r="C669" s="61" t="s">
        <v>1202</v>
      </c>
      <c r="D669" s="50" t="e">
        <f>SUM(#REF!)</f>
        <v>#REF!</v>
      </c>
      <c r="E669" s="50" t="e">
        <f>SUM(#REF!)</f>
        <v>#REF!</v>
      </c>
      <c r="F669" s="47"/>
    </row>
    <row r="670" hidden="1" outlineLevel="1" spans="2:6">
      <c r="B670" s="65" t="s">
        <v>1203</v>
      </c>
      <c r="C670" s="61" t="s">
        <v>1204</v>
      </c>
      <c r="D670" s="50" t="e">
        <f>SUM(#REF!)</f>
        <v>#REF!</v>
      </c>
      <c r="E670" s="50" t="e">
        <f>SUM(#REF!)</f>
        <v>#REF!</v>
      </c>
      <c r="F670" s="47"/>
    </row>
    <row r="671" hidden="1" outlineLevel="1" spans="2:6">
      <c r="B671" s="65" t="s">
        <v>1205</v>
      </c>
      <c r="C671" s="61" t="s">
        <v>1204</v>
      </c>
      <c r="D671" s="50" t="e">
        <f>SUM(#REF!)</f>
        <v>#REF!</v>
      </c>
      <c r="E671" s="50" t="e">
        <f>SUM(#REF!)</f>
        <v>#REF!</v>
      </c>
      <c r="F671" s="47"/>
    </row>
    <row r="672" hidden="1" outlineLevel="1" spans="2:6">
      <c r="B672" s="65" t="s">
        <v>1206</v>
      </c>
      <c r="C672" s="61" t="s">
        <v>1207</v>
      </c>
      <c r="D672" s="50" t="e">
        <f>SUM(#REF!)</f>
        <v>#REF!</v>
      </c>
      <c r="E672" s="50" t="e">
        <f>SUM(#REF!)</f>
        <v>#REF!</v>
      </c>
      <c r="F672" s="47"/>
    </row>
    <row r="673" hidden="1" outlineLevel="1" spans="2:6">
      <c r="B673" s="65" t="s">
        <v>1208</v>
      </c>
      <c r="C673" s="61" t="s">
        <v>1209</v>
      </c>
      <c r="D673" s="50" t="e">
        <f>SUM(#REF!)</f>
        <v>#REF!</v>
      </c>
      <c r="E673" s="50" t="e">
        <f>SUM(#REF!)</f>
        <v>#REF!</v>
      </c>
      <c r="F673" s="47"/>
    </row>
    <row r="674" hidden="1" outlineLevel="1" spans="2:6">
      <c r="B674" s="65" t="s">
        <v>1210</v>
      </c>
      <c r="C674" s="61" t="s">
        <v>1211</v>
      </c>
      <c r="D674" s="50" t="e">
        <f>SUM(#REF!)</f>
        <v>#REF!</v>
      </c>
      <c r="E674" s="50" t="e">
        <f>SUM(#REF!)</f>
        <v>#REF!</v>
      </c>
      <c r="F674" s="47"/>
    </row>
    <row r="675" hidden="1" outlineLevel="1" spans="2:6">
      <c r="B675" s="65" t="s">
        <v>1212</v>
      </c>
      <c r="C675" s="61" t="s">
        <v>1213</v>
      </c>
      <c r="D675" s="50" t="e">
        <f>SUM(#REF!)</f>
        <v>#REF!</v>
      </c>
      <c r="E675" s="50" t="e">
        <f>SUM(#REF!)</f>
        <v>#REF!</v>
      </c>
      <c r="F675" s="47"/>
    </row>
    <row r="676" hidden="1" outlineLevel="1" spans="2:6">
      <c r="B676" s="65" t="s">
        <v>1214</v>
      </c>
      <c r="C676" s="61" t="s">
        <v>1215</v>
      </c>
      <c r="D676" s="50" t="e">
        <f>SUM(#REF!)</f>
        <v>#REF!</v>
      </c>
      <c r="E676" s="50" t="e">
        <f>SUM(#REF!)</f>
        <v>#REF!</v>
      </c>
      <c r="F676" s="47"/>
    </row>
    <row r="677" hidden="1" outlineLevel="1" spans="2:6">
      <c r="B677" s="65" t="s">
        <v>1216</v>
      </c>
      <c r="C677" s="61" t="s">
        <v>1217</v>
      </c>
      <c r="D677" s="50" t="e">
        <f>SUM(#REF!)</f>
        <v>#REF!</v>
      </c>
      <c r="E677" s="50" t="e">
        <f>SUM(#REF!)</f>
        <v>#REF!</v>
      </c>
      <c r="F677" s="47"/>
    </row>
    <row r="678" hidden="1" outlineLevel="1" spans="2:6">
      <c r="B678" s="65" t="s">
        <v>1218</v>
      </c>
      <c r="C678" s="61" t="s">
        <v>1219</v>
      </c>
      <c r="D678" s="50" t="e">
        <f>SUM(#REF!)</f>
        <v>#REF!</v>
      </c>
      <c r="E678" s="50" t="e">
        <f>SUM(#REF!)</f>
        <v>#REF!</v>
      </c>
      <c r="F678" s="47"/>
    </row>
    <row r="679" hidden="1" outlineLevel="1" spans="2:6">
      <c r="B679" s="65" t="s">
        <v>1220</v>
      </c>
      <c r="C679" s="61" t="s">
        <v>1221</v>
      </c>
      <c r="D679" s="50" t="e">
        <f>SUM(#REF!)</f>
        <v>#REF!</v>
      </c>
      <c r="E679" s="50" t="e">
        <f>SUM(#REF!)</f>
        <v>#REF!</v>
      </c>
      <c r="F679" s="47"/>
    </row>
    <row r="680" hidden="1" outlineLevel="1" spans="2:6">
      <c r="B680" s="65" t="s">
        <v>1222</v>
      </c>
      <c r="C680" s="61" t="s">
        <v>1223</v>
      </c>
      <c r="D680" s="50" t="e">
        <f>SUM(#REF!)</f>
        <v>#REF!</v>
      </c>
      <c r="E680" s="50" t="e">
        <f>SUM(#REF!)</f>
        <v>#REF!</v>
      </c>
      <c r="F680" s="47"/>
    </row>
    <row r="681" hidden="1" outlineLevel="1" spans="2:6">
      <c r="B681" s="65" t="s">
        <v>1224</v>
      </c>
      <c r="C681" s="61" t="s">
        <v>1225</v>
      </c>
      <c r="D681" s="50" t="e">
        <f>SUM(#REF!)</f>
        <v>#REF!</v>
      </c>
      <c r="E681" s="50" t="e">
        <f>SUM(#REF!)</f>
        <v>#REF!</v>
      </c>
      <c r="F681" s="47"/>
    </row>
    <row r="682" hidden="1" outlineLevel="1" spans="2:6">
      <c r="B682" s="65" t="s">
        <v>1226</v>
      </c>
      <c r="C682" s="61" t="s">
        <v>1227</v>
      </c>
      <c r="D682" s="50" t="e">
        <f>SUM(#REF!)</f>
        <v>#REF!</v>
      </c>
      <c r="E682" s="50" t="e">
        <f>SUM(#REF!)</f>
        <v>#REF!</v>
      </c>
      <c r="F682" s="47"/>
    </row>
    <row r="683" hidden="1" outlineLevel="1" spans="2:6">
      <c r="B683" s="65" t="s">
        <v>1228</v>
      </c>
      <c r="C683" s="61" t="s">
        <v>1229</v>
      </c>
      <c r="D683" s="50" t="e">
        <f>SUM(#REF!)</f>
        <v>#REF!</v>
      </c>
      <c r="E683" s="50" t="e">
        <f>SUM(#REF!)</f>
        <v>#REF!</v>
      </c>
      <c r="F683" s="47"/>
    </row>
    <row r="684" hidden="1" outlineLevel="1" spans="2:6">
      <c r="B684" s="65" t="s">
        <v>1230</v>
      </c>
      <c r="C684" s="61" t="s">
        <v>1231</v>
      </c>
      <c r="D684" s="50" t="e">
        <f>SUM(#REF!)</f>
        <v>#REF!</v>
      </c>
      <c r="E684" s="50" t="e">
        <f>SUM(#REF!)</f>
        <v>#REF!</v>
      </c>
      <c r="F684" s="47"/>
    </row>
    <row r="685" hidden="1" outlineLevel="1" spans="2:6">
      <c r="B685" s="65" t="s">
        <v>1232</v>
      </c>
      <c r="C685" s="61" t="s">
        <v>1233</v>
      </c>
      <c r="D685" s="50" t="e">
        <f>SUM(#REF!)</f>
        <v>#REF!</v>
      </c>
      <c r="E685" s="50" t="e">
        <f>SUM(#REF!)</f>
        <v>#REF!</v>
      </c>
      <c r="F685" s="47"/>
    </row>
    <row r="686" hidden="1" outlineLevel="1" spans="2:6">
      <c r="B686" s="65" t="s">
        <v>1234</v>
      </c>
      <c r="C686" s="61" t="s">
        <v>1235</v>
      </c>
      <c r="D686" s="50" t="e">
        <f>SUM(#REF!)</f>
        <v>#REF!</v>
      </c>
      <c r="E686" s="50" t="e">
        <f>SUM(#REF!)</f>
        <v>#REF!</v>
      </c>
      <c r="F686" s="47"/>
    </row>
    <row r="687" hidden="1" outlineLevel="1" spans="2:6">
      <c r="B687" s="65" t="s">
        <v>1236</v>
      </c>
      <c r="C687" s="61" t="s">
        <v>1237</v>
      </c>
      <c r="D687" s="50" t="e">
        <f>SUM(#REF!)</f>
        <v>#REF!</v>
      </c>
      <c r="E687" s="50" t="e">
        <f>SUM(#REF!)</f>
        <v>#REF!</v>
      </c>
      <c r="F687" s="47"/>
    </row>
    <row r="688" hidden="1" outlineLevel="1" spans="2:6">
      <c r="B688" s="65" t="s">
        <v>1238</v>
      </c>
      <c r="C688" s="61" t="s">
        <v>1239</v>
      </c>
      <c r="D688" s="50" t="e">
        <f>SUM(#REF!)</f>
        <v>#REF!</v>
      </c>
      <c r="E688" s="50" t="e">
        <f>SUM(#REF!)</f>
        <v>#REF!</v>
      </c>
      <c r="F688" s="47"/>
    </row>
    <row r="689" hidden="1" outlineLevel="1" spans="2:6">
      <c r="B689" s="65" t="s">
        <v>1240</v>
      </c>
      <c r="C689" s="61" t="s">
        <v>1241</v>
      </c>
      <c r="D689" s="50" t="e">
        <f>SUM(#REF!)</f>
        <v>#REF!</v>
      </c>
      <c r="E689" s="50" t="e">
        <f>SUM(#REF!)</f>
        <v>#REF!</v>
      </c>
      <c r="F689" s="47"/>
    </row>
    <row r="690" hidden="1" outlineLevel="1" spans="2:6">
      <c r="B690" s="65" t="s">
        <v>1242</v>
      </c>
      <c r="C690" s="61" t="s">
        <v>1243</v>
      </c>
      <c r="D690" s="50" t="e">
        <f>SUM(#REF!)</f>
        <v>#REF!</v>
      </c>
      <c r="E690" s="50" t="e">
        <f>SUM(#REF!)</f>
        <v>#REF!</v>
      </c>
      <c r="F690" s="47"/>
    </row>
    <row r="691" hidden="1" outlineLevel="1" spans="2:6">
      <c r="B691" s="65" t="s">
        <v>1244</v>
      </c>
      <c r="C691" s="61" t="s">
        <v>1245</v>
      </c>
      <c r="D691" s="50" t="e">
        <f>SUM(#REF!)</f>
        <v>#REF!</v>
      </c>
      <c r="E691" s="50" t="e">
        <f>SUM(#REF!)</f>
        <v>#REF!</v>
      </c>
      <c r="F691" s="47"/>
    </row>
    <row r="692" hidden="1" outlineLevel="1" spans="2:6">
      <c r="B692" s="65" t="s">
        <v>1246</v>
      </c>
      <c r="C692" s="61" t="s">
        <v>1247</v>
      </c>
      <c r="D692" s="50" t="e">
        <f>SUM(#REF!)</f>
        <v>#REF!</v>
      </c>
      <c r="E692" s="50" t="e">
        <f>SUM(#REF!)</f>
        <v>#REF!</v>
      </c>
      <c r="F692" s="47"/>
    </row>
    <row r="693" hidden="1" outlineLevel="1" spans="2:6">
      <c r="B693" s="65" t="s">
        <v>1248</v>
      </c>
      <c r="C693" s="61" t="s">
        <v>1249</v>
      </c>
      <c r="D693" s="50" t="e">
        <f>SUM(#REF!)</f>
        <v>#REF!</v>
      </c>
      <c r="E693" s="50" t="e">
        <f>SUM(#REF!)</f>
        <v>#REF!</v>
      </c>
      <c r="F693" s="47"/>
    </row>
    <row r="694" hidden="1" outlineLevel="1" spans="2:6">
      <c r="B694" s="65" t="s">
        <v>1250</v>
      </c>
      <c r="C694" s="61" t="s">
        <v>1251</v>
      </c>
      <c r="D694" s="50" t="e">
        <f>SUM(#REF!)</f>
        <v>#REF!</v>
      </c>
      <c r="E694" s="50" t="e">
        <f>SUM(#REF!)</f>
        <v>#REF!</v>
      </c>
      <c r="F694" s="47"/>
    </row>
    <row r="695" hidden="1" outlineLevel="1" spans="2:6">
      <c r="B695" s="65" t="s">
        <v>1252</v>
      </c>
      <c r="C695" s="61" t="s">
        <v>1253</v>
      </c>
      <c r="D695" s="50" t="e">
        <f>SUM(#REF!)</f>
        <v>#REF!</v>
      </c>
      <c r="E695" s="50" t="e">
        <f>SUM(#REF!)</f>
        <v>#REF!</v>
      </c>
      <c r="F695" s="47"/>
    </row>
    <row r="696" hidden="1" outlineLevel="1" spans="2:6">
      <c r="B696" s="65" t="s">
        <v>1254</v>
      </c>
      <c r="C696" s="61" t="s">
        <v>1255</v>
      </c>
      <c r="D696" s="50" t="e">
        <f>SUM(#REF!)</f>
        <v>#REF!</v>
      </c>
      <c r="E696" s="50" t="e">
        <f>SUM(#REF!)</f>
        <v>#REF!</v>
      </c>
      <c r="F696" s="47"/>
    </row>
    <row r="697" hidden="1" outlineLevel="1" spans="2:6">
      <c r="B697" s="65" t="s">
        <v>1256</v>
      </c>
      <c r="C697" s="61" t="s">
        <v>1257</v>
      </c>
      <c r="D697" s="50" t="e">
        <f>SUM(#REF!)</f>
        <v>#REF!</v>
      </c>
      <c r="E697" s="50" t="e">
        <f>SUM(#REF!)</f>
        <v>#REF!</v>
      </c>
      <c r="F697" s="47"/>
    </row>
    <row r="698" hidden="1" outlineLevel="1" spans="2:6">
      <c r="B698" s="65" t="s">
        <v>1258</v>
      </c>
      <c r="C698" s="61" t="s">
        <v>1259</v>
      </c>
      <c r="D698" s="50" t="e">
        <f>SUM(#REF!)</f>
        <v>#REF!</v>
      </c>
      <c r="E698" s="50" t="e">
        <f>SUM(#REF!)</f>
        <v>#REF!</v>
      </c>
      <c r="F698" s="47"/>
    </row>
    <row r="699" hidden="1" outlineLevel="1" spans="2:6">
      <c r="B699" s="65" t="s">
        <v>1260</v>
      </c>
      <c r="C699" s="61" t="s">
        <v>1261</v>
      </c>
      <c r="D699" s="50" t="e">
        <f>SUM(#REF!)</f>
        <v>#REF!</v>
      </c>
      <c r="E699" s="50" t="e">
        <f>SUM(#REF!)</f>
        <v>#REF!</v>
      </c>
      <c r="F699" s="47"/>
    </row>
    <row r="700" hidden="1" outlineLevel="1" spans="2:6">
      <c r="B700" s="65" t="s">
        <v>1262</v>
      </c>
      <c r="C700" s="61" t="s">
        <v>1263</v>
      </c>
      <c r="D700" s="50" t="e">
        <f>SUM(#REF!)</f>
        <v>#REF!</v>
      </c>
      <c r="E700" s="50" t="e">
        <f>SUM(#REF!)</f>
        <v>#REF!</v>
      </c>
      <c r="F700" s="47"/>
    </row>
    <row r="701" hidden="1" outlineLevel="1" spans="2:6">
      <c r="B701" s="65" t="s">
        <v>1264</v>
      </c>
      <c r="C701" s="61" t="s">
        <v>1265</v>
      </c>
      <c r="D701" s="50" t="e">
        <f>SUM(#REF!)</f>
        <v>#REF!</v>
      </c>
      <c r="E701" s="50" t="e">
        <f>SUM(#REF!)</f>
        <v>#REF!</v>
      </c>
      <c r="F701" s="47"/>
    </row>
    <row r="702" hidden="1" outlineLevel="1" spans="2:6">
      <c r="B702" s="65" t="s">
        <v>1266</v>
      </c>
      <c r="C702" s="61" t="s">
        <v>1267</v>
      </c>
      <c r="D702" s="50" t="e">
        <f>SUM(#REF!)</f>
        <v>#REF!</v>
      </c>
      <c r="E702" s="50" t="e">
        <f>SUM(#REF!)</f>
        <v>#REF!</v>
      </c>
      <c r="F702" s="47"/>
    </row>
    <row r="703" hidden="1" outlineLevel="1" spans="2:6">
      <c r="B703" s="65" t="s">
        <v>1268</v>
      </c>
      <c r="C703" s="61" t="s">
        <v>1269</v>
      </c>
      <c r="D703" s="50" t="e">
        <f>SUM(#REF!)</f>
        <v>#REF!</v>
      </c>
      <c r="E703" s="50" t="e">
        <f>SUM(#REF!)</f>
        <v>#REF!</v>
      </c>
      <c r="F703" s="47"/>
    </row>
    <row r="704" hidden="1" outlineLevel="1" spans="2:6">
      <c r="B704" s="65" t="s">
        <v>1270</v>
      </c>
      <c r="C704" s="61" t="s">
        <v>1271</v>
      </c>
      <c r="D704" s="50" t="e">
        <f>SUM(#REF!)</f>
        <v>#REF!</v>
      </c>
      <c r="E704" s="50" t="e">
        <f>SUM(#REF!)</f>
        <v>#REF!</v>
      </c>
      <c r="F704" s="47"/>
    </row>
    <row r="705" hidden="1" outlineLevel="1" spans="2:6">
      <c r="B705" s="65" t="s">
        <v>1272</v>
      </c>
      <c r="C705" s="61" t="s">
        <v>1273</v>
      </c>
      <c r="D705" s="50" t="e">
        <f>SUM(#REF!)</f>
        <v>#REF!</v>
      </c>
      <c r="E705" s="50" t="e">
        <f>SUM(#REF!)</f>
        <v>#REF!</v>
      </c>
      <c r="F705" s="47"/>
    </row>
    <row r="706" hidden="1" outlineLevel="1" spans="2:6">
      <c r="B706" s="65" t="s">
        <v>1274</v>
      </c>
      <c r="C706" s="61" t="s">
        <v>1273</v>
      </c>
      <c r="D706" s="50" t="e">
        <f>SUM(#REF!)</f>
        <v>#REF!</v>
      </c>
      <c r="E706" s="50" t="e">
        <f>SUM(#REF!)</f>
        <v>#REF!</v>
      </c>
      <c r="F706" s="47"/>
    </row>
    <row r="707" hidden="1" outlineLevel="1" spans="2:6">
      <c r="B707" s="65" t="s">
        <v>1275</v>
      </c>
      <c r="C707" s="61" t="s">
        <v>1273</v>
      </c>
      <c r="D707" s="50" t="e">
        <f>SUM(#REF!)</f>
        <v>#REF!</v>
      </c>
      <c r="E707" s="50" t="e">
        <f>SUM(#REF!)</f>
        <v>#REF!</v>
      </c>
      <c r="F707" s="47"/>
    </row>
    <row r="708" hidden="1" outlineLevel="1" spans="2:6">
      <c r="B708" s="65" t="s">
        <v>1276</v>
      </c>
      <c r="C708" s="61" t="s">
        <v>1273</v>
      </c>
      <c r="D708" s="50" t="e">
        <f>SUM(#REF!)</f>
        <v>#REF!</v>
      </c>
      <c r="E708" s="50" t="e">
        <f>SUM(#REF!)</f>
        <v>#REF!</v>
      </c>
      <c r="F708" s="47"/>
    </row>
    <row r="709" hidden="1" outlineLevel="1" spans="2:6">
      <c r="B709" s="65" t="s">
        <v>1277</v>
      </c>
      <c r="C709" s="61" t="s">
        <v>1273</v>
      </c>
      <c r="D709" s="50" t="e">
        <f>SUM(#REF!)</f>
        <v>#REF!</v>
      </c>
      <c r="E709" s="50" t="e">
        <f>SUM(#REF!)</f>
        <v>#REF!</v>
      </c>
      <c r="F709" s="47"/>
    </row>
    <row r="710" hidden="1" outlineLevel="1" spans="2:6">
      <c r="B710" s="65" t="s">
        <v>1278</v>
      </c>
      <c r="C710" s="61" t="s">
        <v>1279</v>
      </c>
      <c r="D710" s="50" t="e">
        <f>SUM(#REF!)</f>
        <v>#REF!</v>
      </c>
      <c r="E710" s="50" t="e">
        <f>SUM(#REF!)</f>
        <v>#REF!</v>
      </c>
      <c r="F710" s="47"/>
    </row>
    <row r="711" hidden="1" outlineLevel="1" spans="2:6">
      <c r="B711" s="65" t="s">
        <v>1280</v>
      </c>
      <c r="C711" s="61" t="s">
        <v>1281</v>
      </c>
      <c r="D711" s="50" t="e">
        <f>SUM(#REF!)</f>
        <v>#REF!</v>
      </c>
      <c r="E711" s="50" t="e">
        <f>SUM(#REF!)</f>
        <v>#REF!</v>
      </c>
      <c r="F711" s="47"/>
    </row>
    <row r="712" hidden="1" outlineLevel="1" spans="2:6">
      <c r="B712" s="65" t="s">
        <v>1282</v>
      </c>
      <c r="C712" s="61" t="s">
        <v>1283</v>
      </c>
      <c r="D712" s="50" t="e">
        <f>SUM(#REF!)</f>
        <v>#REF!</v>
      </c>
      <c r="E712" s="50" t="e">
        <f>SUM(#REF!)</f>
        <v>#REF!</v>
      </c>
      <c r="F712" s="47"/>
    </row>
    <row r="713" hidden="1" outlineLevel="1" spans="2:6">
      <c r="B713" s="65" t="s">
        <v>1284</v>
      </c>
      <c r="C713" s="61" t="s">
        <v>1285</v>
      </c>
      <c r="D713" s="50" t="e">
        <f>SUM(#REF!)</f>
        <v>#REF!</v>
      </c>
      <c r="E713" s="50" t="e">
        <f>SUM(#REF!)</f>
        <v>#REF!</v>
      </c>
      <c r="F713" s="47"/>
    </row>
    <row r="714" collapsed="1" spans="2:6">
      <c r="B714" s="44" t="s">
        <v>18</v>
      </c>
      <c r="C714" s="45" t="s">
        <v>19</v>
      </c>
      <c r="D714" s="46" t="e">
        <f>SUM(#REF!)</f>
        <v>#REF!</v>
      </c>
      <c r="E714" s="46" t="e">
        <f>SUM(#REF!)</f>
        <v>#REF!</v>
      </c>
      <c r="F714" s="47" t="s">
        <v>1286</v>
      </c>
    </row>
    <row r="715" hidden="1" outlineLevel="1" spans="2:6">
      <c r="B715" s="63">
        <v>6.1</v>
      </c>
      <c r="C715" s="61" t="s">
        <v>658</v>
      </c>
      <c r="D715" s="50">
        <v>1</v>
      </c>
      <c r="E715" s="50">
        <v>1</v>
      </c>
      <c r="F715" s="47"/>
    </row>
    <row r="716" hidden="1" outlineLevel="1" spans="2:6">
      <c r="B716" s="63">
        <v>6.2</v>
      </c>
      <c r="C716" s="61" t="s">
        <v>659</v>
      </c>
      <c r="D716" s="50">
        <v>1</v>
      </c>
      <c r="E716" s="50">
        <v>1</v>
      </c>
      <c r="F716" s="47"/>
    </row>
    <row r="717" hidden="1" outlineLevel="1" spans="2:6">
      <c r="B717" s="63">
        <v>6.3</v>
      </c>
      <c r="C717" s="61" t="s">
        <v>660</v>
      </c>
      <c r="D717" s="50">
        <v>1</v>
      </c>
      <c r="E717" s="50">
        <v>1</v>
      </c>
      <c r="F717" s="47"/>
    </row>
    <row r="718" hidden="1" outlineLevel="1" spans="2:6">
      <c r="B718" s="63">
        <v>6.4</v>
      </c>
      <c r="C718" s="61" t="s">
        <v>661</v>
      </c>
      <c r="D718" s="50">
        <v>1</v>
      </c>
      <c r="E718" s="50">
        <v>1</v>
      </c>
      <c r="F718" s="47"/>
    </row>
    <row r="719" hidden="1" outlineLevel="1" spans="2:6">
      <c r="B719" s="63">
        <v>6.5</v>
      </c>
      <c r="C719" s="61" t="s">
        <v>662</v>
      </c>
      <c r="D719" s="50"/>
      <c r="E719" s="50"/>
      <c r="F719" s="47"/>
    </row>
    <row r="720" hidden="1" outlineLevel="1" spans="2:6">
      <c r="B720" s="63">
        <v>6.6</v>
      </c>
      <c r="C720" s="54" t="s">
        <v>663</v>
      </c>
      <c r="D720" s="50"/>
      <c r="E720" s="50"/>
      <c r="F720" s="47"/>
    </row>
    <row r="721" hidden="1" outlineLevel="1" spans="2:6">
      <c r="B721" s="63">
        <v>6.7</v>
      </c>
      <c r="C721" s="61" t="s">
        <v>664</v>
      </c>
      <c r="D721" s="50"/>
      <c r="E721" s="50"/>
      <c r="F721" s="47"/>
    </row>
    <row r="722" hidden="1" outlineLevel="1" spans="2:6">
      <c r="B722" s="63">
        <v>6.8</v>
      </c>
      <c r="C722" s="61" t="s">
        <v>665</v>
      </c>
      <c r="D722" s="50"/>
      <c r="E722" s="50"/>
      <c r="F722" s="47"/>
    </row>
    <row r="723" hidden="1" outlineLevel="1" spans="2:6">
      <c r="B723" s="63">
        <v>6.9</v>
      </c>
      <c r="C723" s="61" t="s">
        <v>666</v>
      </c>
      <c r="D723" s="50">
        <v>1</v>
      </c>
      <c r="E723" s="50">
        <v>1</v>
      </c>
      <c r="F723" s="47"/>
    </row>
    <row r="724" hidden="1" outlineLevel="1" spans="2:6">
      <c r="B724" s="67">
        <v>6.1</v>
      </c>
      <c r="C724" s="61" t="s">
        <v>667</v>
      </c>
      <c r="D724" s="50">
        <v>1</v>
      </c>
      <c r="E724" s="50">
        <v>1</v>
      </c>
      <c r="F724" s="47"/>
    </row>
    <row r="725" hidden="1" outlineLevel="1" spans="2:6">
      <c r="B725" s="63">
        <v>6.11</v>
      </c>
      <c r="C725" s="61" t="s">
        <v>668</v>
      </c>
      <c r="D725" s="50"/>
      <c r="E725" s="50"/>
      <c r="F725" s="47"/>
    </row>
    <row r="726" hidden="1" outlineLevel="1" spans="2:6">
      <c r="B726" s="63">
        <v>6.12</v>
      </c>
      <c r="C726" s="61" t="s">
        <v>669</v>
      </c>
      <c r="D726" s="50">
        <v>1</v>
      </c>
      <c r="E726" s="50">
        <v>1</v>
      </c>
      <c r="F726" s="47"/>
    </row>
    <row r="727" hidden="1" outlineLevel="1" spans="2:6">
      <c r="B727" s="63">
        <v>6.13</v>
      </c>
      <c r="C727" s="61" t="s">
        <v>670</v>
      </c>
      <c r="D727" s="50">
        <v>1</v>
      </c>
      <c r="E727" s="50">
        <v>1</v>
      </c>
      <c r="F727" s="47"/>
    </row>
    <row r="728" hidden="1" outlineLevel="1" spans="2:6">
      <c r="B728" s="63">
        <v>6.14</v>
      </c>
      <c r="C728" s="61" t="s">
        <v>671</v>
      </c>
      <c r="D728" s="50">
        <v>1</v>
      </c>
      <c r="E728" s="50">
        <v>1</v>
      </c>
      <c r="F728" s="47"/>
    </row>
    <row r="729" hidden="1" outlineLevel="1" spans="2:6">
      <c r="B729" s="63">
        <v>6.15</v>
      </c>
      <c r="C729" s="61" t="s">
        <v>672</v>
      </c>
      <c r="D729" s="50">
        <v>1</v>
      </c>
      <c r="E729" s="50">
        <v>1</v>
      </c>
      <c r="F729" s="47"/>
    </row>
    <row r="730" hidden="1" outlineLevel="1" spans="2:6">
      <c r="B730" s="63">
        <v>6.16</v>
      </c>
      <c r="C730" s="61" t="s">
        <v>673</v>
      </c>
      <c r="D730" s="50">
        <v>1</v>
      </c>
      <c r="E730" s="50">
        <v>1</v>
      </c>
      <c r="F730" s="47"/>
    </row>
    <row r="731" hidden="1" outlineLevel="1" spans="2:6">
      <c r="B731" s="63">
        <v>6.17</v>
      </c>
      <c r="C731" s="61" t="s">
        <v>674</v>
      </c>
      <c r="D731" s="50"/>
      <c r="E731" s="50"/>
      <c r="F731" s="47"/>
    </row>
    <row r="732" hidden="1" outlineLevel="1" spans="2:6">
      <c r="B732" s="63">
        <v>6.18</v>
      </c>
      <c r="C732" s="61" t="s">
        <v>675</v>
      </c>
      <c r="D732" s="50"/>
      <c r="E732" s="50"/>
      <c r="F732" s="47"/>
    </row>
    <row r="733" hidden="1" outlineLevel="1" spans="2:6">
      <c r="B733" s="67">
        <v>6.19</v>
      </c>
      <c r="C733" s="61" t="s">
        <v>676</v>
      </c>
      <c r="D733" s="50">
        <v>1</v>
      </c>
      <c r="E733" s="50">
        <v>1</v>
      </c>
      <c r="F733" s="47"/>
    </row>
    <row r="734" hidden="1" outlineLevel="1" spans="2:6">
      <c r="B734" s="67">
        <v>6.2</v>
      </c>
      <c r="C734" s="61" t="s">
        <v>677</v>
      </c>
      <c r="D734" s="50">
        <v>1</v>
      </c>
      <c r="E734" s="50">
        <v>1</v>
      </c>
      <c r="F734" s="47"/>
    </row>
    <row r="735" hidden="1" outlineLevel="1" spans="2:6">
      <c r="B735" s="63">
        <v>6.21</v>
      </c>
      <c r="C735" s="61" t="s">
        <v>678</v>
      </c>
      <c r="D735" s="50">
        <v>1</v>
      </c>
      <c r="E735" s="50">
        <v>1</v>
      </c>
      <c r="F735" s="47"/>
    </row>
    <row r="736" hidden="1" outlineLevel="1" spans="2:6">
      <c r="B736" s="63">
        <v>6.22</v>
      </c>
      <c r="C736" s="61" t="s">
        <v>679</v>
      </c>
      <c r="D736" s="50">
        <v>1</v>
      </c>
      <c r="E736" s="50">
        <v>1</v>
      </c>
      <c r="F736" s="47"/>
    </row>
    <row r="737" hidden="1" outlineLevel="1" spans="2:6">
      <c r="B737" s="63">
        <v>6.23</v>
      </c>
      <c r="C737" s="54" t="s">
        <v>680</v>
      </c>
      <c r="D737" s="50">
        <v>1</v>
      </c>
      <c r="E737" s="50">
        <v>1</v>
      </c>
      <c r="F737" s="47"/>
    </row>
    <row r="738" hidden="1" outlineLevel="1" spans="2:6">
      <c r="B738" s="63">
        <v>6.24</v>
      </c>
      <c r="C738" s="61" t="s">
        <v>681</v>
      </c>
      <c r="D738" s="50">
        <v>1</v>
      </c>
      <c r="E738" s="50">
        <v>1</v>
      </c>
      <c r="F738" s="47"/>
    </row>
    <row r="739" hidden="1" outlineLevel="1" spans="2:6">
      <c r="B739" s="63">
        <v>6.25</v>
      </c>
      <c r="C739" s="54" t="s">
        <v>1287</v>
      </c>
      <c r="D739" s="50">
        <v>1</v>
      </c>
      <c r="E739" s="50">
        <v>1</v>
      </c>
      <c r="F739" s="47"/>
    </row>
    <row r="740" hidden="1" outlineLevel="1" spans="2:6">
      <c r="B740" s="67">
        <v>6.26</v>
      </c>
      <c r="C740" s="61" t="s">
        <v>683</v>
      </c>
      <c r="D740" s="50">
        <v>1</v>
      </c>
      <c r="E740" s="50">
        <v>1</v>
      </c>
      <c r="F740" s="47"/>
    </row>
    <row r="741" hidden="1" outlineLevel="1" spans="2:6">
      <c r="B741" s="67">
        <v>6.27</v>
      </c>
      <c r="C741" s="61" t="s">
        <v>684</v>
      </c>
      <c r="D741" s="50"/>
      <c r="E741" s="50"/>
      <c r="F741" s="47"/>
    </row>
    <row r="742" hidden="1" outlineLevel="1" spans="2:6">
      <c r="B742" s="63">
        <v>6.28</v>
      </c>
      <c r="C742" s="61" t="s">
        <v>685</v>
      </c>
      <c r="D742" s="50">
        <v>1</v>
      </c>
      <c r="E742" s="50">
        <v>1</v>
      </c>
      <c r="F742" s="47"/>
    </row>
    <row r="743" hidden="1" outlineLevel="1" spans="2:6">
      <c r="B743" s="63">
        <v>6.29</v>
      </c>
      <c r="C743" s="61" t="s">
        <v>686</v>
      </c>
      <c r="D743" s="50"/>
      <c r="E743" s="50"/>
      <c r="F743" s="47"/>
    </row>
    <row r="744" hidden="1" outlineLevel="1" spans="2:6">
      <c r="B744" s="67">
        <v>6.3</v>
      </c>
      <c r="C744" s="54" t="s">
        <v>687</v>
      </c>
      <c r="D744" s="50"/>
      <c r="E744" s="50"/>
      <c r="F744" s="47"/>
    </row>
    <row r="745" hidden="1" outlineLevel="1" spans="2:6">
      <c r="B745" s="63">
        <v>6.31</v>
      </c>
      <c r="C745" s="61" t="s">
        <v>688</v>
      </c>
      <c r="D745" s="50"/>
      <c r="E745" s="50"/>
      <c r="F745" s="47"/>
    </row>
    <row r="746" hidden="1" outlineLevel="1" spans="2:6">
      <c r="B746" s="63">
        <v>6.32</v>
      </c>
      <c r="C746" s="61" t="s">
        <v>689</v>
      </c>
      <c r="D746" s="50"/>
      <c r="E746" s="50"/>
      <c r="F746" s="47"/>
    </row>
    <row r="747" hidden="1" outlineLevel="1" spans="2:6">
      <c r="B747" s="63">
        <v>6.33</v>
      </c>
      <c r="C747" s="54" t="s">
        <v>690</v>
      </c>
      <c r="D747" s="50"/>
      <c r="E747" s="50"/>
      <c r="F747" s="47"/>
    </row>
    <row r="748" hidden="1" outlineLevel="1" spans="2:6">
      <c r="B748" s="67">
        <v>6.34</v>
      </c>
      <c r="C748" s="61" t="s">
        <v>691</v>
      </c>
      <c r="D748" s="50"/>
      <c r="E748" s="50"/>
      <c r="F748" s="47"/>
    </row>
    <row r="749" hidden="1" outlineLevel="1" spans="2:6">
      <c r="B749" s="63">
        <v>6.35</v>
      </c>
      <c r="C749" s="61" t="s">
        <v>692</v>
      </c>
      <c r="D749" s="50"/>
      <c r="E749" s="50"/>
      <c r="F749" s="47"/>
    </row>
    <row r="750" hidden="1" outlineLevel="1" spans="2:6">
      <c r="B750" s="67">
        <v>6.36</v>
      </c>
      <c r="C750" s="61" t="s">
        <v>693</v>
      </c>
      <c r="D750" s="50"/>
      <c r="E750" s="50"/>
      <c r="F750" s="47"/>
    </row>
    <row r="751" hidden="1" outlineLevel="1" spans="2:6">
      <c r="B751" s="63">
        <v>6.37</v>
      </c>
      <c r="C751" s="61" t="s">
        <v>694</v>
      </c>
      <c r="D751" s="50">
        <v>1</v>
      </c>
      <c r="E751" s="50">
        <v>1</v>
      </c>
      <c r="F751" s="47"/>
    </row>
    <row r="752" hidden="1" outlineLevel="1" spans="2:6">
      <c r="B752" s="63">
        <v>6.38</v>
      </c>
      <c r="C752" s="61" t="s">
        <v>695</v>
      </c>
      <c r="D752" s="50"/>
      <c r="E752" s="50"/>
      <c r="F752" s="47"/>
    </row>
    <row r="753" hidden="1" outlineLevel="1" spans="2:6">
      <c r="B753" s="63">
        <v>6.39</v>
      </c>
      <c r="C753" s="61" t="s">
        <v>696</v>
      </c>
      <c r="D753" s="50"/>
      <c r="E753" s="50"/>
      <c r="F753" s="47"/>
    </row>
    <row r="754" hidden="1" outlineLevel="1" spans="2:6">
      <c r="B754" s="67">
        <v>6.4</v>
      </c>
      <c r="C754" s="61" t="s">
        <v>697</v>
      </c>
      <c r="D754" s="50"/>
      <c r="E754" s="50"/>
      <c r="F754" s="47"/>
    </row>
    <row r="755" hidden="1" outlineLevel="1" spans="2:6">
      <c r="B755" s="63">
        <v>6.41</v>
      </c>
      <c r="C755" s="61" t="s">
        <v>1288</v>
      </c>
      <c r="D755" s="50"/>
      <c r="E755" s="50"/>
      <c r="F755" s="47"/>
    </row>
    <row r="756" hidden="1" outlineLevel="1" spans="2:6">
      <c r="B756" s="67">
        <v>6.42</v>
      </c>
      <c r="C756" s="61" t="s">
        <v>698</v>
      </c>
      <c r="D756" s="50"/>
      <c r="E756" s="50"/>
      <c r="F756" s="47"/>
    </row>
    <row r="757" hidden="1" outlineLevel="1" spans="2:6">
      <c r="B757" s="63">
        <v>6.43</v>
      </c>
      <c r="C757" s="61" t="s">
        <v>699</v>
      </c>
      <c r="D757" s="50"/>
      <c r="E757" s="50"/>
      <c r="F757" s="47"/>
    </row>
    <row r="758" hidden="1" outlineLevel="1" spans="2:6">
      <c r="B758" s="63">
        <v>6.44</v>
      </c>
      <c r="C758" s="61" t="s">
        <v>700</v>
      </c>
      <c r="D758" s="50">
        <v>1</v>
      </c>
      <c r="E758" s="50">
        <v>1</v>
      </c>
      <c r="F758" s="47"/>
    </row>
    <row r="759" hidden="1" outlineLevel="1" spans="2:6">
      <c r="B759" s="63">
        <v>6.45</v>
      </c>
      <c r="C759" s="61" t="s">
        <v>701</v>
      </c>
      <c r="D759" s="50"/>
      <c r="E759" s="50"/>
      <c r="F759" s="47"/>
    </row>
    <row r="760" hidden="1" outlineLevel="1" spans="2:6">
      <c r="B760" s="67">
        <v>6.46</v>
      </c>
      <c r="C760" s="61" t="s">
        <v>702</v>
      </c>
      <c r="D760" s="50"/>
      <c r="E760" s="50"/>
      <c r="F760" s="47"/>
    </row>
    <row r="761" hidden="1" outlineLevel="1" spans="2:6">
      <c r="B761" s="63">
        <v>6.47</v>
      </c>
      <c r="C761" s="61" t="s">
        <v>703</v>
      </c>
      <c r="D761" s="50"/>
      <c r="E761" s="50"/>
      <c r="F761" s="47"/>
    </row>
    <row r="762" hidden="1" outlineLevel="1" spans="2:6">
      <c r="B762" s="63">
        <v>6.48</v>
      </c>
      <c r="C762" s="61" t="s">
        <v>704</v>
      </c>
      <c r="D762" s="50">
        <v>1</v>
      </c>
      <c r="E762" s="50">
        <v>1</v>
      </c>
      <c r="F762" s="47"/>
    </row>
    <row r="763" hidden="1" outlineLevel="1" spans="2:6">
      <c r="B763" s="63">
        <v>6.49</v>
      </c>
      <c r="C763" s="61" t="s">
        <v>705</v>
      </c>
      <c r="D763" s="50"/>
      <c r="E763" s="50"/>
      <c r="F763" s="47"/>
    </row>
    <row r="764" hidden="1" outlineLevel="1" spans="2:6">
      <c r="B764" s="67">
        <v>6.5</v>
      </c>
      <c r="C764" s="61" t="s">
        <v>1289</v>
      </c>
      <c r="D764" s="50"/>
      <c r="E764" s="50"/>
      <c r="F764" s="47"/>
    </row>
    <row r="765" collapsed="1" spans="2:6">
      <c r="B765" s="44" t="s">
        <v>20</v>
      </c>
      <c r="C765" s="45" t="s">
        <v>21</v>
      </c>
      <c r="D765" s="46" t="e">
        <f>SUM(D766:D772)/7</f>
        <v>#REF!</v>
      </c>
      <c r="E765" s="46" t="e">
        <f>SUM(E766:E772)/7</f>
        <v>#REF!</v>
      </c>
      <c r="F765" s="47" t="s">
        <v>57</v>
      </c>
    </row>
    <row r="766" hidden="1" outlineLevel="1" spans="2:6">
      <c r="B766" s="53">
        <v>7.1</v>
      </c>
      <c r="C766" s="54" t="s">
        <v>1290</v>
      </c>
      <c r="D766" s="50" t="e">
        <f>SUM(#REF!)</f>
        <v>#REF!</v>
      </c>
      <c r="E766" s="50" t="e">
        <f>SUM(#REF!)</f>
        <v>#REF!</v>
      </c>
      <c r="F766" s="47"/>
    </row>
    <row r="767" hidden="1" outlineLevel="1" spans="2:6">
      <c r="B767" s="53">
        <v>7.2</v>
      </c>
      <c r="C767" s="54" t="s">
        <v>1291</v>
      </c>
      <c r="D767" s="50" t="e">
        <f>SUM(#REF!)</f>
        <v>#REF!</v>
      </c>
      <c r="E767" s="50" t="e">
        <f>SUM(#REF!)</f>
        <v>#REF!</v>
      </c>
      <c r="F767" s="47"/>
    </row>
    <row r="768" hidden="1" outlineLevel="1" spans="2:6">
      <c r="B768" s="53">
        <v>7.3</v>
      </c>
      <c r="C768" s="54" t="s">
        <v>1292</v>
      </c>
      <c r="D768" s="50" t="e">
        <f>SUM(#REF!)</f>
        <v>#REF!</v>
      </c>
      <c r="E768" s="50" t="e">
        <f>SUM(#REF!)</f>
        <v>#REF!</v>
      </c>
      <c r="F768" s="47"/>
    </row>
    <row r="769" hidden="1" outlineLevel="1" spans="2:6">
      <c r="B769" s="53">
        <v>7.4</v>
      </c>
      <c r="C769" s="54" t="s">
        <v>1293</v>
      </c>
      <c r="D769" s="50" t="e">
        <f>SUM(#REF!)</f>
        <v>#REF!</v>
      </c>
      <c r="E769" s="50" t="e">
        <f>SUM(#REF!)</f>
        <v>#REF!</v>
      </c>
      <c r="F769" s="47"/>
    </row>
    <row r="770" hidden="1" outlineLevel="1" spans="2:6">
      <c r="B770" s="53">
        <v>7.5</v>
      </c>
      <c r="C770" s="54" t="s">
        <v>1294</v>
      </c>
      <c r="D770" s="50" t="e">
        <f>SUM(#REF!)</f>
        <v>#REF!</v>
      </c>
      <c r="E770" s="50" t="e">
        <f>SUM(#REF!)</f>
        <v>#REF!</v>
      </c>
      <c r="F770" s="47"/>
    </row>
    <row r="771" hidden="1" outlineLevel="1" spans="2:6">
      <c r="B771" s="53">
        <v>7.6</v>
      </c>
      <c r="C771" s="54" t="s">
        <v>1295</v>
      </c>
      <c r="D771" s="50" t="e">
        <f>SUM(#REF!)</f>
        <v>#REF!</v>
      </c>
      <c r="E771" s="50" t="e">
        <f>SUM(#REF!)</f>
        <v>#REF!</v>
      </c>
      <c r="F771" s="47"/>
    </row>
    <row r="772" hidden="1" outlineLevel="1" spans="2:6">
      <c r="B772" s="53">
        <v>7.7</v>
      </c>
      <c r="C772" s="54" t="s">
        <v>1296</v>
      </c>
      <c r="D772" s="50" t="e">
        <f>SUM(#REF!)</f>
        <v>#REF!</v>
      </c>
      <c r="E772" s="50" t="e">
        <f>SUM(#REF!)</f>
        <v>#REF!</v>
      </c>
      <c r="F772" s="47"/>
    </row>
    <row r="773" collapsed="1" spans="2:6">
      <c r="B773" s="44" t="s">
        <v>22</v>
      </c>
      <c r="C773" s="45" t="s">
        <v>23</v>
      </c>
      <c r="D773" s="46" t="e">
        <f>SUM(D774+D775+D799)/3</f>
        <v>#REF!</v>
      </c>
      <c r="E773" s="46" t="e">
        <f>SUM(E774+E775+E799)/3</f>
        <v>#REF!</v>
      </c>
      <c r="F773" s="47" t="s">
        <v>57</v>
      </c>
    </row>
    <row r="774" hidden="1" outlineLevel="1" spans="2:6">
      <c r="B774" s="53">
        <v>8.1</v>
      </c>
      <c r="C774" s="49" t="s">
        <v>1297</v>
      </c>
      <c r="D774" s="68" t="e">
        <f>SUM(#REF!)</f>
        <v>#REF!</v>
      </c>
      <c r="E774" s="68" t="e">
        <f>SUM(#REF!)</f>
        <v>#REF!</v>
      </c>
      <c r="F774" s="47"/>
    </row>
    <row r="775" hidden="1" outlineLevel="1" spans="2:6">
      <c r="B775" s="53">
        <v>8.2</v>
      </c>
      <c r="C775" s="49" t="s">
        <v>1298</v>
      </c>
      <c r="D775" s="68" t="e">
        <f>SUM(D776:D798)/23</f>
        <v>#REF!</v>
      </c>
      <c r="E775" s="68" t="e">
        <f>SUM(E776:E798)/23</f>
        <v>#REF!</v>
      </c>
      <c r="F775" s="47"/>
    </row>
    <row r="776" hidden="1" outlineLevel="1" spans="2:6">
      <c r="B776" s="48" t="s">
        <v>1299</v>
      </c>
      <c r="C776" s="54" t="s">
        <v>1300</v>
      </c>
      <c r="D776" s="50" t="e">
        <f>SUM(#REF!)</f>
        <v>#REF!</v>
      </c>
      <c r="E776" s="50" t="e">
        <f>SUM(#REF!)</f>
        <v>#REF!</v>
      </c>
      <c r="F776" s="47"/>
    </row>
    <row r="777" hidden="1" outlineLevel="1" spans="2:6">
      <c r="B777" s="48" t="s">
        <v>1301</v>
      </c>
      <c r="C777" s="54" t="s">
        <v>1302</v>
      </c>
      <c r="D777" s="50" t="e">
        <f>SUM(#REF!)</f>
        <v>#REF!</v>
      </c>
      <c r="E777" s="50" t="e">
        <f>SUM(#REF!)</f>
        <v>#REF!</v>
      </c>
      <c r="F777" s="47"/>
    </row>
    <row r="778" hidden="1" outlineLevel="1" spans="2:6">
      <c r="B778" s="48" t="s">
        <v>1303</v>
      </c>
      <c r="C778" s="54" t="s">
        <v>1304</v>
      </c>
      <c r="D778" s="50" t="e">
        <f>SUM(#REF!)</f>
        <v>#REF!</v>
      </c>
      <c r="E778" s="50" t="e">
        <f>SUM(#REF!)</f>
        <v>#REF!</v>
      </c>
      <c r="F778" s="47"/>
    </row>
    <row r="779" hidden="1" outlineLevel="1" spans="2:6">
      <c r="B779" s="48" t="s">
        <v>1305</v>
      </c>
      <c r="C779" s="54" t="s">
        <v>1306</v>
      </c>
      <c r="D779" s="50" t="e">
        <f>SUM(#REF!)</f>
        <v>#REF!</v>
      </c>
      <c r="E779" s="50" t="e">
        <f>SUM(#REF!)</f>
        <v>#REF!</v>
      </c>
      <c r="F779" s="47"/>
    </row>
    <row r="780" hidden="1" outlineLevel="1" spans="2:6">
      <c r="B780" s="48" t="s">
        <v>1307</v>
      </c>
      <c r="C780" s="54" t="s">
        <v>1308</v>
      </c>
      <c r="D780" s="50" t="e">
        <f>SUM(#REF!)</f>
        <v>#REF!</v>
      </c>
      <c r="E780" s="50" t="e">
        <f>SUM(#REF!)</f>
        <v>#REF!</v>
      </c>
      <c r="F780" s="47"/>
    </row>
    <row r="781" hidden="1" outlineLevel="1" spans="2:6">
      <c r="B781" s="48" t="s">
        <v>1309</v>
      </c>
      <c r="C781" s="54" t="s">
        <v>1310</v>
      </c>
      <c r="D781" s="50" t="e">
        <f>SUM(#REF!)</f>
        <v>#REF!</v>
      </c>
      <c r="E781" s="50" t="e">
        <f>SUM(#REF!)</f>
        <v>#REF!</v>
      </c>
      <c r="F781" s="47"/>
    </row>
    <row r="782" hidden="1" outlineLevel="1" spans="2:6">
      <c r="B782" s="48" t="s">
        <v>1311</v>
      </c>
      <c r="C782" s="54" t="s">
        <v>1312</v>
      </c>
      <c r="D782" s="50" t="e">
        <f>SUM(#REF!)</f>
        <v>#REF!</v>
      </c>
      <c r="E782" s="50" t="e">
        <f>SUM(#REF!)</f>
        <v>#REF!</v>
      </c>
      <c r="F782" s="47"/>
    </row>
    <row r="783" hidden="1" outlineLevel="1" spans="2:6">
      <c r="B783" s="48" t="s">
        <v>1313</v>
      </c>
      <c r="C783" s="54" t="s">
        <v>1314</v>
      </c>
      <c r="D783" s="50" t="e">
        <f>SUM(#REF!)</f>
        <v>#REF!</v>
      </c>
      <c r="E783" s="50" t="e">
        <f>SUM(#REF!)</f>
        <v>#REF!</v>
      </c>
      <c r="F783" s="47"/>
    </row>
    <row r="784" hidden="1" outlineLevel="1" spans="2:6">
      <c r="B784" s="48" t="s">
        <v>1315</v>
      </c>
      <c r="C784" s="54" t="s">
        <v>1316</v>
      </c>
      <c r="D784" s="50" t="e">
        <f>SUM(#REF!)</f>
        <v>#REF!</v>
      </c>
      <c r="E784" s="50" t="e">
        <f>SUM(#REF!)</f>
        <v>#REF!</v>
      </c>
      <c r="F784" s="47"/>
    </row>
    <row r="785" hidden="1" outlineLevel="1" spans="2:6">
      <c r="B785" s="48" t="s">
        <v>1317</v>
      </c>
      <c r="C785" s="54" t="s">
        <v>1318</v>
      </c>
      <c r="D785" s="50" t="e">
        <f>SUM(#REF!)</f>
        <v>#REF!</v>
      </c>
      <c r="E785" s="50" t="e">
        <f>SUM(#REF!)</f>
        <v>#REF!</v>
      </c>
      <c r="F785" s="47"/>
    </row>
    <row r="786" hidden="1" outlineLevel="1" spans="2:6">
      <c r="B786" s="48" t="s">
        <v>1319</v>
      </c>
      <c r="C786" s="54" t="s">
        <v>1320</v>
      </c>
      <c r="D786" s="50" t="e">
        <f>SUM(#REF!)</f>
        <v>#REF!</v>
      </c>
      <c r="E786" s="50" t="e">
        <f>SUM(#REF!)</f>
        <v>#REF!</v>
      </c>
      <c r="F786" s="47"/>
    </row>
    <row r="787" hidden="1" outlineLevel="1" spans="2:6">
      <c r="B787" s="48" t="s">
        <v>1321</v>
      </c>
      <c r="C787" s="54" t="s">
        <v>1322</v>
      </c>
      <c r="D787" s="50" t="e">
        <f>SUM(#REF!)</f>
        <v>#REF!</v>
      </c>
      <c r="E787" s="50" t="e">
        <f>SUM(#REF!)</f>
        <v>#REF!</v>
      </c>
      <c r="F787" s="47"/>
    </row>
    <row r="788" hidden="1" outlineLevel="1" spans="2:6">
      <c r="B788" s="48" t="s">
        <v>1323</v>
      </c>
      <c r="C788" s="54" t="s">
        <v>1324</v>
      </c>
      <c r="D788" s="50" t="e">
        <f>SUM(#REF!)</f>
        <v>#REF!</v>
      </c>
      <c r="E788" s="50" t="e">
        <f>SUM(#REF!)</f>
        <v>#REF!</v>
      </c>
      <c r="F788" s="47"/>
    </row>
    <row r="789" hidden="1" outlineLevel="1" spans="2:6">
      <c r="B789" s="48" t="s">
        <v>1325</v>
      </c>
      <c r="C789" s="54" t="s">
        <v>1326</v>
      </c>
      <c r="D789" s="50" t="e">
        <f>SUM(#REF!)</f>
        <v>#REF!</v>
      </c>
      <c r="E789" s="50" t="e">
        <f>SUM(#REF!)</f>
        <v>#REF!</v>
      </c>
      <c r="F789" s="47"/>
    </row>
    <row r="790" hidden="1" outlineLevel="1" spans="2:6">
      <c r="B790" s="48" t="s">
        <v>1327</v>
      </c>
      <c r="C790" s="54" t="s">
        <v>1328</v>
      </c>
      <c r="D790" s="50" t="e">
        <f>SUM(#REF!)</f>
        <v>#REF!</v>
      </c>
      <c r="E790" s="50" t="e">
        <f>SUM(#REF!)</f>
        <v>#REF!</v>
      </c>
      <c r="F790" s="47"/>
    </row>
    <row r="791" hidden="1" outlineLevel="1" spans="2:6">
      <c r="B791" s="48" t="s">
        <v>1329</v>
      </c>
      <c r="C791" s="54" t="s">
        <v>1330</v>
      </c>
      <c r="D791" s="50" t="e">
        <f>SUM(#REF!)</f>
        <v>#REF!</v>
      </c>
      <c r="E791" s="50" t="e">
        <f>SUM(#REF!)</f>
        <v>#REF!</v>
      </c>
      <c r="F791" s="47"/>
    </row>
    <row r="792" hidden="1" outlineLevel="1" spans="2:6">
      <c r="B792" s="48" t="s">
        <v>1331</v>
      </c>
      <c r="C792" s="54" t="s">
        <v>1332</v>
      </c>
      <c r="D792" s="50" t="e">
        <f>SUM(#REF!)</f>
        <v>#REF!</v>
      </c>
      <c r="E792" s="50" t="e">
        <f>SUM(#REF!)</f>
        <v>#REF!</v>
      </c>
      <c r="F792" s="47"/>
    </row>
    <row r="793" hidden="1" outlineLevel="1" spans="2:6">
      <c r="B793" s="48" t="s">
        <v>1333</v>
      </c>
      <c r="C793" s="54" t="s">
        <v>1334</v>
      </c>
      <c r="D793" s="50" t="e">
        <f>SUM(#REF!)</f>
        <v>#REF!</v>
      </c>
      <c r="E793" s="50" t="e">
        <f>SUM(#REF!)</f>
        <v>#REF!</v>
      </c>
      <c r="F793" s="47"/>
    </row>
    <row r="794" hidden="1" outlineLevel="1" spans="2:6">
      <c r="B794" s="48" t="s">
        <v>1335</v>
      </c>
      <c r="C794" s="54" t="s">
        <v>1336</v>
      </c>
      <c r="D794" s="50" t="e">
        <f>SUM(#REF!)</f>
        <v>#REF!</v>
      </c>
      <c r="E794" s="50" t="e">
        <f>SUM(#REF!)</f>
        <v>#REF!</v>
      </c>
      <c r="F794" s="47"/>
    </row>
    <row r="795" hidden="1" outlineLevel="1" spans="2:6">
      <c r="B795" s="48" t="s">
        <v>1337</v>
      </c>
      <c r="C795" s="54" t="s">
        <v>1338</v>
      </c>
      <c r="D795" s="50" t="e">
        <f>SUM(#REF!)</f>
        <v>#REF!</v>
      </c>
      <c r="E795" s="50" t="e">
        <f>SUM(#REF!)</f>
        <v>#REF!</v>
      </c>
      <c r="F795" s="47"/>
    </row>
    <row r="796" hidden="1" outlineLevel="1" spans="2:6">
      <c r="B796" s="48" t="s">
        <v>1339</v>
      </c>
      <c r="C796" s="54" t="s">
        <v>1340</v>
      </c>
      <c r="D796" s="50" t="e">
        <f>SUM(#REF!)</f>
        <v>#REF!</v>
      </c>
      <c r="E796" s="50" t="e">
        <f>SUM(#REF!)</f>
        <v>#REF!</v>
      </c>
      <c r="F796" s="47"/>
    </row>
    <row r="797" hidden="1" outlineLevel="1" spans="2:6">
      <c r="B797" s="48" t="s">
        <v>1341</v>
      </c>
      <c r="C797" s="54" t="s">
        <v>1342</v>
      </c>
      <c r="D797" s="50" t="e">
        <f>SUM(#REF!)</f>
        <v>#REF!</v>
      </c>
      <c r="E797" s="50" t="e">
        <f>SUM(#REF!)</f>
        <v>#REF!</v>
      </c>
      <c r="F797" s="47"/>
    </row>
    <row r="798" hidden="1" outlineLevel="1" spans="2:6">
      <c r="B798" s="48" t="s">
        <v>1343</v>
      </c>
      <c r="C798" s="54" t="s">
        <v>1344</v>
      </c>
      <c r="D798" s="50" t="e">
        <f>SUM(#REF!)</f>
        <v>#REF!</v>
      </c>
      <c r="E798" s="50" t="e">
        <f>SUM(#REF!)</f>
        <v>#REF!</v>
      </c>
      <c r="F798" s="47"/>
    </row>
    <row r="799" hidden="1" outlineLevel="1" spans="2:6">
      <c r="B799" s="53">
        <v>8.3</v>
      </c>
      <c r="C799" s="49" t="s">
        <v>1345</v>
      </c>
      <c r="D799" s="68" t="e">
        <f>SUM(D800:D807)/8</f>
        <v>#REF!</v>
      </c>
      <c r="E799" s="68" t="e">
        <f>SUM(E800:E807)/8</f>
        <v>#REF!</v>
      </c>
      <c r="F799" s="47"/>
    </row>
    <row r="800" hidden="1" outlineLevel="1" spans="2:6">
      <c r="B800" s="48" t="s">
        <v>1346</v>
      </c>
      <c r="C800" s="54" t="s">
        <v>1347</v>
      </c>
      <c r="D800" s="50" t="e">
        <f>SUM(#REF!)</f>
        <v>#REF!</v>
      </c>
      <c r="E800" s="50" t="e">
        <f>SUM(#REF!)</f>
        <v>#REF!</v>
      </c>
      <c r="F800" s="47"/>
    </row>
    <row r="801" hidden="1" outlineLevel="1" spans="2:6">
      <c r="B801" s="48" t="s">
        <v>1348</v>
      </c>
      <c r="C801" s="54" t="s">
        <v>1349</v>
      </c>
      <c r="D801" s="50" t="e">
        <f>SUM(#REF!)</f>
        <v>#REF!</v>
      </c>
      <c r="E801" s="50" t="e">
        <f>SUM(#REF!)</f>
        <v>#REF!</v>
      </c>
      <c r="F801" s="47"/>
    </row>
    <row r="802" hidden="1" outlineLevel="1" spans="2:6">
      <c r="B802" s="48" t="s">
        <v>1350</v>
      </c>
      <c r="C802" s="54" t="s">
        <v>1351</v>
      </c>
      <c r="D802" s="50" t="e">
        <f>SUM(#REF!)</f>
        <v>#REF!</v>
      </c>
      <c r="E802" s="50" t="e">
        <f>SUM(#REF!)</f>
        <v>#REF!</v>
      </c>
      <c r="F802" s="47"/>
    </row>
    <row r="803" hidden="1" outlineLevel="1" spans="2:6">
      <c r="B803" s="48" t="s">
        <v>1352</v>
      </c>
      <c r="C803" s="54" t="s">
        <v>1353</v>
      </c>
      <c r="D803" s="50" t="e">
        <f>SUM(#REF!)</f>
        <v>#REF!</v>
      </c>
      <c r="E803" s="50" t="e">
        <f>SUM(#REF!)</f>
        <v>#REF!</v>
      </c>
      <c r="F803" s="47"/>
    </row>
    <row r="804" hidden="1" outlineLevel="1" spans="2:6">
      <c r="B804" s="48" t="s">
        <v>1354</v>
      </c>
      <c r="C804" s="54" t="s">
        <v>1355</v>
      </c>
      <c r="D804" s="50" t="e">
        <f>SUM(#REF!)</f>
        <v>#REF!</v>
      </c>
      <c r="E804" s="50" t="e">
        <f>SUM(#REF!)</f>
        <v>#REF!</v>
      </c>
      <c r="F804" s="47"/>
    </row>
    <row r="805" hidden="1" outlineLevel="1" spans="2:6">
      <c r="B805" s="48" t="s">
        <v>1356</v>
      </c>
      <c r="C805" s="54" t="s">
        <v>1357</v>
      </c>
      <c r="D805" s="50" t="e">
        <f>SUM(#REF!)</f>
        <v>#REF!</v>
      </c>
      <c r="E805" s="50" t="e">
        <f>SUM(#REF!)</f>
        <v>#REF!</v>
      </c>
      <c r="F805" s="47"/>
    </row>
    <row r="806" hidden="1" outlineLevel="1" spans="2:6">
      <c r="B806" s="48" t="s">
        <v>1358</v>
      </c>
      <c r="C806" s="54" t="s">
        <v>1359</v>
      </c>
      <c r="D806" s="50" t="e">
        <f>SUM(#REF!)</f>
        <v>#REF!</v>
      </c>
      <c r="E806" s="50" t="e">
        <f>SUM(#REF!)</f>
        <v>#REF!</v>
      </c>
      <c r="F806" s="47"/>
    </row>
    <row r="807" hidden="1" outlineLevel="1" spans="2:6">
      <c r="B807" s="48" t="s">
        <v>1360</v>
      </c>
      <c r="C807" s="54" t="s">
        <v>1361</v>
      </c>
      <c r="D807" s="50" t="e">
        <f>SUM(#REF!)</f>
        <v>#REF!</v>
      </c>
      <c r="E807" s="50" t="e">
        <f>SUM(#REF!)</f>
        <v>#REF!</v>
      </c>
      <c r="F807" s="47"/>
    </row>
    <row r="808" collapsed="1" spans="2:6">
      <c r="B808" s="44" t="s">
        <v>32</v>
      </c>
      <c r="C808" s="45" t="s">
        <v>33</v>
      </c>
      <c r="D808" s="46" t="e">
        <f>SUM(#REF!)</f>
        <v>#REF!</v>
      </c>
      <c r="E808" s="46" t="e">
        <f>SUM(#REF!)</f>
        <v>#REF!</v>
      </c>
      <c r="F808" s="47" t="s">
        <v>1286</v>
      </c>
    </row>
    <row r="809" hidden="1" outlineLevel="1" spans="2:6">
      <c r="B809" s="53">
        <v>9.1</v>
      </c>
      <c r="C809" s="49" t="s">
        <v>1362</v>
      </c>
      <c r="D809" s="56" t="e">
        <f>SUM(#REF!)</f>
        <v>#REF!</v>
      </c>
      <c r="E809" s="56" t="e">
        <f>SUM(#REF!)</f>
        <v>#REF!</v>
      </c>
      <c r="F809" s="47"/>
    </row>
    <row r="810" hidden="1" outlineLevel="1" spans="2:6">
      <c r="B810" s="69">
        <v>9.2</v>
      </c>
      <c r="C810" s="70" t="s">
        <v>1363</v>
      </c>
      <c r="D810" s="56" t="e">
        <f>SUM(#REF!)</f>
        <v>#REF!</v>
      </c>
      <c r="E810" s="56" t="e">
        <f>SUM(#REF!)</f>
        <v>#REF!</v>
      </c>
      <c r="F810" s="47"/>
    </row>
    <row r="811" hidden="1" outlineLevel="1" spans="2:6">
      <c r="B811" s="53">
        <v>9.3</v>
      </c>
      <c r="C811" s="49" t="s">
        <v>1364</v>
      </c>
      <c r="D811" s="50" t="e">
        <f>SUM(#REF!)</f>
        <v>#REF!</v>
      </c>
      <c r="E811" s="50" t="e">
        <f>SUM(#REF!)</f>
        <v>#REF!</v>
      </c>
      <c r="F811" s="47"/>
    </row>
    <row r="812" hidden="1" outlineLevel="1" spans="2:6">
      <c r="B812" s="53">
        <v>9.4</v>
      </c>
      <c r="C812" s="49" t="s">
        <v>1365</v>
      </c>
      <c r="D812" s="50" t="e">
        <f>SUM(#REF!)</f>
        <v>#REF!</v>
      </c>
      <c r="E812" s="50" t="e">
        <f>SUM(#REF!)</f>
        <v>#REF!</v>
      </c>
      <c r="F812" s="47"/>
    </row>
    <row r="813" hidden="1" outlineLevel="1" spans="2:6">
      <c r="B813" s="53">
        <v>9.5</v>
      </c>
      <c r="C813" s="49" t="s">
        <v>1366</v>
      </c>
      <c r="D813" s="50" t="e">
        <f>SUM(#REF!)</f>
        <v>#REF!</v>
      </c>
      <c r="E813" s="50" t="e">
        <f>SUM(#REF!)</f>
        <v>#REF!</v>
      </c>
      <c r="F813" s="47"/>
    </row>
    <row r="814" hidden="1" outlineLevel="1" spans="2:6">
      <c r="B814" s="53">
        <v>9.6</v>
      </c>
      <c r="C814" s="49" t="s">
        <v>1367</v>
      </c>
      <c r="D814" s="50" t="e">
        <f>SUM(#REF!)</f>
        <v>#REF!</v>
      </c>
      <c r="E814" s="50" t="e">
        <f>SUM(#REF!)</f>
        <v>#REF!</v>
      </c>
      <c r="F814" s="47"/>
    </row>
    <row r="815" collapsed="1" spans="2:6">
      <c r="B815" s="44" t="s">
        <v>34</v>
      </c>
      <c r="C815" s="45" t="s">
        <v>35</v>
      </c>
      <c r="D815" s="46" t="e">
        <f>SUM(#REF!)</f>
        <v>#REF!</v>
      </c>
      <c r="E815" s="46" t="e">
        <f>SUM(#REF!)</f>
        <v>#REF!</v>
      </c>
      <c r="F815" s="47" t="s">
        <v>1368</v>
      </c>
    </row>
    <row r="816" hidden="1" outlineLevel="1" spans="2:6">
      <c r="B816" s="53">
        <v>10.1</v>
      </c>
      <c r="C816" s="54" t="s">
        <v>1369</v>
      </c>
      <c r="D816" s="55" t="e">
        <f>SUM(#REF!)</f>
        <v>#REF!</v>
      </c>
      <c r="E816" s="55" t="e">
        <f>SUM(#REF!)</f>
        <v>#REF!</v>
      </c>
      <c r="F816" s="47"/>
    </row>
    <row r="817" hidden="1" outlineLevel="1" spans="2:6">
      <c r="B817" s="53">
        <v>10.2</v>
      </c>
      <c r="C817" s="54" t="s">
        <v>1370</v>
      </c>
      <c r="D817" s="55" t="e">
        <f>SUM(#REF!)</f>
        <v>#REF!</v>
      </c>
      <c r="E817" s="55" t="e">
        <f>SUM(#REF!)</f>
        <v>#REF!</v>
      </c>
      <c r="F817" s="47"/>
    </row>
    <row r="818" hidden="1" outlineLevel="1" spans="2:6">
      <c r="B818" s="49" t="s">
        <v>1371</v>
      </c>
      <c r="C818" s="54" t="s">
        <v>1372</v>
      </c>
      <c r="D818" s="50" t="e">
        <f>SUM(#REF!)</f>
        <v>#REF!</v>
      </c>
      <c r="E818" s="50" t="e">
        <f>SUM(#REF!)</f>
        <v>#REF!</v>
      </c>
      <c r="F818" s="47"/>
    </row>
    <row r="819" hidden="1" outlineLevel="2" spans="2:6">
      <c r="B819" s="48" t="s">
        <v>1373</v>
      </c>
      <c r="C819" s="54" t="s">
        <v>1374</v>
      </c>
      <c r="D819" s="50" t="e">
        <f>SUM(#REF!)</f>
        <v>#REF!</v>
      </c>
      <c r="E819" s="50" t="e">
        <f>SUM(#REF!)</f>
        <v>#REF!</v>
      </c>
      <c r="F819" s="47"/>
    </row>
    <row r="820" hidden="1" outlineLevel="2" spans="2:6">
      <c r="B820" s="48" t="s">
        <v>1375</v>
      </c>
      <c r="C820" s="54" t="s">
        <v>92</v>
      </c>
      <c r="D820" s="50" t="e">
        <f>SUM(#REF!)</f>
        <v>#REF!</v>
      </c>
      <c r="E820" s="50" t="e">
        <f>SUM(#REF!)</f>
        <v>#REF!</v>
      </c>
      <c r="F820" s="47"/>
    </row>
    <row r="821" hidden="1" outlineLevel="1" collapsed="1" spans="2:6">
      <c r="B821" s="54" t="s">
        <v>1376</v>
      </c>
      <c r="C821" s="54" t="s">
        <v>97</v>
      </c>
      <c r="D821" s="50" t="e">
        <f>SUM(#REF!)</f>
        <v>#REF!</v>
      </c>
      <c r="E821" s="50" t="e">
        <f>SUM(#REF!)</f>
        <v>#REF!</v>
      </c>
      <c r="F821" s="47"/>
    </row>
    <row r="822" hidden="1" outlineLevel="2" spans="2:6">
      <c r="B822" s="48" t="s">
        <v>1377</v>
      </c>
      <c r="C822" s="54" t="s">
        <v>107</v>
      </c>
      <c r="D822" s="50" t="e">
        <f>SUM(#REF!)</f>
        <v>#REF!</v>
      </c>
      <c r="E822" s="50" t="e">
        <f>SUM(#REF!)</f>
        <v>#REF!</v>
      </c>
      <c r="F822" s="47"/>
    </row>
    <row r="823" hidden="1" outlineLevel="2" spans="2:6">
      <c r="B823" s="48" t="s">
        <v>1378</v>
      </c>
      <c r="C823" s="54" t="s">
        <v>1379</v>
      </c>
      <c r="D823" s="50" t="e">
        <f>SUM(#REF!)</f>
        <v>#REF!</v>
      </c>
      <c r="E823" s="50" t="e">
        <f>SUM(#REF!)</f>
        <v>#REF!</v>
      </c>
      <c r="F823" s="47"/>
    </row>
    <row r="824" hidden="1" outlineLevel="2" spans="2:6">
      <c r="B824" s="48" t="s">
        <v>1380</v>
      </c>
      <c r="C824" s="54" t="s">
        <v>1381</v>
      </c>
      <c r="D824" s="50" t="e">
        <f>SUM(#REF!)</f>
        <v>#REF!</v>
      </c>
      <c r="E824" s="50" t="e">
        <f>SUM(#REF!)</f>
        <v>#REF!</v>
      </c>
      <c r="F824" s="47"/>
    </row>
    <row r="825" hidden="1" outlineLevel="2" spans="2:6">
      <c r="B825" s="48" t="s">
        <v>1382</v>
      </c>
      <c r="C825" s="54" t="s">
        <v>131</v>
      </c>
      <c r="D825" s="50" t="e">
        <f>SUM(#REF!)</f>
        <v>#REF!</v>
      </c>
      <c r="E825" s="50" t="e">
        <f>SUM(#REF!)</f>
        <v>#REF!</v>
      </c>
      <c r="F825" s="47"/>
    </row>
    <row r="826" hidden="1" outlineLevel="1" collapsed="1" spans="2:6">
      <c r="B826" s="54" t="s">
        <v>1383</v>
      </c>
      <c r="C826" s="54" t="s">
        <v>148</v>
      </c>
      <c r="D826" s="50" t="e">
        <f>SUM(#REF!)</f>
        <v>#REF!</v>
      </c>
      <c r="E826" s="50" t="e">
        <f>SUM(#REF!)</f>
        <v>#REF!</v>
      </c>
      <c r="F826" s="47"/>
    </row>
    <row r="827" hidden="1" outlineLevel="2" spans="2:6">
      <c r="B827" s="48" t="s">
        <v>1384</v>
      </c>
      <c r="C827" s="54" t="s">
        <v>162</v>
      </c>
      <c r="D827" s="50" t="e">
        <f>SUM(#REF!)</f>
        <v>#REF!</v>
      </c>
      <c r="E827" s="50" t="e">
        <f>SUM(#REF!)</f>
        <v>#REF!</v>
      </c>
      <c r="F827" s="47"/>
    </row>
    <row r="828" hidden="1" outlineLevel="2" spans="2:6">
      <c r="B828" s="48" t="s">
        <v>1385</v>
      </c>
      <c r="C828" s="54" t="s">
        <v>164</v>
      </c>
      <c r="D828" s="50" t="e">
        <f>SUM(#REF!)</f>
        <v>#REF!</v>
      </c>
      <c r="E828" s="50" t="e">
        <f>SUM(#REF!)</f>
        <v>#REF!</v>
      </c>
      <c r="F828" s="47"/>
    </row>
    <row r="829" hidden="1" outlineLevel="2" spans="2:6">
      <c r="B829" s="48" t="s">
        <v>1386</v>
      </c>
      <c r="C829" s="54" t="s">
        <v>166</v>
      </c>
      <c r="D829" s="50" t="e">
        <f>SUM(#REF!)</f>
        <v>#REF!</v>
      </c>
      <c r="E829" s="50" t="e">
        <f>SUM(#REF!)</f>
        <v>#REF!</v>
      </c>
      <c r="F829" s="47"/>
    </row>
    <row r="830" hidden="1" outlineLevel="2" spans="2:6">
      <c r="B830" s="48" t="s">
        <v>1387</v>
      </c>
      <c r="C830" s="54" t="s">
        <v>170</v>
      </c>
      <c r="D830" s="50" t="e">
        <f>SUM(#REF!)</f>
        <v>#REF!</v>
      </c>
      <c r="E830" s="50" t="e">
        <f>SUM(#REF!)</f>
        <v>#REF!</v>
      </c>
      <c r="F830" s="47"/>
    </row>
    <row r="831" hidden="1" outlineLevel="2" spans="2:6">
      <c r="B831" s="48" t="s">
        <v>1387</v>
      </c>
      <c r="C831" s="54" t="s">
        <v>172</v>
      </c>
      <c r="D831" s="50" t="e">
        <f>SUM(#REF!)</f>
        <v>#REF!</v>
      </c>
      <c r="E831" s="50" t="e">
        <f>SUM(#REF!)</f>
        <v>#REF!</v>
      </c>
      <c r="F831" s="47"/>
    </row>
    <row r="832" hidden="1" outlineLevel="2" spans="2:6">
      <c r="B832" s="48" t="s">
        <v>1388</v>
      </c>
      <c r="C832" s="54" t="s">
        <v>176</v>
      </c>
      <c r="D832" s="50" t="e">
        <f>SUM(#REF!)</f>
        <v>#REF!</v>
      </c>
      <c r="E832" s="50" t="e">
        <f>SUM(#REF!)</f>
        <v>#REF!</v>
      </c>
      <c r="F832" s="47"/>
    </row>
    <row r="833" hidden="1" outlineLevel="2" spans="2:6">
      <c r="B833" s="48" t="s">
        <v>1389</v>
      </c>
      <c r="C833" s="54" t="s">
        <v>198</v>
      </c>
      <c r="D833" s="50" t="e">
        <f>SUM(#REF!)</f>
        <v>#REF!</v>
      </c>
      <c r="E833" s="50" t="e">
        <f>SUM(#REF!)</f>
        <v>#REF!</v>
      </c>
      <c r="F833" s="47"/>
    </row>
    <row r="834" hidden="1" outlineLevel="2" spans="2:6">
      <c r="B834" s="48" t="s">
        <v>1390</v>
      </c>
      <c r="C834" s="54" t="s">
        <v>220</v>
      </c>
      <c r="D834" s="50" t="e">
        <f>SUM(#REF!)</f>
        <v>#REF!</v>
      </c>
      <c r="E834" s="50" t="e">
        <f>SUM(#REF!)</f>
        <v>#REF!</v>
      </c>
      <c r="F834" s="47"/>
    </row>
    <row r="835" hidden="1" outlineLevel="2" spans="2:6">
      <c r="B835" s="48" t="s">
        <v>1391</v>
      </c>
      <c r="C835" s="54" t="s">
        <v>222</v>
      </c>
      <c r="D835" s="50" t="e">
        <f>SUM(#REF!)</f>
        <v>#REF!</v>
      </c>
      <c r="E835" s="50" t="e">
        <f>SUM(#REF!)</f>
        <v>#REF!</v>
      </c>
      <c r="F835" s="47"/>
    </row>
    <row r="836" hidden="1" outlineLevel="2" spans="2:6">
      <c r="B836" s="48" t="s">
        <v>1392</v>
      </c>
      <c r="C836" s="54" t="s">
        <v>228</v>
      </c>
      <c r="D836" s="50" t="e">
        <f>SUM(#REF!)</f>
        <v>#REF!</v>
      </c>
      <c r="E836" s="50" t="e">
        <f>SUM(#REF!)</f>
        <v>#REF!</v>
      </c>
      <c r="F836" s="47"/>
    </row>
    <row r="837" hidden="1" outlineLevel="2" spans="2:6">
      <c r="B837" s="48" t="s">
        <v>1393</v>
      </c>
      <c r="C837" s="54" t="s">
        <v>240</v>
      </c>
      <c r="D837" s="50" t="e">
        <f>SUM(#REF!)</f>
        <v>#REF!</v>
      </c>
      <c r="E837" s="50" t="e">
        <f>SUM(#REF!)</f>
        <v>#REF!</v>
      </c>
      <c r="F837" s="47"/>
    </row>
    <row r="838" hidden="1" outlineLevel="1" collapsed="1" spans="2:6">
      <c r="B838" s="54" t="s">
        <v>1394</v>
      </c>
      <c r="C838" s="54" t="s">
        <v>245</v>
      </c>
      <c r="D838" s="50" t="e">
        <f>SUM(#REF!)</f>
        <v>#REF!</v>
      </c>
      <c r="E838" s="50" t="e">
        <f>SUM(#REF!)</f>
        <v>#REF!</v>
      </c>
      <c r="F838" s="47"/>
    </row>
    <row r="839" hidden="1" outlineLevel="2" spans="2:6">
      <c r="B839" s="48" t="s">
        <v>1395</v>
      </c>
      <c r="C839" s="54" t="s">
        <v>1396</v>
      </c>
      <c r="D839" s="50" t="e">
        <f>SUM(#REF!)</f>
        <v>#REF!</v>
      </c>
      <c r="E839" s="50" t="e">
        <f>SUM(#REF!)</f>
        <v>#REF!</v>
      </c>
      <c r="F839" s="47"/>
    </row>
    <row r="840" hidden="1" outlineLevel="2" spans="2:6">
      <c r="B840" s="48" t="s">
        <v>1397</v>
      </c>
      <c r="C840" s="54" t="s">
        <v>269</v>
      </c>
      <c r="D840" s="50" t="e">
        <f>SUM(#REF!)</f>
        <v>#REF!</v>
      </c>
      <c r="E840" s="50" t="e">
        <f>SUM(#REF!)</f>
        <v>#REF!</v>
      </c>
      <c r="F840" s="47"/>
    </row>
    <row r="841" hidden="1" outlineLevel="2" spans="2:6">
      <c r="B841" s="48" t="s">
        <v>1398</v>
      </c>
      <c r="C841" s="54" t="s">
        <v>1399</v>
      </c>
      <c r="D841" s="50" t="e">
        <f>SUM(#REF!)</f>
        <v>#REF!</v>
      </c>
      <c r="E841" s="50" t="e">
        <f>SUM(#REF!)</f>
        <v>#REF!</v>
      </c>
      <c r="F841" s="47"/>
    </row>
    <row r="842" hidden="1" outlineLevel="2" spans="2:6">
      <c r="B842" s="48" t="s">
        <v>1400</v>
      </c>
      <c r="C842" s="54" t="s">
        <v>271</v>
      </c>
      <c r="D842" s="50" t="e">
        <f>SUM(#REF!)</f>
        <v>#REF!</v>
      </c>
      <c r="E842" s="50" t="e">
        <f>SUM(#REF!)</f>
        <v>#REF!</v>
      </c>
      <c r="F842" s="47"/>
    </row>
    <row r="843" hidden="1" outlineLevel="2" spans="2:6">
      <c r="B843" s="48" t="s">
        <v>1401</v>
      </c>
      <c r="C843" s="54" t="s">
        <v>273</v>
      </c>
      <c r="D843" s="50" t="e">
        <f>SUM(#REF!)</f>
        <v>#REF!</v>
      </c>
      <c r="E843" s="50" t="e">
        <f>SUM(#REF!)</f>
        <v>#REF!</v>
      </c>
      <c r="F843" s="47"/>
    </row>
    <row r="844" hidden="1" outlineLevel="2" spans="2:6">
      <c r="B844" s="48" t="s">
        <v>1402</v>
      </c>
      <c r="C844" s="54" t="s">
        <v>275</v>
      </c>
      <c r="D844" s="50" t="e">
        <f>SUM(#REF!)</f>
        <v>#REF!</v>
      </c>
      <c r="E844" s="50" t="e">
        <f>SUM(#REF!)</f>
        <v>#REF!</v>
      </c>
      <c r="F844" s="47"/>
    </row>
    <row r="845" hidden="1" outlineLevel="2" spans="2:6">
      <c r="B845" s="48" t="s">
        <v>1403</v>
      </c>
      <c r="C845" s="54" t="s">
        <v>1404</v>
      </c>
      <c r="D845" s="50" t="e">
        <f>SUM(#REF!)</f>
        <v>#REF!</v>
      </c>
      <c r="E845" s="50" t="e">
        <f>SUM(#REF!)</f>
        <v>#REF!</v>
      </c>
      <c r="F845" s="47"/>
    </row>
    <row r="846" hidden="1" outlineLevel="2" spans="2:6">
      <c r="B846" s="48" t="s">
        <v>1405</v>
      </c>
      <c r="C846" s="54" t="s">
        <v>281</v>
      </c>
      <c r="D846" s="50" t="e">
        <f>SUM(#REF!)</f>
        <v>#REF!</v>
      </c>
      <c r="E846" s="50" t="e">
        <f>SUM(#REF!)</f>
        <v>#REF!</v>
      </c>
      <c r="F846" s="47"/>
    </row>
    <row r="847" hidden="1" outlineLevel="1" collapsed="1" spans="2:6">
      <c r="B847" s="54" t="s">
        <v>1406</v>
      </c>
      <c r="C847" s="54" t="s">
        <v>285</v>
      </c>
      <c r="D847" s="50" t="e">
        <f>SUM(#REF!)</f>
        <v>#REF!</v>
      </c>
      <c r="E847" s="50" t="e">
        <f>SUM(#REF!)</f>
        <v>#REF!</v>
      </c>
      <c r="F847" s="47"/>
    </row>
    <row r="848" hidden="1" outlineLevel="2" spans="2:6">
      <c r="B848" s="48" t="s">
        <v>1407</v>
      </c>
      <c r="C848" s="54" t="s">
        <v>298</v>
      </c>
      <c r="D848" s="50" t="e">
        <f>SUM(#REF!)</f>
        <v>#REF!</v>
      </c>
      <c r="E848" s="50" t="e">
        <f>SUM(#REF!)</f>
        <v>#REF!</v>
      </c>
      <c r="F848" s="47"/>
    </row>
    <row r="849" hidden="1" outlineLevel="2" spans="2:6">
      <c r="B849" s="48" t="s">
        <v>1408</v>
      </c>
      <c r="C849" s="54" t="s">
        <v>300</v>
      </c>
      <c r="D849" s="50" t="e">
        <f>SUM(#REF!)</f>
        <v>#REF!</v>
      </c>
      <c r="E849" s="50" t="e">
        <f>SUM(#REF!)</f>
        <v>#REF!</v>
      </c>
      <c r="F849" s="47"/>
    </row>
    <row r="850" hidden="1" outlineLevel="2" spans="2:6">
      <c r="B850" s="48" t="s">
        <v>1409</v>
      </c>
      <c r="C850" s="54" t="s">
        <v>302</v>
      </c>
      <c r="D850" s="50" t="e">
        <f>SUM(#REF!)</f>
        <v>#REF!</v>
      </c>
      <c r="E850" s="50" t="e">
        <f>SUM(#REF!)</f>
        <v>#REF!</v>
      </c>
      <c r="F850" s="47"/>
    </row>
    <row r="851" hidden="1" outlineLevel="2" spans="2:6">
      <c r="B851" s="48" t="s">
        <v>1410</v>
      </c>
      <c r="C851" s="54" t="s">
        <v>312</v>
      </c>
      <c r="D851" s="50" t="e">
        <f>SUM(#REF!)</f>
        <v>#REF!</v>
      </c>
      <c r="E851" s="50" t="e">
        <f>SUM(#REF!)</f>
        <v>#REF!</v>
      </c>
      <c r="F851" s="47"/>
    </row>
    <row r="852" hidden="1" outlineLevel="2" spans="2:6">
      <c r="B852" s="48" t="s">
        <v>1411</v>
      </c>
      <c r="C852" s="54" t="s">
        <v>314</v>
      </c>
      <c r="D852" s="50" t="e">
        <f>SUM(#REF!)</f>
        <v>#REF!</v>
      </c>
      <c r="E852" s="50" t="e">
        <f>SUM(#REF!)</f>
        <v>#REF!</v>
      </c>
      <c r="F852" s="47"/>
    </row>
    <row r="853" hidden="1" outlineLevel="1" collapsed="1" spans="2:6">
      <c r="B853" s="54" t="s">
        <v>1412</v>
      </c>
      <c r="C853" s="54" t="s">
        <v>337</v>
      </c>
      <c r="D853" s="50" t="e">
        <f>SUM(#REF!)</f>
        <v>#REF!</v>
      </c>
      <c r="E853" s="50" t="e">
        <f>SUM(#REF!)</f>
        <v>#REF!</v>
      </c>
      <c r="F853" s="47"/>
    </row>
    <row r="854" hidden="1" outlineLevel="2" spans="2:6">
      <c r="B854" s="48" t="s">
        <v>1413</v>
      </c>
      <c r="C854" s="54" t="s">
        <v>298</v>
      </c>
      <c r="D854" s="50" t="e">
        <f>SUM(#REF!)</f>
        <v>#REF!</v>
      </c>
      <c r="E854" s="50" t="e">
        <f>SUM(#REF!)</f>
        <v>#REF!</v>
      </c>
      <c r="F854" s="47"/>
    </row>
    <row r="855" hidden="1" outlineLevel="1" collapsed="1" spans="2:6">
      <c r="B855" s="54" t="s">
        <v>1414</v>
      </c>
      <c r="C855" s="54" t="s">
        <v>347</v>
      </c>
      <c r="D855" s="50" t="e">
        <f>SUM(#REF!)</f>
        <v>#REF!</v>
      </c>
      <c r="E855" s="50" t="e">
        <f>SUM(#REF!)</f>
        <v>#REF!</v>
      </c>
      <c r="F855" s="47"/>
    </row>
    <row r="856" hidden="1" outlineLevel="2" spans="2:6">
      <c r="B856" s="48" t="s">
        <v>1415</v>
      </c>
      <c r="C856" s="54" t="s">
        <v>356</v>
      </c>
      <c r="D856" s="50" t="e">
        <f>SUM(#REF!)</f>
        <v>#REF!</v>
      </c>
      <c r="E856" s="50" t="e">
        <f>SUM(#REF!)</f>
        <v>#REF!</v>
      </c>
      <c r="F856" s="47"/>
    </row>
    <row r="857" hidden="1" outlineLevel="2" spans="2:6">
      <c r="B857" s="48" t="s">
        <v>1416</v>
      </c>
      <c r="C857" s="54" t="s">
        <v>298</v>
      </c>
      <c r="D857" s="50" t="e">
        <f>SUM(#REF!)</f>
        <v>#REF!</v>
      </c>
      <c r="E857" s="50" t="e">
        <f>SUM(#REF!)</f>
        <v>#REF!</v>
      </c>
      <c r="F857" s="47"/>
    </row>
    <row r="858" hidden="1" outlineLevel="2" spans="2:6">
      <c r="B858" s="48" t="s">
        <v>1417</v>
      </c>
      <c r="C858" s="54" t="s">
        <v>359</v>
      </c>
      <c r="D858" s="50" t="e">
        <f>SUM(#REF!)</f>
        <v>#REF!</v>
      </c>
      <c r="E858" s="50" t="e">
        <f>SUM(#REF!)</f>
        <v>#REF!</v>
      </c>
      <c r="F858" s="47"/>
    </row>
    <row r="859" hidden="1" outlineLevel="2" spans="2:6">
      <c r="B859" s="48" t="s">
        <v>1418</v>
      </c>
      <c r="C859" s="54" t="s">
        <v>361</v>
      </c>
      <c r="D859" s="50" t="e">
        <f>SUM(#REF!)</f>
        <v>#REF!</v>
      </c>
      <c r="E859" s="50" t="e">
        <f>SUM(#REF!)</f>
        <v>#REF!</v>
      </c>
      <c r="F859" s="47"/>
    </row>
    <row r="860" hidden="1" outlineLevel="1" collapsed="1" spans="2:6">
      <c r="B860" s="54" t="s">
        <v>1419</v>
      </c>
      <c r="C860" s="54" t="s">
        <v>381</v>
      </c>
      <c r="D860" s="50" t="e">
        <f>SUM(#REF!)</f>
        <v>#REF!</v>
      </c>
      <c r="E860" s="50" t="e">
        <f>SUM(#REF!)</f>
        <v>#REF!</v>
      </c>
      <c r="F860" s="47"/>
    </row>
    <row r="861" hidden="1" outlineLevel="1" spans="2:6">
      <c r="B861" s="54" t="s">
        <v>1420</v>
      </c>
      <c r="C861" s="54" t="s">
        <v>393</v>
      </c>
      <c r="D861" s="50" t="e">
        <f>SUM(#REF!)</f>
        <v>#REF!</v>
      </c>
      <c r="E861" s="50" t="e">
        <f>SUM(#REF!)</f>
        <v>#REF!</v>
      </c>
      <c r="F861" s="47"/>
    </row>
    <row r="862" hidden="1" outlineLevel="2" spans="2:6">
      <c r="B862" s="48" t="s">
        <v>1421</v>
      </c>
      <c r="C862" s="54" t="s">
        <v>1422</v>
      </c>
      <c r="D862" s="50" t="e">
        <f>SUM(#REF!)</f>
        <v>#REF!</v>
      </c>
      <c r="E862" s="50" t="e">
        <f>SUM(#REF!)</f>
        <v>#REF!</v>
      </c>
      <c r="F862" s="47"/>
    </row>
    <row r="863" hidden="1" outlineLevel="2" spans="2:6">
      <c r="B863" s="48" t="s">
        <v>1423</v>
      </c>
      <c r="C863" s="54" t="s">
        <v>403</v>
      </c>
      <c r="D863" s="50" t="e">
        <f>SUM(#REF!)</f>
        <v>#REF!</v>
      </c>
      <c r="E863" s="50" t="e">
        <f>SUM(#REF!)</f>
        <v>#REF!</v>
      </c>
      <c r="F863" s="47"/>
    </row>
    <row r="864" hidden="1" outlineLevel="2" spans="2:6">
      <c r="B864" s="48" t="s">
        <v>1424</v>
      </c>
      <c r="C864" s="54" t="s">
        <v>405</v>
      </c>
      <c r="D864" s="50" t="e">
        <f>SUM(#REF!)</f>
        <v>#REF!</v>
      </c>
      <c r="E864" s="50" t="e">
        <f>SUM(#REF!)</f>
        <v>#REF!</v>
      </c>
      <c r="F864" s="47"/>
    </row>
    <row r="865" hidden="1" outlineLevel="2" spans="2:6">
      <c r="B865" s="48" t="s">
        <v>1425</v>
      </c>
      <c r="C865" s="54" t="s">
        <v>378</v>
      </c>
      <c r="D865" s="50" t="e">
        <f>SUM(#REF!)</f>
        <v>#REF!</v>
      </c>
      <c r="E865" s="50" t="e">
        <f>SUM(#REF!)</f>
        <v>#REF!</v>
      </c>
      <c r="F865" s="47"/>
    </row>
    <row r="866" hidden="1" outlineLevel="2" spans="2:6">
      <c r="B866" s="48" t="s">
        <v>1426</v>
      </c>
      <c r="C866" s="54" t="s">
        <v>410</v>
      </c>
      <c r="D866" s="50" t="e">
        <f>SUM(#REF!)</f>
        <v>#REF!</v>
      </c>
      <c r="E866" s="50" t="e">
        <f>SUM(#REF!)</f>
        <v>#REF!</v>
      </c>
      <c r="F866" s="47"/>
    </row>
    <row r="867" hidden="1" outlineLevel="1" collapsed="1" spans="2:6">
      <c r="B867" s="54" t="s">
        <v>1427</v>
      </c>
      <c r="C867" s="54" t="s">
        <v>411</v>
      </c>
      <c r="D867" s="50" t="e">
        <f>SUM(#REF!)</f>
        <v>#REF!</v>
      </c>
      <c r="E867" s="50" t="e">
        <f>SUM(#REF!)</f>
        <v>#REF!</v>
      </c>
      <c r="F867" s="47"/>
    </row>
    <row r="868" hidden="1" outlineLevel="2" spans="2:6">
      <c r="B868" s="48" t="s">
        <v>1428</v>
      </c>
      <c r="C868" s="54" t="s">
        <v>417</v>
      </c>
      <c r="D868" s="50" t="e">
        <f>SUM(#REF!)</f>
        <v>#REF!</v>
      </c>
      <c r="E868" s="50" t="e">
        <f>SUM(#REF!)</f>
        <v>#REF!</v>
      </c>
      <c r="F868" s="47"/>
    </row>
    <row r="869" hidden="1" outlineLevel="2" spans="2:6">
      <c r="B869" s="48" t="s">
        <v>1429</v>
      </c>
      <c r="C869" s="54" t="s">
        <v>419</v>
      </c>
      <c r="D869" s="50" t="e">
        <f>SUM(#REF!)</f>
        <v>#REF!</v>
      </c>
      <c r="E869" s="50" t="e">
        <f>SUM(#REF!)</f>
        <v>#REF!</v>
      </c>
      <c r="F869" s="47"/>
    </row>
    <row r="870" hidden="1" outlineLevel="2" spans="2:6">
      <c r="B870" s="48" t="s">
        <v>1430</v>
      </c>
      <c r="C870" s="54" t="s">
        <v>421</v>
      </c>
      <c r="D870" s="50" t="e">
        <f>SUM(#REF!)</f>
        <v>#REF!</v>
      </c>
      <c r="E870" s="50" t="e">
        <f>SUM(#REF!)</f>
        <v>#REF!</v>
      </c>
      <c r="F870" s="47"/>
    </row>
    <row r="871" hidden="1" outlineLevel="2" spans="2:6">
      <c r="B871" s="48" t="s">
        <v>1431</v>
      </c>
      <c r="C871" s="54" t="s">
        <v>433</v>
      </c>
      <c r="D871" s="50" t="e">
        <f>SUM(#REF!)</f>
        <v>#REF!</v>
      </c>
      <c r="E871" s="50" t="e">
        <f>SUM(#REF!)</f>
        <v>#REF!</v>
      </c>
      <c r="F871" s="47"/>
    </row>
    <row r="872" hidden="1" outlineLevel="2" spans="2:6">
      <c r="B872" s="48" t="s">
        <v>1432</v>
      </c>
      <c r="C872" s="54" t="s">
        <v>435</v>
      </c>
      <c r="D872" s="50" t="e">
        <f>SUM(#REF!)</f>
        <v>#REF!</v>
      </c>
      <c r="E872" s="50" t="e">
        <f>SUM(#REF!)</f>
        <v>#REF!</v>
      </c>
      <c r="F872" s="47"/>
    </row>
    <row r="873" hidden="1" outlineLevel="2" spans="2:6">
      <c r="B873" s="48" t="s">
        <v>1433</v>
      </c>
      <c r="C873" s="54" t="s">
        <v>441</v>
      </c>
      <c r="D873" s="50" t="e">
        <f>SUM(#REF!)</f>
        <v>#REF!</v>
      </c>
      <c r="E873" s="50" t="e">
        <f>SUM(#REF!)</f>
        <v>#REF!</v>
      </c>
      <c r="F873" s="47"/>
    </row>
    <row r="874" hidden="1" outlineLevel="2" spans="2:6">
      <c r="B874" s="48" t="s">
        <v>1434</v>
      </c>
      <c r="C874" s="54" t="s">
        <v>451</v>
      </c>
      <c r="D874" s="50" t="e">
        <f>SUM(#REF!)</f>
        <v>#REF!</v>
      </c>
      <c r="E874" s="50" t="e">
        <f>SUM(#REF!)</f>
        <v>#REF!</v>
      </c>
      <c r="F874" s="47"/>
    </row>
    <row r="875" hidden="1" outlineLevel="2" spans="2:6">
      <c r="B875" s="48" t="s">
        <v>1435</v>
      </c>
      <c r="C875" s="54" t="s">
        <v>453</v>
      </c>
      <c r="D875" s="50" t="e">
        <f>SUM(#REF!)</f>
        <v>#REF!</v>
      </c>
      <c r="E875" s="50" t="e">
        <f>SUM(#REF!)</f>
        <v>#REF!</v>
      </c>
      <c r="F875" s="47"/>
    </row>
    <row r="876" hidden="1" outlineLevel="2" spans="2:6">
      <c r="B876" s="48" t="s">
        <v>1436</v>
      </c>
      <c r="C876" s="54" t="s">
        <v>455</v>
      </c>
      <c r="D876" s="50" t="e">
        <f>SUM(#REF!)</f>
        <v>#REF!</v>
      </c>
      <c r="E876" s="50" t="e">
        <f>SUM(#REF!)</f>
        <v>#REF!</v>
      </c>
      <c r="F876" s="47"/>
    </row>
    <row r="877" hidden="1" outlineLevel="2" spans="2:6">
      <c r="B877" s="48" t="s">
        <v>1437</v>
      </c>
      <c r="C877" s="54" t="s">
        <v>457</v>
      </c>
      <c r="D877" s="50" t="e">
        <f>SUM(#REF!)</f>
        <v>#REF!</v>
      </c>
      <c r="E877" s="50" t="e">
        <f>SUM(#REF!)</f>
        <v>#REF!</v>
      </c>
      <c r="F877" s="47"/>
    </row>
    <row r="878" hidden="1" outlineLevel="2" spans="2:6">
      <c r="B878" s="48" t="s">
        <v>1438</v>
      </c>
      <c r="C878" s="54" t="s">
        <v>463</v>
      </c>
      <c r="D878" s="50" t="e">
        <f>SUM(#REF!)</f>
        <v>#REF!</v>
      </c>
      <c r="E878" s="50" t="e">
        <f>SUM(#REF!)</f>
        <v>#REF!</v>
      </c>
      <c r="F878" s="47"/>
    </row>
    <row r="879" hidden="1" outlineLevel="2" spans="2:6">
      <c r="B879" s="48" t="s">
        <v>1439</v>
      </c>
      <c r="C879" s="54" t="s">
        <v>465</v>
      </c>
      <c r="D879" s="50" t="e">
        <f>SUM(#REF!)</f>
        <v>#REF!</v>
      </c>
      <c r="E879" s="50" t="e">
        <f>SUM(#REF!)</f>
        <v>#REF!</v>
      </c>
      <c r="F879" s="47"/>
    </row>
    <row r="880" hidden="1" outlineLevel="1" collapsed="1" spans="2:6">
      <c r="B880" s="54" t="s">
        <v>1440</v>
      </c>
      <c r="C880" s="54" t="s">
        <v>476</v>
      </c>
      <c r="D880" s="50" t="e">
        <f>SUM(#REF!)</f>
        <v>#REF!</v>
      </c>
      <c r="E880" s="50" t="e">
        <f>SUM(#REF!)</f>
        <v>#REF!</v>
      </c>
      <c r="F880" s="47"/>
    </row>
    <row r="881" hidden="1" outlineLevel="2" spans="2:6">
      <c r="B881" s="48" t="s">
        <v>1441</v>
      </c>
      <c r="C881" s="54" t="s">
        <v>478</v>
      </c>
      <c r="D881" s="50" t="e">
        <f>SUM(#REF!)</f>
        <v>#REF!</v>
      </c>
      <c r="E881" s="50" t="e">
        <f>SUM(#REF!)</f>
        <v>#REF!</v>
      </c>
      <c r="F881" s="47"/>
    </row>
    <row r="882" hidden="1" outlineLevel="2" spans="2:6">
      <c r="B882" s="48" t="s">
        <v>1442</v>
      </c>
      <c r="C882" s="54" t="s">
        <v>488</v>
      </c>
      <c r="D882" s="50" t="e">
        <f>SUM(#REF!)</f>
        <v>#REF!</v>
      </c>
      <c r="E882" s="50" t="e">
        <f>SUM(#REF!)</f>
        <v>#REF!</v>
      </c>
      <c r="F882" s="47"/>
    </row>
    <row r="883" hidden="1" outlineLevel="2" spans="2:6">
      <c r="B883" s="48" t="s">
        <v>1443</v>
      </c>
      <c r="C883" s="54" t="s">
        <v>498</v>
      </c>
      <c r="D883" s="50" t="e">
        <f>SUM(#REF!)</f>
        <v>#REF!</v>
      </c>
      <c r="E883" s="50" t="e">
        <f>SUM(#REF!)</f>
        <v>#REF!</v>
      </c>
      <c r="F883" s="47"/>
    </row>
    <row r="884" hidden="1" outlineLevel="2" spans="2:6">
      <c r="B884" s="48" t="s">
        <v>1444</v>
      </c>
      <c r="C884" s="54" t="s">
        <v>1445</v>
      </c>
      <c r="D884" s="50" t="e">
        <f>SUM(#REF!)</f>
        <v>#REF!</v>
      </c>
      <c r="E884" s="50" t="e">
        <f>SUM(#REF!)</f>
        <v>#REF!</v>
      </c>
      <c r="F884" s="47"/>
    </row>
    <row r="885" hidden="1" outlineLevel="2" spans="2:6">
      <c r="B885" s="48" t="s">
        <v>1446</v>
      </c>
      <c r="C885" s="54" t="s">
        <v>538</v>
      </c>
      <c r="D885" s="50" t="e">
        <f>SUM(#REF!)</f>
        <v>#REF!</v>
      </c>
      <c r="E885" s="50" t="e">
        <f>SUM(#REF!)</f>
        <v>#REF!</v>
      </c>
      <c r="F885" s="47"/>
    </row>
    <row r="886" hidden="1" outlineLevel="2" spans="2:6">
      <c r="B886" s="48" t="s">
        <v>1447</v>
      </c>
      <c r="C886" s="54" t="s">
        <v>542</v>
      </c>
      <c r="D886" s="50" t="e">
        <f>SUM(#REF!)</f>
        <v>#REF!</v>
      </c>
      <c r="E886" s="50" t="e">
        <f>SUM(#REF!)</f>
        <v>#REF!</v>
      </c>
      <c r="F886" s="47"/>
    </row>
    <row r="887" hidden="1" outlineLevel="2" spans="2:6">
      <c r="B887" s="48" t="s">
        <v>1448</v>
      </c>
      <c r="C887" s="54" t="s">
        <v>546</v>
      </c>
      <c r="D887" s="50" t="e">
        <f>SUM(#REF!)</f>
        <v>#REF!</v>
      </c>
      <c r="E887" s="50" t="e">
        <f>SUM(#REF!)</f>
        <v>#REF!</v>
      </c>
      <c r="F887" s="47"/>
    </row>
    <row r="888" hidden="1" outlineLevel="2" spans="2:6">
      <c r="B888" s="48" t="s">
        <v>1449</v>
      </c>
      <c r="C888" s="54" t="s">
        <v>548</v>
      </c>
      <c r="D888" s="50" t="e">
        <f>SUM(#REF!)</f>
        <v>#REF!</v>
      </c>
      <c r="E888" s="50" t="e">
        <f>SUM(#REF!)</f>
        <v>#REF!</v>
      </c>
      <c r="F888" s="47"/>
    </row>
    <row r="889" hidden="1" outlineLevel="2" spans="2:6">
      <c r="B889" s="48" t="s">
        <v>1450</v>
      </c>
      <c r="C889" s="54" t="s">
        <v>550</v>
      </c>
      <c r="D889" s="50" t="e">
        <f>SUM(#REF!)</f>
        <v>#REF!</v>
      </c>
      <c r="E889" s="50" t="e">
        <f>SUM(#REF!)</f>
        <v>#REF!</v>
      </c>
      <c r="F889" s="47"/>
    </row>
    <row r="890" hidden="1" outlineLevel="2" spans="2:6">
      <c r="B890" s="48" t="s">
        <v>1451</v>
      </c>
      <c r="C890" s="54" t="s">
        <v>552</v>
      </c>
      <c r="D890" s="50" t="e">
        <f>SUM(#REF!)</f>
        <v>#REF!</v>
      </c>
      <c r="E890" s="50" t="e">
        <f>SUM(#REF!)</f>
        <v>#REF!</v>
      </c>
      <c r="F890" s="47"/>
    </row>
    <row r="891" hidden="1" outlineLevel="2" spans="2:6">
      <c r="B891" s="48" t="s">
        <v>1452</v>
      </c>
      <c r="C891" s="54" t="s">
        <v>554</v>
      </c>
      <c r="D891" s="50" t="e">
        <f>SUM(#REF!)</f>
        <v>#REF!</v>
      </c>
      <c r="E891" s="50" t="e">
        <f>SUM(#REF!)</f>
        <v>#REF!</v>
      </c>
      <c r="F891" s="47"/>
    </row>
    <row r="892" hidden="1" outlineLevel="2" spans="2:6">
      <c r="B892" s="48" t="s">
        <v>1453</v>
      </c>
      <c r="C892" s="54" t="s">
        <v>556</v>
      </c>
      <c r="D892" s="50" t="e">
        <f>SUM(#REF!)</f>
        <v>#REF!</v>
      </c>
      <c r="E892" s="50" t="e">
        <f>SUM(#REF!)</f>
        <v>#REF!</v>
      </c>
      <c r="F892" s="47"/>
    </row>
    <row r="893" hidden="1" outlineLevel="2" spans="2:6">
      <c r="B893" s="48" t="s">
        <v>1454</v>
      </c>
      <c r="C893" s="54" t="s">
        <v>558</v>
      </c>
      <c r="D893" s="50" t="e">
        <f>SUM(#REF!)</f>
        <v>#REF!</v>
      </c>
      <c r="E893" s="50" t="e">
        <f>SUM(#REF!)</f>
        <v>#REF!</v>
      </c>
      <c r="F893" s="47"/>
    </row>
    <row r="894" hidden="1" outlineLevel="2" spans="2:6">
      <c r="B894" s="48" t="s">
        <v>1455</v>
      </c>
      <c r="C894" s="54" t="s">
        <v>560</v>
      </c>
      <c r="D894" s="50" t="e">
        <f>SUM(#REF!)</f>
        <v>#REF!</v>
      </c>
      <c r="E894" s="50" t="e">
        <f>SUM(#REF!)</f>
        <v>#REF!</v>
      </c>
      <c r="F894" s="47"/>
    </row>
    <row r="895" hidden="1" outlineLevel="2" spans="2:6">
      <c r="B895" s="48" t="s">
        <v>1456</v>
      </c>
      <c r="C895" s="54" t="s">
        <v>562</v>
      </c>
      <c r="D895" s="50" t="e">
        <f>SUM(#REF!)</f>
        <v>#REF!</v>
      </c>
      <c r="E895" s="50" t="e">
        <f>SUM(#REF!)</f>
        <v>#REF!</v>
      </c>
      <c r="F895" s="47"/>
    </row>
    <row r="896" hidden="1" outlineLevel="2" spans="2:6">
      <c r="B896" s="48" t="s">
        <v>1457</v>
      </c>
      <c r="C896" s="54" t="s">
        <v>143</v>
      </c>
      <c r="D896" s="50" t="e">
        <f>SUM(#REF!)</f>
        <v>#REF!</v>
      </c>
      <c r="E896" s="50" t="e">
        <f>SUM(#REF!)</f>
        <v>#REF!</v>
      </c>
      <c r="F896" s="47"/>
    </row>
    <row r="897" hidden="1" outlineLevel="1" collapsed="1" spans="2:6">
      <c r="B897" s="54" t="s">
        <v>1458</v>
      </c>
      <c r="C897" s="54" t="s">
        <v>573</v>
      </c>
      <c r="D897" s="50" t="e">
        <f>SUM(#REF!)</f>
        <v>#REF!</v>
      </c>
      <c r="E897" s="50" t="e">
        <f>SUM(#REF!)</f>
        <v>#REF!</v>
      </c>
      <c r="F897" s="47"/>
    </row>
    <row r="898" hidden="1" outlineLevel="2" spans="2:6">
      <c r="B898" s="48" t="s">
        <v>1459</v>
      </c>
      <c r="C898" s="54" t="s">
        <v>586</v>
      </c>
      <c r="D898" s="50" t="e">
        <f>SUM(#REF!)</f>
        <v>#REF!</v>
      </c>
      <c r="E898" s="50" t="e">
        <f>SUM(#REF!)</f>
        <v>#REF!</v>
      </c>
      <c r="F898" s="47"/>
    </row>
    <row r="899" hidden="1" outlineLevel="2" spans="2:6">
      <c r="B899" s="48" t="s">
        <v>1460</v>
      </c>
      <c r="C899" s="54" t="s">
        <v>588</v>
      </c>
      <c r="D899" s="50" t="e">
        <f>SUM(#REF!)</f>
        <v>#REF!</v>
      </c>
      <c r="E899" s="50" t="e">
        <f>SUM(#REF!)</f>
        <v>#REF!</v>
      </c>
      <c r="F899" s="47"/>
    </row>
    <row r="900" hidden="1" outlineLevel="2" spans="2:6">
      <c r="B900" s="48" t="s">
        <v>1461</v>
      </c>
      <c r="C900" s="54" t="s">
        <v>542</v>
      </c>
      <c r="D900" s="50" t="e">
        <f>SUM(#REF!)</f>
        <v>#REF!</v>
      </c>
      <c r="E900" s="50" t="e">
        <f>SUM(#REF!)</f>
        <v>#REF!</v>
      </c>
      <c r="F900" s="47"/>
    </row>
    <row r="901" hidden="1" outlineLevel="1" collapsed="1" spans="2:6">
      <c r="B901" s="54" t="s">
        <v>1462</v>
      </c>
      <c r="C901" s="54" t="s">
        <v>602</v>
      </c>
      <c r="D901" s="50" t="e">
        <f>SUM(#REF!)</f>
        <v>#REF!</v>
      </c>
      <c r="E901" s="50" t="e">
        <f>SUM(#REF!)</f>
        <v>#REF!</v>
      </c>
      <c r="F901" s="47"/>
    </row>
    <row r="902" hidden="1" outlineLevel="1" spans="2:6">
      <c r="B902" s="54" t="s">
        <v>1463</v>
      </c>
      <c r="C902" s="54" t="s">
        <v>638</v>
      </c>
      <c r="D902" s="50" t="e">
        <f>SUM(#REF!)</f>
        <v>#REF!</v>
      </c>
      <c r="E902" s="50" t="e">
        <f>SUM(#REF!)</f>
        <v>#REF!</v>
      </c>
      <c r="F902" s="47"/>
    </row>
    <row r="903" hidden="1" outlineLevel="1" spans="2:6">
      <c r="B903" s="48" t="s">
        <v>1464</v>
      </c>
      <c r="C903" s="54" t="s">
        <v>1465</v>
      </c>
      <c r="D903" s="50" t="e">
        <f>SUM(#REF!)</f>
        <v>#REF!</v>
      </c>
      <c r="E903" s="50" t="e">
        <f>SUM(#REF!)</f>
        <v>#REF!</v>
      </c>
      <c r="F903" s="47"/>
    </row>
    <row r="904" collapsed="1" spans="2:6">
      <c r="B904" s="44" t="s">
        <v>36</v>
      </c>
      <c r="C904" s="45" t="s">
        <v>37</v>
      </c>
      <c r="D904" s="46" t="e">
        <f>SUM(D905:D906)/2</f>
        <v>#REF!</v>
      </c>
      <c r="E904" s="46" t="e">
        <f>SUM(E905:E906)/2</f>
        <v>#REF!</v>
      </c>
      <c r="F904" s="47"/>
    </row>
    <row r="905" hidden="1" outlineLevel="1" spans="2:6">
      <c r="B905" s="53">
        <v>11.1</v>
      </c>
      <c r="C905" s="49" t="s">
        <v>1466</v>
      </c>
      <c r="D905" s="50" t="e">
        <f>SUM(#REF!)</f>
        <v>#REF!</v>
      </c>
      <c r="E905" s="50" t="e">
        <f>SUM(#REF!)</f>
        <v>#REF!</v>
      </c>
      <c r="F905" s="47"/>
    </row>
    <row r="906" hidden="1" outlineLevel="1" spans="2:6">
      <c r="B906" s="53">
        <v>11.2</v>
      </c>
      <c r="C906" s="49" t="s">
        <v>1467</v>
      </c>
      <c r="D906" s="50" t="e">
        <f>SUM(#REF!)</f>
        <v>#REF!</v>
      </c>
      <c r="E906" s="50" t="e">
        <f>SUM(#REF!)</f>
        <v>#REF!</v>
      </c>
      <c r="F906" s="47"/>
    </row>
    <row r="907" collapsed="1" spans="2:6">
      <c r="B907" s="44" t="s">
        <v>38</v>
      </c>
      <c r="C907" s="45" t="s">
        <v>39</v>
      </c>
      <c r="D907" s="46" t="e">
        <f>SUM(#REF!)</f>
        <v>#REF!</v>
      </c>
      <c r="E907" s="46" t="e">
        <f>SUM(#REF!)</f>
        <v>#REF!</v>
      </c>
      <c r="F907" s="47" t="s">
        <v>57</v>
      </c>
    </row>
    <row r="908" hidden="1" outlineLevel="1" spans="2:6">
      <c r="B908" s="69">
        <v>12.1</v>
      </c>
      <c r="C908" s="70" t="s">
        <v>1468</v>
      </c>
      <c r="D908" s="55" t="e">
        <f>SUM(#REF!)</f>
        <v>#REF!</v>
      </c>
      <c r="E908" s="55" t="e">
        <f>SUM(#REF!)</f>
        <v>#REF!</v>
      </c>
      <c r="F908" s="71"/>
    </row>
    <row r="909" hidden="1" outlineLevel="2" spans="2:6">
      <c r="B909" s="72" t="s">
        <v>1469</v>
      </c>
      <c r="C909" s="70" t="s">
        <v>1470</v>
      </c>
      <c r="D909" s="50" t="e">
        <f>SUM(#REF!)</f>
        <v>#REF!</v>
      </c>
      <c r="E909" s="50" t="e">
        <f>SUM(#REF!)</f>
        <v>#REF!</v>
      </c>
      <c r="F909" s="71"/>
    </row>
    <row r="910" hidden="1" outlineLevel="2" spans="2:6">
      <c r="B910" s="72" t="s">
        <v>1471</v>
      </c>
      <c r="C910" s="73" t="s">
        <v>1472</v>
      </c>
      <c r="D910" s="50" t="e">
        <f>SUM(#REF!)</f>
        <v>#REF!</v>
      </c>
      <c r="E910" s="50" t="e">
        <f>SUM(#REF!)</f>
        <v>#REF!</v>
      </c>
      <c r="F910" s="71"/>
    </row>
    <row r="911" hidden="1" outlineLevel="2" spans="2:6">
      <c r="B911" s="72" t="s">
        <v>1473</v>
      </c>
      <c r="C911" s="73" t="s">
        <v>1474</v>
      </c>
      <c r="D911" s="50" t="e">
        <f>SUM(#REF!)</f>
        <v>#REF!</v>
      </c>
      <c r="E911" s="50" t="e">
        <f>SUM(#REF!)</f>
        <v>#REF!</v>
      </c>
      <c r="F911" s="71"/>
    </row>
    <row r="912" hidden="1" outlineLevel="2" spans="2:6">
      <c r="B912" s="72" t="s">
        <v>1475</v>
      </c>
      <c r="C912" s="70" t="s">
        <v>1476</v>
      </c>
      <c r="D912" s="50" t="e">
        <f>SUM(#REF!)</f>
        <v>#REF!</v>
      </c>
      <c r="E912" s="50" t="e">
        <f>SUM(#REF!)</f>
        <v>#REF!</v>
      </c>
      <c r="F912" s="71"/>
    </row>
    <row r="913" hidden="1" outlineLevel="1" collapsed="1" spans="2:6">
      <c r="B913" s="69">
        <v>12.2</v>
      </c>
      <c r="C913" s="70" t="s">
        <v>1477</v>
      </c>
      <c r="D913" s="55" t="e">
        <f>SUM(#REF!)</f>
        <v>#REF!</v>
      </c>
      <c r="E913" s="55" t="e">
        <f>SUM(#REF!)</f>
        <v>#REF!</v>
      </c>
      <c r="F913" s="71"/>
    </row>
    <row r="914" hidden="1" outlineLevel="2" spans="2:6">
      <c r="B914" s="72" t="s">
        <v>1478</v>
      </c>
      <c r="C914" s="70" t="s">
        <v>1479</v>
      </c>
      <c r="D914" s="50" t="e">
        <f>SUM(#REF!)</f>
        <v>#REF!</v>
      </c>
      <c r="E914" s="50" t="e">
        <f>SUM(#REF!)</f>
        <v>#REF!</v>
      </c>
      <c r="F914" s="71"/>
    </row>
    <row r="915" hidden="1" outlineLevel="2" spans="2:6">
      <c r="B915" s="72" t="s">
        <v>1480</v>
      </c>
      <c r="C915" s="73" t="s">
        <v>1472</v>
      </c>
      <c r="D915" s="50" t="e">
        <f>SUM(#REF!)</f>
        <v>#REF!</v>
      </c>
      <c r="E915" s="50" t="e">
        <f>SUM(#REF!)</f>
        <v>#REF!</v>
      </c>
      <c r="F915" s="71"/>
    </row>
    <row r="916" hidden="1" outlineLevel="2" spans="2:6">
      <c r="B916" s="72" t="s">
        <v>1481</v>
      </c>
      <c r="C916" s="73" t="s">
        <v>1474</v>
      </c>
      <c r="D916" s="50" t="e">
        <f>SUM(#REF!)</f>
        <v>#REF!</v>
      </c>
      <c r="E916" s="50" t="e">
        <f>SUM(#REF!)</f>
        <v>#REF!</v>
      </c>
      <c r="F916" s="71"/>
    </row>
    <row r="917" hidden="1" outlineLevel="2" spans="2:6">
      <c r="B917" s="72" t="s">
        <v>1482</v>
      </c>
      <c r="C917" s="70" t="s">
        <v>1483</v>
      </c>
      <c r="D917" s="50" t="e">
        <f>SUM(#REF!)</f>
        <v>#REF!</v>
      </c>
      <c r="E917" s="50" t="e">
        <f>SUM(#REF!)</f>
        <v>#REF!</v>
      </c>
      <c r="F917" s="71"/>
    </row>
    <row r="918" hidden="1" outlineLevel="2" spans="2:6">
      <c r="B918" s="72" t="s">
        <v>1484</v>
      </c>
      <c r="C918" s="73" t="s">
        <v>1472</v>
      </c>
      <c r="D918" s="50" t="e">
        <f>SUM(#REF!)</f>
        <v>#REF!</v>
      </c>
      <c r="E918" s="50" t="e">
        <f>SUM(#REF!)</f>
        <v>#REF!</v>
      </c>
      <c r="F918" s="71"/>
    </row>
    <row r="919" hidden="1" outlineLevel="2" spans="2:6">
      <c r="B919" s="74" t="s">
        <v>1485</v>
      </c>
      <c r="C919" s="75" t="s">
        <v>1474</v>
      </c>
      <c r="D919" s="50" t="e">
        <f>SUM(#REF!)</f>
        <v>#REF!</v>
      </c>
      <c r="E919" s="50" t="e">
        <f>SUM(#REF!)</f>
        <v>#REF!</v>
      </c>
      <c r="F919" s="76"/>
    </row>
    <row r="920" hidden="1" outlineLevel="2" spans="2:6">
      <c r="B920" s="72" t="s">
        <v>1486</v>
      </c>
      <c r="C920" s="70" t="s">
        <v>1476</v>
      </c>
      <c r="D920" s="50" t="e">
        <f>SUM(#REF!)</f>
        <v>#REF!</v>
      </c>
      <c r="E920" s="50" t="e">
        <f>SUM(#REF!)</f>
        <v>#REF!</v>
      </c>
      <c r="F920" s="71"/>
    </row>
    <row r="921" hidden="1" outlineLevel="1" collapsed="1" spans="2:6">
      <c r="B921" s="69">
        <v>12.3</v>
      </c>
      <c r="C921" s="70" t="s">
        <v>1487</v>
      </c>
      <c r="D921" s="55" t="e">
        <f>SUM(#REF!)</f>
        <v>#REF!</v>
      </c>
      <c r="E921" s="55" t="e">
        <f>SUM(#REF!)</f>
        <v>#REF!</v>
      </c>
      <c r="F921" s="71"/>
    </row>
    <row r="922" hidden="1" outlineLevel="2" spans="2:6">
      <c r="B922" s="72" t="s">
        <v>1488</v>
      </c>
      <c r="C922" s="70" t="s">
        <v>1489</v>
      </c>
      <c r="D922" s="50" t="e">
        <f>SUM(#REF!)</f>
        <v>#REF!</v>
      </c>
      <c r="E922" s="50" t="e">
        <f>SUM(#REF!)</f>
        <v>#REF!</v>
      </c>
      <c r="F922" s="71"/>
    </row>
    <row r="923" hidden="1" outlineLevel="2" spans="2:6">
      <c r="B923" s="72" t="s">
        <v>1490</v>
      </c>
      <c r="C923" s="73" t="s">
        <v>1472</v>
      </c>
      <c r="D923" s="50" t="e">
        <f>SUM(#REF!)</f>
        <v>#REF!</v>
      </c>
      <c r="E923" s="50" t="e">
        <f>SUM(#REF!)</f>
        <v>#REF!</v>
      </c>
      <c r="F923" s="71"/>
    </row>
    <row r="924" hidden="1" outlineLevel="2" spans="2:6">
      <c r="B924" s="72" t="s">
        <v>1491</v>
      </c>
      <c r="C924" s="73" t="s">
        <v>1474</v>
      </c>
      <c r="D924" s="50" t="e">
        <f>SUM(#REF!)</f>
        <v>#REF!</v>
      </c>
      <c r="E924" s="50" t="e">
        <f>SUM(#REF!)</f>
        <v>#REF!</v>
      </c>
      <c r="F924" s="71"/>
    </row>
    <row r="925" hidden="1" outlineLevel="2" spans="2:6">
      <c r="B925" s="72" t="s">
        <v>1492</v>
      </c>
      <c r="C925" s="70" t="s">
        <v>1493</v>
      </c>
      <c r="D925" s="50" t="e">
        <f>SUM(#REF!)</f>
        <v>#REF!</v>
      </c>
      <c r="E925" s="50" t="e">
        <f>SUM(#REF!)</f>
        <v>#REF!</v>
      </c>
      <c r="F925" s="71"/>
    </row>
    <row r="926" hidden="1" outlineLevel="2" spans="2:6">
      <c r="B926" s="72" t="s">
        <v>1494</v>
      </c>
      <c r="C926" s="73" t="s">
        <v>1472</v>
      </c>
      <c r="D926" s="50" t="e">
        <f>SUM(#REF!)</f>
        <v>#REF!</v>
      </c>
      <c r="E926" s="50" t="e">
        <f>SUM(#REF!)</f>
        <v>#REF!</v>
      </c>
      <c r="F926" s="71"/>
    </row>
    <row r="927" hidden="1" outlineLevel="2" spans="2:6">
      <c r="B927" s="72" t="s">
        <v>1495</v>
      </c>
      <c r="C927" s="73" t="s">
        <v>1474</v>
      </c>
      <c r="D927" s="50" t="e">
        <f>SUM(#REF!)</f>
        <v>#REF!</v>
      </c>
      <c r="E927" s="50" t="e">
        <f>SUM(#REF!)</f>
        <v>#REF!</v>
      </c>
      <c r="F927" s="71"/>
    </row>
    <row r="928" hidden="1" outlineLevel="2" spans="2:6">
      <c r="B928" s="72" t="s">
        <v>1496</v>
      </c>
      <c r="C928" s="70" t="s">
        <v>1497</v>
      </c>
      <c r="D928" s="50" t="e">
        <f>SUM(#REF!)</f>
        <v>#REF!</v>
      </c>
      <c r="E928" s="50" t="e">
        <f>SUM(#REF!)</f>
        <v>#REF!</v>
      </c>
      <c r="F928" s="71"/>
    </row>
    <row r="929" hidden="1" outlineLevel="2" spans="2:6">
      <c r="B929" s="72" t="s">
        <v>1498</v>
      </c>
      <c r="C929" s="73" t="s">
        <v>1472</v>
      </c>
      <c r="D929" s="50" t="e">
        <f>SUM(#REF!)</f>
        <v>#REF!</v>
      </c>
      <c r="E929" s="50" t="e">
        <f>SUM(#REF!)</f>
        <v>#REF!</v>
      </c>
      <c r="F929" s="71"/>
    </row>
    <row r="930" hidden="1" outlineLevel="2" spans="2:6">
      <c r="B930" s="72" t="s">
        <v>1499</v>
      </c>
      <c r="C930" s="73" t="s">
        <v>1474</v>
      </c>
      <c r="D930" s="50" t="e">
        <f>SUM(#REF!)</f>
        <v>#REF!</v>
      </c>
      <c r="E930" s="50" t="e">
        <f>SUM(#REF!)</f>
        <v>#REF!</v>
      </c>
      <c r="F930" s="71"/>
    </row>
    <row r="931" hidden="1" outlineLevel="2" spans="2:6">
      <c r="B931" s="72" t="s">
        <v>1500</v>
      </c>
      <c r="C931" s="70" t="s">
        <v>1476</v>
      </c>
      <c r="D931" s="50" t="e">
        <f>SUM(#REF!)</f>
        <v>#REF!</v>
      </c>
      <c r="E931" s="50" t="e">
        <f>SUM(#REF!)</f>
        <v>#REF!</v>
      </c>
      <c r="F931" s="71"/>
    </row>
    <row r="932" hidden="1" outlineLevel="1" collapsed="1" spans="2:6">
      <c r="B932" s="69">
        <v>12.4</v>
      </c>
      <c r="C932" s="70" t="s">
        <v>1501</v>
      </c>
      <c r="D932" s="55" t="e">
        <f>SUM(#REF!)</f>
        <v>#REF!</v>
      </c>
      <c r="E932" s="55" t="e">
        <f>SUM(#REF!)</f>
        <v>#REF!</v>
      </c>
      <c r="F932" s="71"/>
    </row>
    <row r="933" hidden="1" outlineLevel="2" spans="2:6">
      <c r="B933" s="72" t="s">
        <v>1502</v>
      </c>
      <c r="C933" s="70" t="s">
        <v>1503</v>
      </c>
      <c r="D933" s="50" t="e">
        <f>SUM(#REF!)</f>
        <v>#REF!</v>
      </c>
      <c r="E933" s="50" t="e">
        <f>SUM(#REF!)</f>
        <v>#REF!</v>
      </c>
      <c r="F933" s="71"/>
    </row>
    <row r="934" hidden="1" outlineLevel="2" spans="2:6">
      <c r="B934" s="72" t="s">
        <v>1504</v>
      </c>
      <c r="C934" s="73" t="s">
        <v>1472</v>
      </c>
      <c r="D934" s="50" t="e">
        <f>SUM(#REF!)</f>
        <v>#REF!</v>
      </c>
      <c r="E934" s="50" t="e">
        <f>SUM(#REF!)</f>
        <v>#REF!</v>
      </c>
      <c r="F934" s="71"/>
    </row>
    <row r="935" hidden="1" outlineLevel="2" spans="2:6">
      <c r="B935" s="72" t="s">
        <v>1505</v>
      </c>
      <c r="C935" s="73" t="s">
        <v>1474</v>
      </c>
      <c r="D935" s="50" t="e">
        <f>SUM(#REF!)</f>
        <v>#REF!</v>
      </c>
      <c r="E935" s="50" t="e">
        <f>SUM(#REF!)</f>
        <v>#REF!</v>
      </c>
      <c r="F935" s="71"/>
    </row>
    <row r="936" hidden="1" outlineLevel="2" spans="2:6">
      <c r="B936" s="72" t="s">
        <v>1506</v>
      </c>
      <c r="C936" s="70" t="s">
        <v>1507</v>
      </c>
      <c r="D936" s="50" t="e">
        <f>SUM(#REF!)</f>
        <v>#REF!</v>
      </c>
      <c r="E936" s="50" t="e">
        <f>SUM(#REF!)</f>
        <v>#REF!</v>
      </c>
      <c r="F936" s="71"/>
    </row>
    <row r="937" hidden="1" outlineLevel="2" spans="2:6">
      <c r="B937" s="72" t="s">
        <v>1508</v>
      </c>
      <c r="C937" s="73" t="s">
        <v>1472</v>
      </c>
      <c r="D937" s="50" t="e">
        <f>SUM(#REF!)</f>
        <v>#REF!</v>
      </c>
      <c r="E937" s="50" t="e">
        <f>SUM(#REF!)</f>
        <v>#REF!</v>
      </c>
      <c r="F937" s="71"/>
    </row>
    <row r="938" hidden="1" outlineLevel="2" spans="2:6">
      <c r="B938" s="72" t="s">
        <v>1509</v>
      </c>
      <c r="C938" s="73" t="s">
        <v>1474</v>
      </c>
      <c r="D938" s="50" t="e">
        <f>SUM(#REF!)</f>
        <v>#REF!</v>
      </c>
      <c r="E938" s="50" t="e">
        <f>SUM(#REF!)</f>
        <v>#REF!</v>
      </c>
      <c r="F938" s="71"/>
    </row>
    <row r="939" hidden="1" outlineLevel="2" spans="2:6">
      <c r="B939" s="72" t="s">
        <v>1510</v>
      </c>
      <c r="C939" s="70" t="s">
        <v>1511</v>
      </c>
      <c r="D939" s="50" t="e">
        <f>SUM(#REF!)</f>
        <v>#REF!</v>
      </c>
      <c r="E939" s="50" t="e">
        <f>SUM(#REF!)</f>
        <v>#REF!</v>
      </c>
      <c r="F939" s="71"/>
    </row>
    <row r="940" hidden="1" outlineLevel="2" spans="2:6">
      <c r="B940" s="72" t="s">
        <v>1512</v>
      </c>
      <c r="C940" s="73" t="s">
        <v>1472</v>
      </c>
      <c r="D940" s="50" t="e">
        <f>SUM(#REF!)</f>
        <v>#REF!</v>
      </c>
      <c r="E940" s="50" t="e">
        <f>SUM(#REF!)</f>
        <v>#REF!</v>
      </c>
      <c r="F940" s="71"/>
    </row>
    <row r="941" hidden="1" outlineLevel="2" spans="2:6">
      <c r="B941" s="72" t="s">
        <v>1513</v>
      </c>
      <c r="C941" s="73" t="s">
        <v>1474</v>
      </c>
      <c r="D941" s="50" t="e">
        <f>SUM(#REF!)</f>
        <v>#REF!</v>
      </c>
      <c r="E941" s="50" t="e">
        <f>SUM(#REF!)</f>
        <v>#REF!</v>
      </c>
      <c r="F941" s="71"/>
    </row>
    <row r="942" hidden="1" outlineLevel="2" spans="2:6">
      <c r="B942" s="72" t="s">
        <v>1514</v>
      </c>
      <c r="C942" s="70" t="s">
        <v>1515</v>
      </c>
      <c r="D942" s="50" t="e">
        <f>SUM(#REF!)</f>
        <v>#REF!</v>
      </c>
      <c r="E942" s="50" t="e">
        <f>SUM(#REF!)</f>
        <v>#REF!</v>
      </c>
      <c r="F942" s="71"/>
    </row>
    <row r="943" hidden="1" outlineLevel="2" spans="2:6">
      <c r="B943" s="72" t="s">
        <v>1516</v>
      </c>
      <c r="C943" s="73" t="s">
        <v>1472</v>
      </c>
      <c r="D943" s="50" t="e">
        <f>SUM(#REF!)</f>
        <v>#REF!</v>
      </c>
      <c r="E943" s="50" t="e">
        <f>SUM(#REF!)</f>
        <v>#REF!</v>
      </c>
      <c r="F943" s="71"/>
    </row>
    <row r="944" hidden="1" outlineLevel="2" spans="2:6">
      <c r="B944" s="72" t="s">
        <v>1517</v>
      </c>
      <c r="C944" s="73" t="s">
        <v>1474</v>
      </c>
      <c r="D944" s="50" t="e">
        <f>SUM(#REF!)</f>
        <v>#REF!</v>
      </c>
      <c r="E944" s="50" t="e">
        <f>SUM(#REF!)</f>
        <v>#REF!</v>
      </c>
      <c r="F944" s="71"/>
    </row>
    <row r="945" hidden="1" outlineLevel="2" spans="2:6">
      <c r="B945" s="72" t="s">
        <v>1518</v>
      </c>
      <c r="C945" s="70" t="s">
        <v>1519</v>
      </c>
      <c r="D945" s="50" t="e">
        <f>SUM(#REF!)</f>
        <v>#REF!</v>
      </c>
      <c r="E945" s="50" t="e">
        <f>SUM(#REF!)</f>
        <v>#REF!</v>
      </c>
      <c r="F945" s="71"/>
    </row>
    <row r="946" hidden="1" outlineLevel="2" spans="2:6">
      <c r="B946" s="72" t="s">
        <v>1520</v>
      </c>
      <c r="C946" s="73" t="s">
        <v>1472</v>
      </c>
      <c r="D946" s="50" t="e">
        <f>SUM(#REF!)</f>
        <v>#REF!</v>
      </c>
      <c r="E946" s="50" t="e">
        <f>SUM(#REF!)</f>
        <v>#REF!</v>
      </c>
      <c r="F946" s="71"/>
    </row>
    <row r="947" hidden="1" outlineLevel="2" spans="2:6">
      <c r="B947" s="72" t="s">
        <v>1521</v>
      </c>
      <c r="C947" s="73" t="s">
        <v>1522</v>
      </c>
      <c r="D947" s="50" t="e">
        <f>SUM(#REF!)</f>
        <v>#REF!</v>
      </c>
      <c r="E947" s="50" t="e">
        <f>SUM(#REF!)</f>
        <v>#REF!</v>
      </c>
      <c r="F947" s="71"/>
    </row>
    <row r="948" hidden="1" outlineLevel="2" spans="2:6">
      <c r="B948" s="72" t="s">
        <v>1523</v>
      </c>
      <c r="C948" s="70" t="s">
        <v>1524</v>
      </c>
      <c r="D948" s="50" t="e">
        <f>SUM(#REF!)</f>
        <v>#REF!</v>
      </c>
      <c r="E948" s="50" t="e">
        <f>SUM(#REF!)</f>
        <v>#REF!</v>
      </c>
      <c r="F948" s="71"/>
    </row>
    <row r="949" hidden="1" outlineLevel="2" spans="2:6">
      <c r="B949" s="72" t="s">
        <v>1525</v>
      </c>
      <c r="C949" s="73" t="s">
        <v>1472</v>
      </c>
      <c r="D949" s="50" t="e">
        <f>SUM(#REF!)</f>
        <v>#REF!</v>
      </c>
      <c r="E949" s="50" t="e">
        <f>SUM(#REF!)</f>
        <v>#REF!</v>
      </c>
      <c r="F949" s="71"/>
    </row>
    <row r="950" hidden="1" outlineLevel="2" spans="2:6">
      <c r="B950" s="72" t="s">
        <v>1526</v>
      </c>
      <c r="C950" s="73" t="s">
        <v>1522</v>
      </c>
      <c r="D950" s="50" t="e">
        <f>SUM(#REF!)</f>
        <v>#REF!</v>
      </c>
      <c r="E950" s="50" t="e">
        <f>SUM(#REF!)</f>
        <v>#REF!</v>
      </c>
      <c r="F950" s="71"/>
    </row>
    <row r="951" hidden="1" outlineLevel="2" spans="2:6">
      <c r="B951" s="72" t="s">
        <v>1527</v>
      </c>
      <c r="C951" s="70" t="s">
        <v>1528</v>
      </c>
      <c r="D951" s="50" t="e">
        <f>SUM(#REF!)</f>
        <v>#REF!</v>
      </c>
      <c r="E951" s="50" t="e">
        <f>SUM(#REF!)</f>
        <v>#REF!</v>
      </c>
      <c r="F951" s="71"/>
    </row>
    <row r="952" hidden="1" outlineLevel="2" spans="2:6">
      <c r="B952" s="72" t="s">
        <v>1529</v>
      </c>
      <c r="C952" s="73" t="s">
        <v>1472</v>
      </c>
      <c r="D952" s="50" t="e">
        <f>SUM(#REF!)</f>
        <v>#REF!</v>
      </c>
      <c r="E952" s="50" t="e">
        <f>SUM(#REF!)</f>
        <v>#REF!</v>
      </c>
      <c r="F952" s="71"/>
    </row>
    <row r="953" hidden="1" outlineLevel="2" spans="2:6">
      <c r="B953" s="72" t="s">
        <v>1530</v>
      </c>
      <c r="C953" s="73" t="s">
        <v>1522</v>
      </c>
      <c r="D953" s="50" t="e">
        <f>SUM(#REF!)</f>
        <v>#REF!</v>
      </c>
      <c r="E953" s="50" t="e">
        <f>SUM(#REF!)</f>
        <v>#REF!</v>
      </c>
      <c r="F953" s="71"/>
    </row>
    <row r="954" hidden="1" outlineLevel="2" spans="2:6">
      <c r="B954" s="72" t="s">
        <v>1531</v>
      </c>
      <c r="C954" s="70" t="s">
        <v>1476</v>
      </c>
      <c r="D954" s="50" t="e">
        <f>SUM(#REF!)</f>
        <v>#REF!</v>
      </c>
      <c r="E954" s="50" t="e">
        <f>SUM(#REF!)</f>
        <v>#REF!</v>
      </c>
      <c r="F954" s="71"/>
    </row>
    <row r="955" hidden="1" outlineLevel="1" collapsed="1" spans="2:6">
      <c r="B955" s="69">
        <v>12.5</v>
      </c>
      <c r="C955" s="70" t="s">
        <v>1532</v>
      </c>
      <c r="D955" s="55" t="e">
        <f>SUM(#REF!)</f>
        <v>#REF!</v>
      </c>
      <c r="E955" s="55" t="e">
        <f>SUM(#REF!)</f>
        <v>#REF!</v>
      </c>
      <c r="F955" s="71"/>
    </row>
    <row r="956" hidden="1" outlineLevel="2" spans="2:6">
      <c r="B956" s="72" t="s">
        <v>1533</v>
      </c>
      <c r="C956" s="70" t="s">
        <v>1534</v>
      </c>
      <c r="D956" s="50" t="e">
        <f>SUM(#REF!)</f>
        <v>#REF!</v>
      </c>
      <c r="E956" s="50" t="e">
        <f>SUM(#REF!)</f>
        <v>#REF!</v>
      </c>
      <c r="F956" s="71"/>
    </row>
    <row r="957" hidden="1" outlineLevel="2" spans="2:6">
      <c r="B957" s="72" t="s">
        <v>1535</v>
      </c>
      <c r="C957" s="73" t="s">
        <v>1472</v>
      </c>
      <c r="D957" s="50" t="e">
        <f>SUM(#REF!)</f>
        <v>#REF!</v>
      </c>
      <c r="E957" s="50" t="e">
        <f>SUM(#REF!)</f>
        <v>#REF!</v>
      </c>
      <c r="F957" s="71"/>
    </row>
    <row r="958" hidden="1" outlineLevel="2" spans="2:6">
      <c r="B958" s="72" t="s">
        <v>1536</v>
      </c>
      <c r="C958" s="73" t="s">
        <v>1522</v>
      </c>
      <c r="D958" s="50" t="e">
        <f>SUM(#REF!)</f>
        <v>#REF!</v>
      </c>
      <c r="E958" s="50" t="e">
        <f>SUM(#REF!)</f>
        <v>#REF!</v>
      </c>
      <c r="F958" s="71"/>
    </row>
    <row r="959" hidden="1" outlineLevel="2" spans="2:6">
      <c r="B959" s="72" t="s">
        <v>1537</v>
      </c>
      <c r="C959" s="70" t="s">
        <v>1538</v>
      </c>
      <c r="D959" s="50" t="e">
        <f>SUM(#REF!)</f>
        <v>#REF!</v>
      </c>
      <c r="E959" s="50" t="e">
        <f>SUM(#REF!)</f>
        <v>#REF!</v>
      </c>
      <c r="F959" s="71"/>
    </row>
    <row r="960" hidden="1" outlineLevel="2" spans="2:6">
      <c r="B960" s="72" t="s">
        <v>1539</v>
      </c>
      <c r="C960" s="73" t="s">
        <v>1472</v>
      </c>
      <c r="D960" s="50" t="e">
        <f>SUM(#REF!)</f>
        <v>#REF!</v>
      </c>
      <c r="E960" s="50" t="e">
        <f>SUM(#REF!)</f>
        <v>#REF!</v>
      </c>
      <c r="F960" s="71"/>
    </row>
    <row r="961" hidden="1" outlineLevel="2" spans="2:6">
      <c r="B961" s="72" t="s">
        <v>1540</v>
      </c>
      <c r="C961" s="73" t="s">
        <v>1522</v>
      </c>
      <c r="D961" s="50" t="e">
        <f>SUM(#REF!)</f>
        <v>#REF!</v>
      </c>
      <c r="E961" s="50" t="e">
        <f>SUM(#REF!)</f>
        <v>#REF!</v>
      </c>
      <c r="F961" s="71"/>
    </row>
    <row r="962" hidden="1" outlineLevel="2" spans="2:6">
      <c r="B962" s="72" t="s">
        <v>1541</v>
      </c>
      <c r="C962" s="70" t="s">
        <v>1542</v>
      </c>
      <c r="D962" s="50" t="e">
        <f>SUM(#REF!)</f>
        <v>#REF!</v>
      </c>
      <c r="E962" s="50" t="e">
        <f>SUM(#REF!)</f>
        <v>#REF!</v>
      </c>
      <c r="F962" s="71"/>
    </row>
    <row r="963" hidden="1" outlineLevel="2" spans="2:6">
      <c r="B963" s="72" t="s">
        <v>1543</v>
      </c>
      <c r="C963" s="73" t="s">
        <v>1472</v>
      </c>
      <c r="D963" s="50" t="e">
        <f>SUM(#REF!)</f>
        <v>#REF!</v>
      </c>
      <c r="E963" s="50" t="e">
        <f>SUM(#REF!)</f>
        <v>#REF!</v>
      </c>
      <c r="F963" s="71"/>
    </row>
    <row r="964" hidden="1" outlineLevel="2" spans="2:6">
      <c r="B964" s="72" t="s">
        <v>1544</v>
      </c>
      <c r="C964" s="73" t="s">
        <v>1522</v>
      </c>
      <c r="D964" s="50" t="e">
        <f>SUM(#REF!)</f>
        <v>#REF!</v>
      </c>
      <c r="E964" s="50" t="e">
        <f>SUM(#REF!)</f>
        <v>#REF!</v>
      </c>
      <c r="F964" s="71"/>
    </row>
    <row r="965" hidden="1" outlineLevel="2" spans="2:6">
      <c r="B965" s="72" t="s">
        <v>1545</v>
      </c>
      <c r="C965" s="70" t="s">
        <v>1546</v>
      </c>
      <c r="D965" s="50" t="e">
        <f>SUM(#REF!)</f>
        <v>#REF!</v>
      </c>
      <c r="E965" s="50" t="e">
        <f>SUM(#REF!)</f>
        <v>#REF!</v>
      </c>
      <c r="F965" s="71"/>
    </row>
    <row r="966" hidden="1" outlineLevel="2" spans="2:6">
      <c r="B966" s="72" t="s">
        <v>1547</v>
      </c>
      <c r="C966" s="73" t="s">
        <v>1472</v>
      </c>
      <c r="D966" s="50" t="e">
        <f>SUM(#REF!)</f>
        <v>#REF!</v>
      </c>
      <c r="E966" s="50" t="e">
        <f>SUM(#REF!)</f>
        <v>#REF!</v>
      </c>
      <c r="F966" s="71"/>
    </row>
    <row r="967" hidden="1" outlineLevel="2" spans="2:6">
      <c r="B967" s="72" t="s">
        <v>1548</v>
      </c>
      <c r="C967" s="73" t="s">
        <v>1522</v>
      </c>
      <c r="D967" s="50" t="e">
        <f>SUM(#REF!)</f>
        <v>#REF!</v>
      </c>
      <c r="E967" s="50" t="e">
        <f>SUM(#REF!)</f>
        <v>#REF!</v>
      </c>
      <c r="F967" s="71"/>
    </row>
    <row r="968" hidden="1" outlineLevel="2" spans="2:6">
      <c r="B968" s="72" t="s">
        <v>1549</v>
      </c>
      <c r="C968" s="70" t="s">
        <v>1550</v>
      </c>
      <c r="D968" s="50" t="e">
        <f>SUM(#REF!)</f>
        <v>#REF!</v>
      </c>
      <c r="E968" s="50" t="e">
        <f>SUM(#REF!)</f>
        <v>#REF!</v>
      </c>
      <c r="F968" s="71"/>
    </row>
    <row r="969" hidden="1" outlineLevel="2" spans="2:6">
      <c r="B969" s="72" t="s">
        <v>1551</v>
      </c>
      <c r="C969" s="73" t="s">
        <v>1472</v>
      </c>
      <c r="D969" s="50" t="e">
        <f>SUM(#REF!)</f>
        <v>#REF!</v>
      </c>
      <c r="E969" s="50" t="e">
        <f>SUM(#REF!)</f>
        <v>#REF!</v>
      </c>
      <c r="F969" s="71"/>
    </row>
    <row r="970" hidden="1" outlineLevel="2" spans="2:6">
      <c r="B970" s="72" t="s">
        <v>1552</v>
      </c>
      <c r="C970" s="73" t="s">
        <v>1522</v>
      </c>
      <c r="D970" s="50" t="e">
        <f>SUM(#REF!)</f>
        <v>#REF!</v>
      </c>
      <c r="E970" s="50" t="e">
        <f>SUM(#REF!)</f>
        <v>#REF!</v>
      </c>
      <c r="F970" s="71"/>
    </row>
    <row r="971" hidden="1" outlineLevel="2" spans="2:6">
      <c r="B971" s="72" t="s">
        <v>1553</v>
      </c>
      <c r="C971" s="70" t="s">
        <v>1554</v>
      </c>
      <c r="D971" s="50" t="e">
        <f>SUM(#REF!)</f>
        <v>#REF!</v>
      </c>
      <c r="E971" s="50" t="e">
        <f>SUM(#REF!)</f>
        <v>#REF!</v>
      </c>
      <c r="F971" s="71"/>
    </row>
    <row r="972" hidden="1" outlineLevel="2" spans="2:6">
      <c r="B972" s="72" t="s">
        <v>1555</v>
      </c>
      <c r="C972" s="73" t="s">
        <v>1472</v>
      </c>
      <c r="D972" s="50" t="e">
        <f>SUM(#REF!)</f>
        <v>#REF!</v>
      </c>
      <c r="E972" s="50" t="e">
        <f>SUM(#REF!)</f>
        <v>#REF!</v>
      </c>
      <c r="F972" s="71"/>
    </row>
    <row r="973" hidden="1" outlineLevel="2" spans="2:6">
      <c r="B973" s="72" t="s">
        <v>1556</v>
      </c>
      <c r="C973" s="73" t="s">
        <v>1522</v>
      </c>
      <c r="D973" s="50" t="e">
        <f>SUM(#REF!)</f>
        <v>#REF!</v>
      </c>
      <c r="E973" s="50" t="e">
        <f>SUM(#REF!)</f>
        <v>#REF!</v>
      </c>
      <c r="F973" s="71"/>
    </row>
    <row r="974" hidden="1" outlineLevel="2" spans="2:6">
      <c r="B974" s="72" t="s">
        <v>1557</v>
      </c>
      <c r="C974" s="70" t="s">
        <v>1558</v>
      </c>
      <c r="D974" s="50" t="e">
        <f>SUM(#REF!)</f>
        <v>#REF!</v>
      </c>
      <c r="E974" s="50" t="e">
        <f>SUM(#REF!)</f>
        <v>#REF!</v>
      </c>
      <c r="F974" s="71"/>
    </row>
    <row r="975" hidden="1" outlineLevel="2" spans="2:6">
      <c r="B975" s="72" t="s">
        <v>1559</v>
      </c>
      <c r="C975" s="73" t="s">
        <v>1472</v>
      </c>
      <c r="D975" s="50" t="e">
        <f>SUM(#REF!)</f>
        <v>#REF!</v>
      </c>
      <c r="E975" s="50" t="e">
        <f>SUM(#REF!)</f>
        <v>#REF!</v>
      </c>
      <c r="F975" s="71"/>
    </row>
    <row r="976" hidden="1" outlineLevel="2" spans="2:6">
      <c r="B976" s="72" t="s">
        <v>1560</v>
      </c>
      <c r="C976" s="73" t="s">
        <v>1522</v>
      </c>
      <c r="D976" s="50" t="e">
        <f>SUM(#REF!)</f>
        <v>#REF!</v>
      </c>
      <c r="E976" s="50" t="e">
        <f>SUM(#REF!)</f>
        <v>#REF!</v>
      </c>
      <c r="F976" s="71"/>
    </row>
    <row r="977" hidden="1" outlineLevel="2" spans="2:6">
      <c r="B977" s="72" t="s">
        <v>1561</v>
      </c>
      <c r="C977" s="70" t="s">
        <v>1562</v>
      </c>
      <c r="D977" s="50" t="e">
        <f>SUM(#REF!)</f>
        <v>#REF!</v>
      </c>
      <c r="E977" s="50" t="e">
        <f>SUM(#REF!)</f>
        <v>#REF!</v>
      </c>
      <c r="F977" s="71"/>
    </row>
    <row r="978" hidden="1" outlineLevel="2" spans="2:6">
      <c r="B978" s="72" t="s">
        <v>1563</v>
      </c>
      <c r="C978" s="73" t="s">
        <v>1472</v>
      </c>
      <c r="D978" s="50" t="e">
        <f>SUM(#REF!)</f>
        <v>#REF!</v>
      </c>
      <c r="E978" s="50" t="e">
        <f>SUM(#REF!)</f>
        <v>#REF!</v>
      </c>
      <c r="F978" s="71"/>
    </row>
    <row r="979" hidden="1" outlineLevel="2" spans="2:6">
      <c r="B979" s="72" t="s">
        <v>1564</v>
      </c>
      <c r="C979" s="73" t="s">
        <v>1522</v>
      </c>
      <c r="D979" s="50" t="e">
        <f>SUM(#REF!)</f>
        <v>#REF!</v>
      </c>
      <c r="E979" s="50" t="e">
        <f>SUM(#REF!)</f>
        <v>#REF!</v>
      </c>
      <c r="F979" s="71"/>
    </row>
    <row r="980" hidden="1" outlineLevel="2" spans="2:6">
      <c r="B980" s="72" t="s">
        <v>1565</v>
      </c>
      <c r="C980" s="70" t="s">
        <v>1566</v>
      </c>
      <c r="D980" s="50" t="e">
        <f>SUM(#REF!)</f>
        <v>#REF!</v>
      </c>
      <c r="E980" s="50" t="e">
        <f>SUM(#REF!)</f>
        <v>#REF!</v>
      </c>
      <c r="F980" s="71"/>
    </row>
    <row r="981" hidden="1" outlineLevel="2" spans="2:6">
      <c r="B981" s="72" t="s">
        <v>1567</v>
      </c>
      <c r="C981" s="73" t="s">
        <v>1472</v>
      </c>
      <c r="D981" s="50" t="e">
        <f>SUM(#REF!)</f>
        <v>#REF!</v>
      </c>
      <c r="E981" s="50" t="e">
        <f>SUM(#REF!)</f>
        <v>#REF!</v>
      </c>
      <c r="F981" s="71"/>
    </row>
    <row r="982" hidden="1" outlineLevel="2" spans="2:6">
      <c r="B982" s="72" t="s">
        <v>1568</v>
      </c>
      <c r="C982" s="73" t="s">
        <v>1522</v>
      </c>
      <c r="D982" s="50" t="e">
        <f>SUM(#REF!)</f>
        <v>#REF!</v>
      </c>
      <c r="E982" s="50" t="e">
        <f>SUM(#REF!)</f>
        <v>#REF!</v>
      </c>
      <c r="F982" s="71"/>
    </row>
    <row r="983" hidden="1" outlineLevel="2" spans="2:6">
      <c r="B983" s="72" t="s">
        <v>1569</v>
      </c>
      <c r="C983" s="70" t="s">
        <v>1570</v>
      </c>
      <c r="D983" s="50" t="e">
        <f>SUM(#REF!)</f>
        <v>#REF!</v>
      </c>
      <c r="E983" s="50" t="e">
        <f>SUM(#REF!)</f>
        <v>#REF!</v>
      </c>
      <c r="F983" s="71"/>
    </row>
    <row r="984" hidden="1" outlineLevel="2" spans="2:6">
      <c r="B984" s="72" t="s">
        <v>1571</v>
      </c>
      <c r="C984" s="73" t="s">
        <v>1472</v>
      </c>
      <c r="D984" s="50" t="e">
        <f>SUM(#REF!)</f>
        <v>#REF!</v>
      </c>
      <c r="E984" s="50" t="e">
        <f>SUM(#REF!)</f>
        <v>#REF!</v>
      </c>
      <c r="F984" s="71"/>
    </row>
    <row r="985" hidden="1" outlineLevel="2" spans="2:6">
      <c r="B985" s="72" t="s">
        <v>1572</v>
      </c>
      <c r="C985" s="73" t="s">
        <v>1522</v>
      </c>
      <c r="D985" s="50" t="e">
        <f>SUM(#REF!)</f>
        <v>#REF!</v>
      </c>
      <c r="E985" s="50" t="e">
        <f>SUM(#REF!)</f>
        <v>#REF!</v>
      </c>
      <c r="F985" s="71"/>
    </row>
    <row r="986" hidden="1" outlineLevel="2" spans="2:6">
      <c r="B986" s="72" t="s">
        <v>1573</v>
      </c>
      <c r="C986" s="70" t="s">
        <v>1574</v>
      </c>
      <c r="D986" s="50" t="e">
        <f>SUM(#REF!)</f>
        <v>#REF!</v>
      </c>
      <c r="E986" s="50" t="e">
        <f>SUM(#REF!)</f>
        <v>#REF!</v>
      </c>
      <c r="F986" s="71"/>
    </row>
    <row r="987" hidden="1" outlineLevel="2" spans="2:6">
      <c r="B987" s="72" t="s">
        <v>1575</v>
      </c>
      <c r="C987" s="73" t="s">
        <v>1472</v>
      </c>
      <c r="D987" s="50" t="e">
        <f>SUM(#REF!)</f>
        <v>#REF!</v>
      </c>
      <c r="E987" s="50" t="e">
        <f>SUM(#REF!)</f>
        <v>#REF!</v>
      </c>
      <c r="F987" s="71"/>
    </row>
    <row r="988" hidden="1" outlineLevel="2" spans="2:6">
      <c r="B988" s="72" t="s">
        <v>1576</v>
      </c>
      <c r="C988" s="73" t="s">
        <v>1522</v>
      </c>
      <c r="D988" s="50" t="e">
        <f>SUM(#REF!)</f>
        <v>#REF!</v>
      </c>
      <c r="E988" s="50" t="e">
        <f>SUM(#REF!)</f>
        <v>#REF!</v>
      </c>
      <c r="F988" s="71"/>
    </row>
    <row r="989" hidden="1" outlineLevel="2" spans="2:6">
      <c r="B989" s="72" t="s">
        <v>1577</v>
      </c>
      <c r="C989" s="70" t="s">
        <v>1578</v>
      </c>
      <c r="D989" s="50" t="e">
        <f>SUM(#REF!)</f>
        <v>#REF!</v>
      </c>
      <c r="E989" s="50" t="e">
        <f>SUM(#REF!)</f>
        <v>#REF!</v>
      </c>
      <c r="F989" s="71"/>
    </row>
    <row r="990" hidden="1" outlineLevel="2" spans="2:6">
      <c r="B990" s="72" t="s">
        <v>1579</v>
      </c>
      <c r="C990" s="73" t="s">
        <v>1472</v>
      </c>
      <c r="D990" s="50" t="e">
        <f>SUM(#REF!)</f>
        <v>#REF!</v>
      </c>
      <c r="E990" s="50" t="e">
        <f>SUM(#REF!)</f>
        <v>#REF!</v>
      </c>
      <c r="F990" s="71"/>
    </row>
    <row r="991" hidden="1" outlineLevel="2" spans="2:6">
      <c r="B991" s="72" t="s">
        <v>1580</v>
      </c>
      <c r="C991" s="73" t="s">
        <v>1522</v>
      </c>
      <c r="D991" s="50" t="e">
        <f>SUM(#REF!)</f>
        <v>#REF!</v>
      </c>
      <c r="E991" s="50" t="e">
        <f>SUM(#REF!)</f>
        <v>#REF!</v>
      </c>
      <c r="F991" s="71"/>
    </row>
    <row r="992" hidden="1" outlineLevel="2" spans="2:6">
      <c r="B992" s="72" t="s">
        <v>1581</v>
      </c>
      <c r="C992" s="70" t="s">
        <v>1582</v>
      </c>
      <c r="D992" s="50" t="e">
        <f>SUM(#REF!)</f>
        <v>#REF!</v>
      </c>
      <c r="E992" s="50" t="e">
        <f>SUM(#REF!)</f>
        <v>#REF!</v>
      </c>
      <c r="F992" s="71"/>
    </row>
    <row r="993" hidden="1" outlineLevel="2" spans="2:6">
      <c r="B993" s="72" t="s">
        <v>1583</v>
      </c>
      <c r="C993" s="73" t="s">
        <v>1472</v>
      </c>
      <c r="D993" s="50" t="e">
        <f>SUM(#REF!)</f>
        <v>#REF!</v>
      </c>
      <c r="E993" s="50" t="e">
        <f>SUM(#REF!)</f>
        <v>#REF!</v>
      </c>
      <c r="F993" s="71"/>
    </row>
    <row r="994" hidden="1" outlineLevel="2" spans="2:6">
      <c r="B994" s="72" t="s">
        <v>1584</v>
      </c>
      <c r="C994" s="73" t="s">
        <v>1522</v>
      </c>
      <c r="D994" s="50" t="e">
        <f>SUM(#REF!)</f>
        <v>#REF!</v>
      </c>
      <c r="E994" s="50" t="e">
        <f>SUM(#REF!)</f>
        <v>#REF!</v>
      </c>
      <c r="F994" s="71"/>
    </row>
    <row r="995" hidden="1" outlineLevel="2" spans="2:6">
      <c r="B995" s="72" t="s">
        <v>1585</v>
      </c>
      <c r="C995" s="70" t="s">
        <v>1476</v>
      </c>
      <c r="D995" s="50" t="e">
        <f>SUM(#REF!)</f>
        <v>#REF!</v>
      </c>
      <c r="E995" s="50" t="e">
        <f>SUM(#REF!)</f>
        <v>#REF!</v>
      </c>
      <c r="F995" s="71"/>
    </row>
    <row r="996" hidden="1" outlineLevel="1" collapsed="1" spans="2:6">
      <c r="B996" s="69">
        <v>12.6</v>
      </c>
      <c r="C996" s="70" t="s">
        <v>1586</v>
      </c>
      <c r="D996" s="55" t="e">
        <f>SUM(#REF!)</f>
        <v>#REF!</v>
      </c>
      <c r="E996" s="55" t="e">
        <f>SUM(#REF!)</f>
        <v>#REF!</v>
      </c>
      <c r="F996" s="71"/>
    </row>
    <row r="997" hidden="1" outlineLevel="2" spans="2:6">
      <c r="B997" s="72" t="s">
        <v>1587</v>
      </c>
      <c r="C997" s="70" t="s">
        <v>1588</v>
      </c>
      <c r="D997" s="50" t="e">
        <f>SUM(#REF!)</f>
        <v>#REF!</v>
      </c>
      <c r="E997" s="50" t="e">
        <f>SUM(#REF!)</f>
        <v>#REF!</v>
      </c>
      <c r="F997" s="71"/>
    </row>
    <row r="998" hidden="1" outlineLevel="2" spans="2:6">
      <c r="B998" s="72" t="s">
        <v>1589</v>
      </c>
      <c r="C998" s="73" t="s">
        <v>1472</v>
      </c>
      <c r="D998" s="50" t="e">
        <f>SUM(#REF!)</f>
        <v>#REF!</v>
      </c>
      <c r="E998" s="50" t="e">
        <f>SUM(#REF!)</f>
        <v>#REF!</v>
      </c>
      <c r="F998" s="71"/>
    </row>
    <row r="999" hidden="1" outlineLevel="2" spans="2:6">
      <c r="B999" s="72" t="s">
        <v>1590</v>
      </c>
      <c r="C999" s="73" t="s">
        <v>1522</v>
      </c>
      <c r="D999" s="50" t="e">
        <f>SUM(#REF!)</f>
        <v>#REF!</v>
      </c>
      <c r="E999" s="50" t="e">
        <f>SUM(#REF!)</f>
        <v>#REF!</v>
      </c>
      <c r="F999" s="71"/>
    </row>
    <row r="1000" hidden="1" outlineLevel="2" spans="2:6">
      <c r="B1000" s="72" t="s">
        <v>1591</v>
      </c>
      <c r="C1000" s="70" t="s">
        <v>1592</v>
      </c>
      <c r="D1000" s="50" t="e">
        <f>SUM(#REF!)</f>
        <v>#REF!</v>
      </c>
      <c r="E1000" s="50" t="e">
        <f>SUM(#REF!)</f>
        <v>#REF!</v>
      </c>
      <c r="F1000" s="71"/>
    </row>
    <row r="1001" hidden="1" outlineLevel="2" spans="2:6">
      <c r="B1001" s="72" t="s">
        <v>1593</v>
      </c>
      <c r="C1001" s="73" t="s">
        <v>1472</v>
      </c>
      <c r="D1001" s="50" t="e">
        <f>SUM(#REF!)</f>
        <v>#REF!</v>
      </c>
      <c r="E1001" s="50" t="e">
        <f>SUM(#REF!)</f>
        <v>#REF!</v>
      </c>
      <c r="F1001" s="71"/>
    </row>
    <row r="1002" hidden="1" outlineLevel="2" spans="2:6">
      <c r="B1002" s="72" t="s">
        <v>1594</v>
      </c>
      <c r="C1002" s="73" t="s">
        <v>1522</v>
      </c>
      <c r="D1002" s="50" t="e">
        <f>SUM(#REF!)</f>
        <v>#REF!</v>
      </c>
      <c r="E1002" s="50" t="e">
        <f>SUM(#REF!)</f>
        <v>#REF!</v>
      </c>
      <c r="F1002" s="71"/>
    </row>
    <row r="1003" hidden="1" outlineLevel="2" spans="2:6">
      <c r="B1003" s="72" t="s">
        <v>1595</v>
      </c>
      <c r="C1003" s="70" t="s">
        <v>1476</v>
      </c>
      <c r="D1003" s="50" t="e">
        <f>SUM(#REF!)</f>
        <v>#REF!</v>
      </c>
      <c r="E1003" s="50" t="e">
        <f>SUM(#REF!)</f>
        <v>#REF!</v>
      </c>
      <c r="F1003" s="71"/>
    </row>
    <row r="1004" hidden="1" outlineLevel="1" collapsed="1" spans="2:6">
      <c r="B1004" s="69">
        <v>12.7</v>
      </c>
      <c r="C1004" s="70" t="s">
        <v>1596</v>
      </c>
      <c r="D1004" s="55" t="e">
        <f>SUM(#REF!)</f>
        <v>#REF!</v>
      </c>
      <c r="E1004" s="55" t="e">
        <f>SUM(#REF!)</f>
        <v>#REF!</v>
      </c>
      <c r="F1004" s="71"/>
    </row>
    <row r="1005" hidden="1" outlineLevel="2" spans="2:6">
      <c r="B1005" s="72" t="s">
        <v>1597</v>
      </c>
      <c r="C1005" s="70" t="s">
        <v>1598</v>
      </c>
      <c r="D1005" s="50" t="e">
        <f>SUM(#REF!)</f>
        <v>#REF!</v>
      </c>
      <c r="E1005" s="50" t="e">
        <f>SUM(#REF!)</f>
        <v>#REF!</v>
      </c>
      <c r="F1005" s="71"/>
    </row>
    <row r="1006" hidden="1" outlineLevel="2" spans="2:6">
      <c r="B1006" s="72" t="s">
        <v>1599</v>
      </c>
      <c r="C1006" s="73" t="s">
        <v>1472</v>
      </c>
      <c r="D1006" s="50" t="e">
        <f>SUM(#REF!)</f>
        <v>#REF!</v>
      </c>
      <c r="E1006" s="50" t="e">
        <f>SUM(#REF!)</f>
        <v>#REF!</v>
      </c>
      <c r="F1006" s="71"/>
    </row>
    <row r="1007" hidden="1" outlineLevel="2" spans="2:6">
      <c r="B1007" s="72" t="s">
        <v>1600</v>
      </c>
      <c r="C1007" s="73" t="s">
        <v>1522</v>
      </c>
      <c r="D1007" s="50" t="e">
        <f>SUM(#REF!)</f>
        <v>#REF!</v>
      </c>
      <c r="E1007" s="50" t="e">
        <f>SUM(#REF!)</f>
        <v>#REF!</v>
      </c>
      <c r="F1007" s="71"/>
    </row>
    <row r="1008" hidden="1" outlineLevel="2" spans="2:6">
      <c r="B1008" s="72" t="s">
        <v>1601</v>
      </c>
      <c r="C1008" s="70" t="s">
        <v>1602</v>
      </c>
      <c r="D1008" s="50" t="e">
        <f>SUM(#REF!)</f>
        <v>#REF!</v>
      </c>
      <c r="E1008" s="50" t="e">
        <f>SUM(#REF!)</f>
        <v>#REF!</v>
      </c>
      <c r="F1008" s="71"/>
    </row>
    <row r="1009" hidden="1" outlineLevel="2" spans="2:6">
      <c r="B1009" s="72" t="s">
        <v>1603</v>
      </c>
      <c r="C1009" s="73" t="s">
        <v>1472</v>
      </c>
      <c r="D1009" s="50" t="e">
        <f>SUM(#REF!)</f>
        <v>#REF!</v>
      </c>
      <c r="E1009" s="50" t="e">
        <f>SUM(#REF!)</f>
        <v>#REF!</v>
      </c>
      <c r="F1009" s="71"/>
    </row>
    <row r="1010" hidden="1" outlineLevel="2" spans="2:6">
      <c r="B1010" s="72" t="s">
        <v>1604</v>
      </c>
      <c r="C1010" s="73" t="s">
        <v>1522</v>
      </c>
      <c r="D1010" s="50" t="e">
        <f>SUM(#REF!)</f>
        <v>#REF!</v>
      </c>
      <c r="E1010" s="50" t="e">
        <f>SUM(#REF!)</f>
        <v>#REF!</v>
      </c>
      <c r="F1010" s="71"/>
    </row>
    <row r="1011" hidden="1" outlineLevel="2" spans="2:6">
      <c r="B1011" s="72" t="s">
        <v>1605</v>
      </c>
      <c r="C1011" s="70" t="s">
        <v>1606</v>
      </c>
      <c r="D1011" s="50" t="e">
        <f>SUM(#REF!)</f>
        <v>#REF!</v>
      </c>
      <c r="E1011" s="50" t="e">
        <f>SUM(#REF!)</f>
        <v>#REF!</v>
      </c>
      <c r="F1011" s="71"/>
    </row>
    <row r="1012" hidden="1" outlineLevel="2" spans="2:6">
      <c r="B1012" s="72" t="s">
        <v>1607</v>
      </c>
      <c r="C1012" s="73" t="s">
        <v>1472</v>
      </c>
      <c r="D1012" s="50" t="e">
        <f>SUM(#REF!)</f>
        <v>#REF!</v>
      </c>
      <c r="E1012" s="50" t="e">
        <f>SUM(#REF!)</f>
        <v>#REF!</v>
      </c>
      <c r="F1012" s="71"/>
    </row>
    <row r="1013" hidden="1" outlineLevel="2" spans="2:6">
      <c r="B1013" s="72" t="s">
        <v>1608</v>
      </c>
      <c r="C1013" s="73" t="s">
        <v>1522</v>
      </c>
      <c r="D1013" s="50" t="e">
        <f>SUM(#REF!)</f>
        <v>#REF!</v>
      </c>
      <c r="E1013" s="50" t="e">
        <f>SUM(#REF!)</f>
        <v>#REF!</v>
      </c>
      <c r="F1013" s="71"/>
    </row>
    <row r="1014" hidden="1" outlineLevel="2" spans="2:6">
      <c r="B1014" s="72" t="s">
        <v>1609</v>
      </c>
      <c r="C1014" s="70" t="s">
        <v>1610</v>
      </c>
      <c r="D1014" s="50" t="e">
        <f>SUM(#REF!)</f>
        <v>#REF!</v>
      </c>
      <c r="E1014" s="50" t="e">
        <f>SUM(#REF!)</f>
        <v>#REF!</v>
      </c>
      <c r="F1014" s="71"/>
    </row>
    <row r="1015" hidden="1" outlineLevel="2" spans="2:6">
      <c r="B1015" s="72" t="s">
        <v>1611</v>
      </c>
      <c r="C1015" s="73" t="s">
        <v>1472</v>
      </c>
      <c r="D1015" s="50" t="e">
        <f>SUM(#REF!)</f>
        <v>#REF!</v>
      </c>
      <c r="E1015" s="50" t="e">
        <f>SUM(#REF!)</f>
        <v>#REF!</v>
      </c>
      <c r="F1015" s="71"/>
    </row>
    <row r="1016" hidden="1" outlineLevel="2" spans="2:6">
      <c r="B1016" s="72" t="s">
        <v>1612</v>
      </c>
      <c r="C1016" s="73" t="s">
        <v>1522</v>
      </c>
      <c r="D1016" s="50" t="e">
        <f>SUM(#REF!)</f>
        <v>#REF!</v>
      </c>
      <c r="E1016" s="50" t="e">
        <f>SUM(#REF!)</f>
        <v>#REF!</v>
      </c>
      <c r="F1016" s="71"/>
    </row>
    <row r="1017" hidden="1" outlineLevel="2" spans="2:6">
      <c r="B1017" s="72" t="s">
        <v>1613</v>
      </c>
      <c r="C1017" s="70" t="s">
        <v>1614</v>
      </c>
      <c r="D1017" s="50" t="e">
        <f>SUM(#REF!)</f>
        <v>#REF!</v>
      </c>
      <c r="E1017" s="50" t="e">
        <f>SUM(#REF!)</f>
        <v>#REF!</v>
      </c>
      <c r="F1017" s="71"/>
    </row>
    <row r="1018" hidden="1" outlineLevel="2" spans="2:6">
      <c r="B1018" s="72" t="s">
        <v>1615</v>
      </c>
      <c r="C1018" s="73" t="s">
        <v>1472</v>
      </c>
      <c r="D1018" s="50" t="e">
        <f>SUM(#REF!)</f>
        <v>#REF!</v>
      </c>
      <c r="E1018" s="50" t="e">
        <f>SUM(#REF!)</f>
        <v>#REF!</v>
      </c>
      <c r="F1018" s="71"/>
    </row>
    <row r="1019" hidden="1" outlineLevel="2" spans="2:6">
      <c r="B1019" s="72" t="s">
        <v>1616</v>
      </c>
      <c r="C1019" s="73" t="s">
        <v>1522</v>
      </c>
      <c r="D1019" s="50" t="e">
        <f>SUM(#REF!)</f>
        <v>#REF!</v>
      </c>
      <c r="E1019" s="50" t="e">
        <f>SUM(#REF!)</f>
        <v>#REF!</v>
      </c>
      <c r="F1019" s="71"/>
    </row>
    <row r="1020" hidden="1" outlineLevel="2" spans="2:6">
      <c r="B1020" s="72" t="s">
        <v>1617</v>
      </c>
      <c r="C1020" s="70" t="s">
        <v>1618</v>
      </c>
      <c r="D1020" s="50" t="e">
        <f>SUM(#REF!)</f>
        <v>#REF!</v>
      </c>
      <c r="E1020" s="50" t="e">
        <f>SUM(#REF!)</f>
        <v>#REF!</v>
      </c>
      <c r="F1020" s="71"/>
    </row>
    <row r="1021" hidden="1" outlineLevel="2" spans="2:6">
      <c r="B1021" s="72" t="s">
        <v>1619</v>
      </c>
      <c r="C1021" s="73" t="s">
        <v>1472</v>
      </c>
      <c r="D1021" s="50" t="e">
        <f>SUM(#REF!)</f>
        <v>#REF!</v>
      </c>
      <c r="E1021" s="50" t="e">
        <f>SUM(#REF!)</f>
        <v>#REF!</v>
      </c>
      <c r="F1021" s="71"/>
    </row>
    <row r="1022" hidden="1" outlineLevel="2" spans="2:6">
      <c r="B1022" s="72" t="s">
        <v>1620</v>
      </c>
      <c r="C1022" s="73" t="s">
        <v>1522</v>
      </c>
      <c r="D1022" s="50" t="e">
        <f>SUM(#REF!)</f>
        <v>#REF!</v>
      </c>
      <c r="E1022" s="50" t="e">
        <f>SUM(#REF!)</f>
        <v>#REF!</v>
      </c>
      <c r="F1022" s="71"/>
    </row>
    <row r="1023" hidden="1" outlineLevel="2" spans="2:6">
      <c r="B1023" s="72" t="s">
        <v>1621</v>
      </c>
      <c r="C1023" s="70" t="s">
        <v>1622</v>
      </c>
      <c r="D1023" s="50" t="e">
        <f>SUM(#REF!)</f>
        <v>#REF!</v>
      </c>
      <c r="E1023" s="50" t="e">
        <f>SUM(#REF!)</f>
        <v>#REF!</v>
      </c>
      <c r="F1023" s="71"/>
    </row>
    <row r="1024" hidden="1" outlineLevel="2" spans="2:6">
      <c r="B1024" s="72" t="s">
        <v>1623</v>
      </c>
      <c r="C1024" s="73" t="s">
        <v>1472</v>
      </c>
      <c r="D1024" s="50" t="e">
        <f>SUM(#REF!)</f>
        <v>#REF!</v>
      </c>
      <c r="E1024" s="50" t="e">
        <f>SUM(#REF!)</f>
        <v>#REF!</v>
      </c>
      <c r="F1024" s="71"/>
    </row>
    <row r="1025" hidden="1" outlineLevel="2" spans="2:6">
      <c r="B1025" s="72" t="s">
        <v>1624</v>
      </c>
      <c r="C1025" s="73" t="s">
        <v>1522</v>
      </c>
      <c r="D1025" s="50" t="e">
        <f>SUM(#REF!)</f>
        <v>#REF!</v>
      </c>
      <c r="E1025" s="50" t="e">
        <f>SUM(#REF!)</f>
        <v>#REF!</v>
      </c>
      <c r="F1025" s="71"/>
    </row>
    <row r="1026" hidden="1" outlineLevel="2" spans="2:6">
      <c r="B1026" s="72" t="s">
        <v>1625</v>
      </c>
      <c r="C1026" s="70" t="s">
        <v>1626</v>
      </c>
      <c r="D1026" s="50" t="e">
        <f>SUM(#REF!)</f>
        <v>#REF!</v>
      </c>
      <c r="E1026" s="50" t="e">
        <f>SUM(#REF!)</f>
        <v>#REF!</v>
      </c>
      <c r="F1026" s="71"/>
    </row>
    <row r="1027" hidden="1" outlineLevel="2" spans="2:6">
      <c r="B1027" s="72" t="s">
        <v>1627</v>
      </c>
      <c r="C1027" s="70" t="s">
        <v>1476</v>
      </c>
      <c r="D1027" s="50" t="e">
        <f>SUM(#REF!)</f>
        <v>#REF!</v>
      </c>
      <c r="E1027" s="50" t="e">
        <f>SUM(#REF!)</f>
        <v>#REF!</v>
      </c>
      <c r="F1027" s="71"/>
    </row>
    <row r="1028" hidden="1" outlineLevel="1" collapsed="1" spans="2:6">
      <c r="B1028" s="69">
        <v>12.8</v>
      </c>
      <c r="C1028" s="70" t="s">
        <v>1628</v>
      </c>
      <c r="D1028" s="55" t="e">
        <f>SUM(#REF!)</f>
        <v>#REF!</v>
      </c>
      <c r="E1028" s="55" t="e">
        <f>SUM(#REF!)</f>
        <v>#REF!</v>
      </c>
      <c r="F1028" s="71"/>
    </row>
    <row r="1029" hidden="1" outlineLevel="2" spans="2:6">
      <c r="B1029" s="72" t="s">
        <v>1629</v>
      </c>
      <c r="C1029" s="70" t="s">
        <v>1630</v>
      </c>
      <c r="D1029" s="50" t="e">
        <f>SUM(#REF!)</f>
        <v>#REF!</v>
      </c>
      <c r="E1029" s="50" t="e">
        <f>SUM(#REF!)</f>
        <v>#REF!</v>
      </c>
      <c r="F1029" s="71"/>
    </row>
    <row r="1030" hidden="1" outlineLevel="2" spans="2:6">
      <c r="B1030" s="72" t="s">
        <v>1631</v>
      </c>
      <c r="C1030" s="73" t="s">
        <v>1472</v>
      </c>
      <c r="D1030" s="50" t="e">
        <f>SUM(#REF!)</f>
        <v>#REF!</v>
      </c>
      <c r="E1030" s="50" t="e">
        <f>SUM(#REF!)</f>
        <v>#REF!</v>
      </c>
      <c r="F1030" s="71"/>
    </row>
    <row r="1031" hidden="1" outlineLevel="2" spans="2:6">
      <c r="B1031" s="72" t="s">
        <v>1632</v>
      </c>
      <c r="C1031" s="73" t="s">
        <v>1522</v>
      </c>
      <c r="D1031" s="50" t="e">
        <f>SUM(#REF!)</f>
        <v>#REF!</v>
      </c>
      <c r="E1031" s="50" t="e">
        <f>SUM(#REF!)</f>
        <v>#REF!</v>
      </c>
      <c r="F1031" s="71"/>
    </row>
    <row r="1032" hidden="1" outlineLevel="2" spans="2:6">
      <c r="B1032" s="72" t="s">
        <v>1633</v>
      </c>
      <c r="C1032" s="70" t="s">
        <v>1634</v>
      </c>
      <c r="D1032" s="50" t="e">
        <f>SUM(#REF!)</f>
        <v>#REF!</v>
      </c>
      <c r="E1032" s="50" t="e">
        <f>SUM(#REF!)</f>
        <v>#REF!</v>
      </c>
      <c r="F1032" s="71"/>
    </row>
    <row r="1033" hidden="1" outlineLevel="2" spans="2:6">
      <c r="B1033" s="72" t="s">
        <v>1635</v>
      </c>
      <c r="C1033" s="73" t="s">
        <v>1472</v>
      </c>
      <c r="D1033" s="50" t="e">
        <f>SUM(#REF!)</f>
        <v>#REF!</v>
      </c>
      <c r="E1033" s="50" t="e">
        <f>SUM(#REF!)</f>
        <v>#REF!</v>
      </c>
      <c r="F1033" s="71"/>
    </row>
    <row r="1034" hidden="1" outlineLevel="2" spans="2:6">
      <c r="B1034" s="72" t="s">
        <v>1636</v>
      </c>
      <c r="C1034" s="73" t="s">
        <v>1522</v>
      </c>
      <c r="D1034" s="50" t="e">
        <f>SUM(#REF!)</f>
        <v>#REF!</v>
      </c>
      <c r="E1034" s="50" t="e">
        <f>SUM(#REF!)</f>
        <v>#REF!</v>
      </c>
      <c r="F1034" s="71"/>
    </row>
    <row r="1035" hidden="1" outlineLevel="2" spans="2:6">
      <c r="B1035" s="72" t="s">
        <v>1637</v>
      </c>
      <c r="C1035" s="70" t="s">
        <v>1476</v>
      </c>
      <c r="D1035" s="50" t="e">
        <f>SUM(#REF!)</f>
        <v>#REF!</v>
      </c>
      <c r="E1035" s="50" t="e">
        <f>SUM(#REF!)</f>
        <v>#REF!</v>
      </c>
      <c r="F1035" s="71"/>
    </row>
    <row r="1036" hidden="1" outlineLevel="1" collapsed="1" spans="2:6">
      <c r="B1036" s="77">
        <v>12.9</v>
      </c>
      <c r="C1036" s="70" t="s">
        <v>1638</v>
      </c>
      <c r="D1036" s="55" t="e">
        <f>SUM(#REF!)</f>
        <v>#REF!</v>
      </c>
      <c r="E1036" s="55" t="e">
        <f>SUM(#REF!)</f>
        <v>#REF!</v>
      </c>
      <c r="F1036" s="71"/>
    </row>
    <row r="1037" hidden="1" outlineLevel="2" spans="2:6">
      <c r="B1037" s="72" t="s">
        <v>1639</v>
      </c>
      <c r="C1037" s="70" t="s">
        <v>1640</v>
      </c>
      <c r="D1037" s="50" t="e">
        <f>SUM(#REF!)</f>
        <v>#REF!</v>
      </c>
      <c r="E1037" s="50" t="e">
        <f>SUM(#REF!)</f>
        <v>#REF!</v>
      </c>
      <c r="F1037" s="71"/>
    </row>
    <row r="1038" hidden="1" outlineLevel="2" spans="2:6">
      <c r="B1038" s="72" t="s">
        <v>1641</v>
      </c>
      <c r="C1038" s="73" t="s">
        <v>1472</v>
      </c>
      <c r="D1038" s="50" t="e">
        <f>SUM(#REF!)</f>
        <v>#REF!</v>
      </c>
      <c r="E1038" s="50" t="e">
        <f>SUM(#REF!)</f>
        <v>#REF!</v>
      </c>
      <c r="F1038" s="71"/>
    </row>
    <row r="1039" hidden="1" outlineLevel="2" spans="2:6">
      <c r="B1039" s="72" t="s">
        <v>1642</v>
      </c>
      <c r="C1039" s="73" t="s">
        <v>1522</v>
      </c>
      <c r="D1039" s="50" t="e">
        <f>SUM(#REF!)</f>
        <v>#REF!</v>
      </c>
      <c r="E1039" s="50" t="e">
        <f>SUM(#REF!)</f>
        <v>#REF!</v>
      </c>
      <c r="F1039" s="71"/>
    </row>
    <row r="1040" hidden="1" outlineLevel="2" spans="2:6">
      <c r="B1040" s="72" t="s">
        <v>1643</v>
      </c>
      <c r="C1040" s="70" t="s">
        <v>1644</v>
      </c>
      <c r="D1040" s="50" t="e">
        <f>SUM(#REF!)</f>
        <v>#REF!</v>
      </c>
      <c r="E1040" s="50" t="e">
        <f>SUM(#REF!)</f>
        <v>#REF!</v>
      </c>
      <c r="F1040" s="71"/>
    </row>
    <row r="1041" hidden="1" outlineLevel="2" spans="2:6">
      <c r="B1041" s="72" t="s">
        <v>1645</v>
      </c>
      <c r="C1041" s="73" t="s">
        <v>1472</v>
      </c>
      <c r="D1041" s="50" t="e">
        <f>SUM(#REF!)</f>
        <v>#REF!</v>
      </c>
      <c r="E1041" s="50" t="e">
        <f>SUM(#REF!)</f>
        <v>#REF!</v>
      </c>
      <c r="F1041" s="71"/>
    </row>
    <row r="1042" hidden="1" outlineLevel="2" spans="2:6">
      <c r="B1042" s="72" t="s">
        <v>1646</v>
      </c>
      <c r="C1042" s="73" t="s">
        <v>1522</v>
      </c>
      <c r="D1042" s="50" t="e">
        <f>SUM(#REF!)</f>
        <v>#REF!</v>
      </c>
      <c r="E1042" s="50" t="e">
        <f>SUM(#REF!)</f>
        <v>#REF!</v>
      </c>
      <c r="F1042" s="71"/>
    </row>
    <row r="1043" hidden="1" outlineLevel="2" spans="2:6">
      <c r="B1043" s="72" t="s">
        <v>1647</v>
      </c>
      <c r="C1043" s="70" t="s">
        <v>1648</v>
      </c>
      <c r="D1043" s="50" t="e">
        <f>SUM(#REF!)</f>
        <v>#REF!</v>
      </c>
      <c r="E1043" s="50" t="e">
        <f>SUM(#REF!)</f>
        <v>#REF!</v>
      </c>
      <c r="F1043" s="71"/>
    </row>
    <row r="1044" hidden="1" outlineLevel="2" spans="2:6">
      <c r="B1044" s="72" t="s">
        <v>1649</v>
      </c>
      <c r="C1044" s="73" t="s">
        <v>1650</v>
      </c>
      <c r="D1044" s="50" t="e">
        <f>SUM(#REF!)</f>
        <v>#REF!</v>
      </c>
      <c r="E1044" s="50" t="e">
        <f>SUM(#REF!)</f>
        <v>#REF!</v>
      </c>
      <c r="F1044" s="71"/>
    </row>
    <row r="1045" hidden="1" outlineLevel="2" spans="2:6">
      <c r="B1045" s="72" t="s">
        <v>1651</v>
      </c>
      <c r="C1045" s="73" t="s">
        <v>1522</v>
      </c>
      <c r="D1045" s="50" t="e">
        <f>SUM(#REF!)</f>
        <v>#REF!</v>
      </c>
      <c r="E1045" s="50" t="e">
        <f>SUM(#REF!)</f>
        <v>#REF!</v>
      </c>
      <c r="F1045" s="71"/>
    </row>
    <row r="1046" hidden="1" outlineLevel="2" spans="2:6">
      <c r="B1046" s="72" t="s">
        <v>1652</v>
      </c>
      <c r="C1046" s="70" t="s">
        <v>1653</v>
      </c>
      <c r="D1046" s="50" t="e">
        <f>SUM(#REF!)</f>
        <v>#REF!</v>
      </c>
      <c r="E1046" s="50" t="e">
        <f>SUM(#REF!)</f>
        <v>#REF!</v>
      </c>
      <c r="F1046" s="71"/>
    </row>
    <row r="1047" hidden="1" outlineLevel="2" spans="2:6">
      <c r="B1047" s="72" t="s">
        <v>1654</v>
      </c>
      <c r="C1047" s="73" t="s">
        <v>1472</v>
      </c>
      <c r="D1047" s="50" t="e">
        <f>SUM(#REF!)</f>
        <v>#REF!</v>
      </c>
      <c r="E1047" s="50" t="e">
        <f>SUM(#REF!)</f>
        <v>#REF!</v>
      </c>
      <c r="F1047" s="71"/>
    </row>
    <row r="1048" hidden="1" outlineLevel="2" spans="2:6">
      <c r="B1048" s="72" t="s">
        <v>1655</v>
      </c>
      <c r="C1048" s="73" t="s">
        <v>1522</v>
      </c>
      <c r="D1048" s="50" t="e">
        <f>SUM(#REF!)</f>
        <v>#REF!</v>
      </c>
      <c r="E1048" s="50" t="e">
        <f>SUM(#REF!)</f>
        <v>#REF!</v>
      </c>
      <c r="F1048" s="71"/>
    </row>
    <row r="1049" hidden="1" outlineLevel="2" spans="2:6">
      <c r="B1049" s="72" t="s">
        <v>1656</v>
      </c>
      <c r="C1049" s="70" t="s">
        <v>1657</v>
      </c>
      <c r="D1049" s="50" t="e">
        <f>SUM(#REF!)</f>
        <v>#REF!</v>
      </c>
      <c r="E1049" s="50" t="e">
        <f>SUM(#REF!)</f>
        <v>#REF!</v>
      </c>
      <c r="F1049" s="71"/>
    </row>
    <row r="1050" hidden="1" outlineLevel="2" spans="2:6">
      <c r="B1050" s="72" t="s">
        <v>1658</v>
      </c>
      <c r="C1050" s="73" t="s">
        <v>1472</v>
      </c>
      <c r="D1050" s="50" t="e">
        <f>SUM(#REF!)</f>
        <v>#REF!</v>
      </c>
      <c r="E1050" s="50" t="e">
        <f>SUM(#REF!)</f>
        <v>#REF!</v>
      </c>
      <c r="F1050" s="71"/>
    </row>
    <row r="1051" hidden="1" outlineLevel="2" spans="2:6">
      <c r="B1051" s="72" t="s">
        <v>1659</v>
      </c>
      <c r="C1051" s="73" t="s">
        <v>1522</v>
      </c>
      <c r="D1051" s="50" t="e">
        <f>SUM(#REF!)</f>
        <v>#REF!</v>
      </c>
      <c r="E1051" s="50" t="e">
        <f>SUM(#REF!)</f>
        <v>#REF!</v>
      </c>
      <c r="F1051" s="71"/>
    </row>
    <row r="1052" hidden="1" outlineLevel="2" spans="2:6">
      <c r="B1052" s="72" t="s">
        <v>1660</v>
      </c>
      <c r="C1052" s="70" t="s">
        <v>1661</v>
      </c>
      <c r="D1052" s="50" t="e">
        <f>SUM(#REF!)</f>
        <v>#REF!</v>
      </c>
      <c r="E1052" s="50" t="e">
        <f>SUM(#REF!)</f>
        <v>#REF!</v>
      </c>
      <c r="F1052" s="71"/>
    </row>
    <row r="1053" hidden="1" outlineLevel="2" spans="2:6">
      <c r="B1053" s="72" t="s">
        <v>1662</v>
      </c>
      <c r="C1053" s="73" t="s">
        <v>1472</v>
      </c>
      <c r="D1053" s="50" t="e">
        <f>SUM(#REF!)</f>
        <v>#REF!</v>
      </c>
      <c r="E1053" s="50" t="e">
        <f>SUM(#REF!)</f>
        <v>#REF!</v>
      </c>
      <c r="F1053" s="71"/>
    </row>
    <row r="1054" hidden="1" outlineLevel="2" spans="2:6">
      <c r="B1054" s="72" t="s">
        <v>1663</v>
      </c>
      <c r="C1054" s="73" t="s">
        <v>1522</v>
      </c>
      <c r="D1054" s="50" t="e">
        <f>SUM(#REF!)</f>
        <v>#REF!</v>
      </c>
      <c r="E1054" s="50" t="e">
        <f>SUM(#REF!)</f>
        <v>#REF!</v>
      </c>
      <c r="F1054" s="71"/>
    </row>
    <row r="1055" hidden="1" outlineLevel="2" spans="2:6">
      <c r="B1055" s="72" t="s">
        <v>1664</v>
      </c>
      <c r="C1055" s="70" t="s">
        <v>1665</v>
      </c>
      <c r="D1055" s="50" t="e">
        <f>SUM(#REF!)</f>
        <v>#REF!</v>
      </c>
      <c r="E1055" s="50" t="e">
        <f>SUM(#REF!)</f>
        <v>#REF!</v>
      </c>
      <c r="F1055" s="71"/>
    </row>
    <row r="1056" hidden="1" outlineLevel="2" spans="2:6">
      <c r="B1056" s="72" t="s">
        <v>1666</v>
      </c>
      <c r="C1056" s="73" t="s">
        <v>1472</v>
      </c>
      <c r="D1056" s="50" t="e">
        <f>SUM(#REF!)</f>
        <v>#REF!</v>
      </c>
      <c r="E1056" s="50" t="e">
        <f>SUM(#REF!)</f>
        <v>#REF!</v>
      </c>
      <c r="F1056" s="71"/>
    </row>
    <row r="1057" hidden="1" outlineLevel="2" spans="2:6">
      <c r="B1057" s="72" t="s">
        <v>1667</v>
      </c>
      <c r="C1057" s="73" t="s">
        <v>1522</v>
      </c>
      <c r="D1057" s="50" t="e">
        <f>SUM(#REF!)</f>
        <v>#REF!</v>
      </c>
      <c r="E1057" s="50" t="e">
        <f>SUM(#REF!)</f>
        <v>#REF!</v>
      </c>
      <c r="F1057" s="71"/>
    </row>
    <row r="1058" hidden="1" outlineLevel="2" spans="2:6">
      <c r="B1058" s="72" t="s">
        <v>1668</v>
      </c>
      <c r="C1058" s="70" t="s">
        <v>1669</v>
      </c>
      <c r="D1058" s="50" t="e">
        <f>SUM(#REF!)</f>
        <v>#REF!</v>
      </c>
      <c r="E1058" s="50" t="e">
        <f>SUM(#REF!)</f>
        <v>#REF!</v>
      </c>
      <c r="F1058" s="71"/>
    </row>
    <row r="1059" hidden="1" outlineLevel="2" spans="2:6">
      <c r="B1059" s="72" t="s">
        <v>1670</v>
      </c>
      <c r="C1059" s="73" t="s">
        <v>1472</v>
      </c>
      <c r="D1059" s="50" t="e">
        <f>SUM(#REF!)</f>
        <v>#REF!</v>
      </c>
      <c r="E1059" s="50" t="e">
        <f>SUM(#REF!)</f>
        <v>#REF!</v>
      </c>
      <c r="F1059" s="71"/>
    </row>
    <row r="1060" hidden="1" outlineLevel="2" spans="2:6">
      <c r="B1060" s="72" t="s">
        <v>1671</v>
      </c>
      <c r="C1060" s="73" t="s">
        <v>1522</v>
      </c>
      <c r="D1060" s="50" t="e">
        <f>SUM(#REF!)</f>
        <v>#REF!</v>
      </c>
      <c r="E1060" s="50" t="e">
        <f>SUM(#REF!)</f>
        <v>#REF!</v>
      </c>
      <c r="F1060" s="71"/>
    </row>
    <row r="1061" hidden="1" outlineLevel="2" spans="2:6">
      <c r="B1061" s="72" t="s">
        <v>1672</v>
      </c>
      <c r="C1061" s="70" t="s">
        <v>1673</v>
      </c>
      <c r="D1061" s="50" t="e">
        <f>SUM(#REF!)</f>
        <v>#REF!</v>
      </c>
      <c r="E1061" s="50" t="e">
        <f>SUM(#REF!)</f>
        <v>#REF!</v>
      </c>
      <c r="F1061" s="71"/>
    </row>
    <row r="1062" hidden="1" outlineLevel="2" spans="2:6">
      <c r="B1062" s="72" t="s">
        <v>1674</v>
      </c>
      <c r="C1062" s="73" t="s">
        <v>1472</v>
      </c>
      <c r="D1062" s="50" t="e">
        <f>SUM(#REF!)</f>
        <v>#REF!</v>
      </c>
      <c r="E1062" s="50" t="e">
        <f>SUM(#REF!)</f>
        <v>#REF!</v>
      </c>
      <c r="F1062" s="71"/>
    </row>
    <row r="1063" hidden="1" outlineLevel="2" spans="2:6">
      <c r="B1063" s="72" t="s">
        <v>1675</v>
      </c>
      <c r="C1063" s="73" t="s">
        <v>1522</v>
      </c>
      <c r="D1063" s="50" t="e">
        <f>SUM(#REF!)</f>
        <v>#REF!</v>
      </c>
      <c r="E1063" s="50" t="e">
        <f>SUM(#REF!)</f>
        <v>#REF!</v>
      </c>
      <c r="F1063" s="71"/>
    </row>
    <row r="1064" hidden="1" outlineLevel="2" spans="2:6">
      <c r="B1064" s="72" t="s">
        <v>1676</v>
      </c>
      <c r="C1064" s="70" t="s">
        <v>1677</v>
      </c>
      <c r="D1064" s="50" t="e">
        <f>SUM(#REF!)</f>
        <v>#REF!</v>
      </c>
      <c r="E1064" s="50" t="e">
        <f>SUM(#REF!)</f>
        <v>#REF!</v>
      </c>
      <c r="F1064" s="71"/>
    </row>
    <row r="1065" hidden="1" outlineLevel="2" spans="2:6">
      <c r="B1065" s="72" t="s">
        <v>1678</v>
      </c>
      <c r="C1065" s="73" t="s">
        <v>1472</v>
      </c>
      <c r="D1065" s="50" t="e">
        <f>SUM(#REF!)</f>
        <v>#REF!</v>
      </c>
      <c r="E1065" s="50" t="e">
        <f>SUM(#REF!)</f>
        <v>#REF!</v>
      </c>
      <c r="F1065" s="71"/>
    </row>
    <row r="1066" hidden="1" outlineLevel="2" spans="2:6">
      <c r="B1066" s="72" t="s">
        <v>1679</v>
      </c>
      <c r="C1066" s="73" t="s">
        <v>1522</v>
      </c>
      <c r="D1066" s="50" t="e">
        <f>SUM(#REF!)</f>
        <v>#REF!</v>
      </c>
      <c r="E1066" s="50" t="e">
        <f>SUM(#REF!)</f>
        <v>#REF!</v>
      </c>
      <c r="F1066" s="71"/>
    </row>
    <row r="1067" hidden="1" outlineLevel="2" spans="2:6">
      <c r="B1067" s="72" t="s">
        <v>1680</v>
      </c>
      <c r="C1067" s="70" t="s">
        <v>1681</v>
      </c>
      <c r="D1067" s="50" t="e">
        <f>SUM(#REF!)</f>
        <v>#REF!</v>
      </c>
      <c r="E1067" s="50" t="e">
        <f>SUM(#REF!)</f>
        <v>#REF!</v>
      </c>
      <c r="F1067" s="71"/>
    </row>
    <row r="1068" hidden="1" outlineLevel="2" spans="2:6">
      <c r="B1068" s="72" t="s">
        <v>1682</v>
      </c>
      <c r="C1068" s="73" t="s">
        <v>1472</v>
      </c>
      <c r="D1068" s="50" t="e">
        <f>SUM(#REF!)</f>
        <v>#REF!</v>
      </c>
      <c r="E1068" s="50" t="e">
        <f>SUM(#REF!)</f>
        <v>#REF!</v>
      </c>
      <c r="F1068" s="71"/>
    </row>
    <row r="1069" hidden="1" outlineLevel="2" spans="2:6">
      <c r="B1069" s="72" t="s">
        <v>1683</v>
      </c>
      <c r="C1069" s="73" t="s">
        <v>1522</v>
      </c>
      <c r="D1069" s="50" t="e">
        <f>SUM(#REF!)</f>
        <v>#REF!</v>
      </c>
      <c r="E1069" s="50" t="e">
        <f>SUM(#REF!)</f>
        <v>#REF!</v>
      </c>
      <c r="F1069" s="71"/>
    </row>
    <row r="1070" hidden="1" outlineLevel="2" spans="2:6">
      <c r="B1070" s="72" t="s">
        <v>1684</v>
      </c>
      <c r="C1070" s="70" t="s">
        <v>1685</v>
      </c>
      <c r="D1070" s="50" t="e">
        <f>SUM(#REF!)</f>
        <v>#REF!</v>
      </c>
      <c r="E1070" s="50" t="e">
        <f>SUM(#REF!)</f>
        <v>#REF!</v>
      </c>
      <c r="F1070" s="71"/>
    </row>
    <row r="1071" hidden="1" outlineLevel="2" spans="2:6">
      <c r="B1071" s="72" t="s">
        <v>1686</v>
      </c>
      <c r="C1071" s="73" t="s">
        <v>1472</v>
      </c>
      <c r="D1071" s="50" t="e">
        <f>SUM(#REF!)</f>
        <v>#REF!</v>
      </c>
      <c r="E1071" s="50" t="e">
        <f>SUM(#REF!)</f>
        <v>#REF!</v>
      </c>
      <c r="F1071" s="71"/>
    </row>
    <row r="1072" hidden="1" outlineLevel="2" spans="2:6">
      <c r="B1072" s="72" t="s">
        <v>1687</v>
      </c>
      <c r="C1072" s="73" t="s">
        <v>1522</v>
      </c>
      <c r="D1072" s="50" t="e">
        <f>SUM(#REF!)</f>
        <v>#REF!</v>
      </c>
      <c r="E1072" s="50" t="e">
        <f>SUM(#REF!)</f>
        <v>#REF!</v>
      </c>
      <c r="F1072" s="71"/>
    </row>
    <row r="1073" hidden="1" outlineLevel="2" spans="2:6">
      <c r="B1073" s="72" t="s">
        <v>1688</v>
      </c>
      <c r="C1073" s="70" t="s">
        <v>1476</v>
      </c>
      <c r="D1073" s="50" t="e">
        <f>SUM(#REF!)</f>
        <v>#REF!</v>
      </c>
      <c r="E1073" s="50" t="e">
        <f>SUM(#REF!)</f>
        <v>#REF!</v>
      </c>
      <c r="F1073" s="71"/>
    </row>
    <row r="1074" hidden="1" outlineLevel="1" collapsed="1" spans="2:6">
      <c r="B1074" s="78">
        <v>12.1</v>
      </c>
      <c r="C1074" s="70" t="s">
        <v>1689</v>
      </c>
      <c r="D1074" s="55" t="e">
        <f>SUM(#REF!)</f>
        <v>#REF!</v>
      </c>
      <c r="E1074" s="55" t="e">
        <f>SUM(#REF!)</f>
        <v>#REF!</v>
      </c>
      <c r="F1074" s="71"/>
    </row>
    <row r="1075" hidden="1" outlineLevel="2" spans="2:6">
      <c r="B1075" s="72" t="s">
        <v>1690</v>
      </c>
      <c r="C1075" s="70" t="s">
        <v>1691</v>
      </c>
      <c r="D1075" s="50" t="e">
        <f>SUM(#REF!)</f>
        <v>#REF!</v>
      </c>
      <c r="E1075" s="50" t="e">
        <f>SUM(#REF!)</f>
        <v>#REF!</v>
      </c>
      <c r="F1075" s="71"/>
    </row>
    <row r="1076" hidden="1" outlineLevel="2" spans="2:6">
      <c r="B1076" s="72" t="s">
        <v>1692</v>
      </c>
      <c r="C1076" s="73" t="s">
        <v>1472</v>
      </c>
      <c r="D1076" s="50" t="e">
        <f>SUM(#REF!)</f>
        <v>#REF!</v>
      </c>
      <c r="E1076" s="50" t="e">
        <f>SUM(#REF!)</f>
        <v>#REF!</v>
      </c>
      <c r="F1076" s="71"/>
    </row>
    <row r="1077" hidden="1" outlineLevel="2" spans="2:6">
      <c r="B1077" s="72" t="s">
        <v>1693</v>
      </c>
      <c r="C1077" s="73" t="s">
        <v>1522</v>
      </c>
      <c r="D1077" s="50" t="e">
        <f>SUM(#REF!)</f>
        <v>#REF!</v>
      </c>
      <c r="E1077" s="50" t="e">
        <f>SUM(#REF!)</f>
        <v>#REF!</v>
      </c>
      <c r="F1077" s="71"/>
    </row>
    <row r="1078" hidden="1" outlineLevel="2" spans="2:6">
      <c r="B1078" s="72" t="s">
        <v>1694</v>
      </c>
      <c r="C1078" s="70" t="s">
        <v>1476</v>
      </c>
      <c r="D1078" s="50" t="e">
        <f>SUM(#REF!)</f>
        <v>#REF!</v>
      </c>
      <c r="E1078" s="50" t="e">
        <f>SUM(#REF!)</f>
        <v>#REF!</v>
      </c>
      <c r="F1078" s="71"/>
    </row>
    <row r="1079" hidden="1" outlineLevel="1" collapsed="1" spans="2:6">
      <c r="B1079" s="78">
        <v>12.11</v>
      </c>
      <c r="C1079" s="70" t="s">
        <v>1695</v>
      </c>
      <c r="D1079" s="55" t="e">
        <f>SUM(#REF!)</f>
        <v>#REF!</v>
      </c>
      <c r="E1079" s="55" t="e">
        <f>SUM(#REF!)</f>
        <v>#REF!</v>
      </c>
      <c r="F1079" s="71"/>
    </row>
    <row r="1080" hidden="1" outlineLevel="1" spans="2:6">
      <c r="B1080" s="72" t="s">
        <v>1696</v>
      </c>
      <c r="C1080" s="70" t="s">
        <v>1697</v>
      </c>
      <c r="D1080" s="50" t="e">
        <f>SUM(#REF!)</f>
        <v>#REF!</v>
      </c>
      <c r="E1080" s="50" t="e">
        <f>SUM(#REF!)</f>
        <v>#REF!</v>
      </c>
      <c r="F1080" s="71"/>
    </row>
    <row r="1081" hidden="1" outlineLevel="1" spans="2:6">
      <c r="B1081" s="72" t="s">
        <v>1698</v>
      </c>
      <c r="C1081" s="73" t="s">
        <v>1472</v>
      </c>
      <c r="D1081" s="50" t="e">
        <f>SUM(#REF!)</f>
        <v>#REF!</v>
      </c>
      <c r="E1081" s="50" t="e">
        <f>SUM(#REF!)</f>
        <v>#REF!</v>
      </c>
      <c r="F1081" s="71"/>
    </row>
    <row r="1082" hidden="1" outlineLevel="1" spans="2:6">
      <c r="B1082" s="72" t="s">
        <v>1699</v>
      </c>
      <c r="C1082" s="73" t="s">
        <v>1522</v>
      </c>
      <c r="D1082" s="50" t="e">
        <f>SUM(#REF!)</f>
        <v>#REF!</v>
      </c>
      <c r="E1082" s="50" t="e">
        <f>SUM(#REF!)</f>
        <v>#REF!</v>
      </c>
      <c r="F1082" s="71"/>
    </row>
    <row r="1083" hidden="1" outlineLevel="1" spans="2:6">
      <c r="B1083" s="72" t="s">
        <v>1700</v>
      </c>
      <c r="C1083" s="70" t="s">
        <v>1476</v>
      </c>
      <c r="D1083" s="50" t="e">
        <f>SUM(#REF!)</f>
        <v>#REF!</v>
      </c>
      <c r="E1083" s="50" t="e">
        <f>SUM(#REF!)</f>
        <v>#REF!</v>
      </c>
      <c r="F1083" s="71"/>
    </row>
    <row r="1084" collapsed="1" spans="2:6">
      <c r="B1084" s="79"/>
      <c r="C1084" s="71"/>
      <c r="D1084" s="71"/>
      <c r="E1084" s="71"/>
      <c r="F1084" s="71"/>
    </row>
    <row r="1085" spans="2:6">
      <c r="C1085" s="80" t="s">
        <v>1701</v>
      </c>
      <c r="D1085" s="81" t="e">
        <f>SUM(D7+D10+D13+D327+D377+D714+D765+D773+D808+D815+D904+D907)/12</f>
        <v>#REF!</v>
      </c>
      <c r="E1085" s="81" t="e">
        <f>SUM(E7+E10+E13+E327+E377+E714+E765+E773+E808+E815+E904+E907)/12</f>
        <v>#REF!</v>
      </c>
    </row>
    <row r="1114" s="35" customFormat="1" outlineLevel="1" spans="2:13">
      <c r="B1114" s="82"/>
    </row>
    <row r="1115" s="35" customFormat="1" outlineLevel="1" spans="2:13">
      <c r="B1115" s="82"/>
      <c r="K1115" s="82" t="s">
        <v>1702</v>
      </c>
      <c r="L1115" s="35" t="s">
        <v>55</v>
      </c>
      <c r="M1115" s="35" t="s">
        <v>56</v>
      </c>
    </row>
    <row r="1116" s="35" customFormat="1" outlineLevel="1" spans="2:13">
      <c r="B1116" s="82"/>
      <c r="K1116" s="82" t="s">
        <v>1703</v>
      </c>
      <c r="L1116" s="83">
        <v>0.2067</v>
      </c>
      <c r="M1116" s="83">
        <v>0.1031</v>
      </c>
    </row>
    <row r="1117" s="35" customFormat="1" outlineLevel="1" spans="2:13">
      <c r="B1117" s="82"/>
      <c r="C1117" s="84"/>
      <c r="D1117" s="85"/>
      <c r="K1117" s="82" t="s">
        <v>1704</v>
      </c>
      <c r="L1117" s="83">
        <v>0.2149</v>
      </c>
      <c r="M1117" s="83">
        <v>0.1045</v>
      </c>
    </row>
    <row r="1118" s="35" customFormat="1" outlineLevel="1" spans="2:13">
      <c r="B1118" s="82"/>
      <c r="C1118" s="84"/>
      <c r="D1118" s="85"/>
      <c r="K1118" s="82" t="s">
        <v>1705</v>
      </c>
      <c r="L1118" s="83">
        <v>0.2156</v>
      </c>
      <c r="M1118" s="83">
        <v>0.1052</v>
      </c>
    </row>
    <row r="1119" s="35" customFormat="1" outlineLevel="1" spans="2:13">
      <c r="B1119" s="82"/>
      <c r="C1119" s="84"/>
      <c r="D1119" s="86"/>
      <c r="K1119" s="82" t="s">
        <v>1706</v>
      </c>
      <c r="L1119" s="83">
        <v>0.2266</v>
      </c>
      <c r="M1119" s="83">
        <v>0.1171</v>
      </c>
    </row>
    <row r="1120" s="35" customFormat="1" outlineLevel="1" spans="2:13">
      <c r="B1120" s="82"/>
      <c r="C1120" s="84"/>
      <c r="D1120" s="85"/>
      <c r="K1120" s="82" t="s">
        <v>1707</v>
      </c>
      <c r="L1120" s="83">
        <v>0.2607</v>
      </c>
      <c r="M1120" s="83">
        <v>0.1319</v>
      </c>
    </row>
    <row r="1121" s="35" customFormat="1" outlineLevel="1" spans="2:13">
      <c r="B1121" s="82"/>
      <c r="C1121" s="84"/>
      <c r="D1121" s="85"/>
      <c r="K1121" s="82" t="s">
        <v>1708</v>
      </c>
      <c r="L1121" s="83"/>
      <c r="M1121" s="83"/>
    </row>
    <row r="1122" s="35" customFormat="1" outlineLevel="1" spans="2:13">
      <c r="B1122" s="82"/>
      <c r="C1122" s="84"/>
      <c r="D1122" s="85"/>
      <c r="K1122" s="82" t="s">
        <v>1709</v>
      </c>
      <c r="L1122" s="83"/>
      <c r="M1122" s="83"/>
    </row>
    <row r="1123" s="35" customFormat="1" outlineLevel="1" spans="2:13">
      <c r="B1123" s="82"/>
      <c r="C1123" s="84"/>
      <c r="D1123" s="85"/>
      <c r="K1123" s="82" t="s">
        <v>1710</v>
      </c>
      <c r="L1123" s="83"/>
      <c r="M1123" s="83"/>
    </row>
    <row r="1124" s="35" customFormat="1" outlineLevel="1" spans="2:13">
      <c r="B1124" s="82"/>
      <c r="C1124" s="84"/>
      <c r="D1124" s="85"/>
      <c r="K1124" s="82" t="s">
        <v>1711</v>
      </c>
      <c r="L1124" s="83"/>
      <c r="M1124" s="83"/>
    </row>
    <row r="1125" s="35" customFormat="1" outlineLevel="1" spans="2:13">
      <c r="B1125" s="82"/>
      <c r="C1125" s="84"/>
      <c r="D1125" s="85"/>
      <c r="K1125" s="82" t="s">
        <v>1712</v>
      </c>
      <c r="L1125" s="83"/>
      <c r="M1125" s="83"/>
    </row>
    <row r="1126" s="35" customFormat="1" outlineLevel="1" spans="2:13">
      <c r="B1126" s="82"/>
      <c r="C1126" s="84"/>
      <c r="D1126" s="85"/>
      <c r="K1126" s="82" t="s">
        <v>1713</v>
      </c>
      <c r="L1126" s="83"/>
      <c r="M1126" s="83"/>
    </row>
    <row r="1127" s="35" customFormat="1" outlineLevel="1" spans="2:13">
      <c r="B1127" s="82"/>
      <c r="C1127" s="84"/>
      <c r="D1127" s="85"/>
      <c r="K1127" s="82" t="s">
        <v>1714</v>
      </c>
      <c r="L1127" s="83"/>
      <c r="M1127" s="83"/>
    </row>
    <row r="1128" s="35" customFormat="1" outlineLevel="1" spans="2:13">
      <c r="B1128" s="82"/>
      <c r="C1128" s="84"/>
      <c r="D1128" s="85"/>
      <c r="K1128" s="82" t="s">
        <v>1715</v>
      </c>
      <c r="L1128" s="83"/>
      <c r="M1128" s="83"/>
    </row>
    <row r="1129" s="35" customFormat="1" outlineLevel="1" spans="2:13">
      <c r="B1129" s="82"/>
      <c r="K1129" s="82" t="s">
        <v>1716</v>
      </c>
      <c r="L1129" s="83"/>
      <c r="M1129" s="83"/>
    </row>
    <row r="1130" s="35" customFormat="1" outlineLevel="1" spans="2:13">
      <c r="B1130" s="82"/>
      <c r="K1130" s="82" t="s">
        <v>1717</v>
      </c>
      <c r="L1130" s="83"/>
      <c r="M1130" s="83"/>
    </row>
    <row r="1131" s="35" customFormat="1" outlineLevel="1" spans="2:13">
      <c r="B1131" s="82"/>
      <c r="K1131" s="82" t="s">
        <v>1718</v>
      </c>
      <c r="L1131" s="83"/>
      <c r="M1131" s="83"/>
    </row>
    <row r="1132" s="35" customFormat="1" outlineLevel="1" spans="2:13">
      <c r="B1132" s="82"/>
      <c r="K1132" s="82" t="s">
        <v>1719</v>
      </c>
      <c r="L1132" s="83"/>
      <c r="M1132" s="83"/>
    </row>
    <row r="1133" s="35" customFormat="1" outlineLevel="1" spans="2:13">
      <c r="B1133" s="82"/>
      <c r="K1133" s="82" t="s">
        <v>1720</v>
      </c>
      <c r="L1133" s="83"/>
      <c r="M1133" s="83"/>
    </row>
    <row r="1134" s="35" customFormat="1" outlineLevel="1" spans="2:13">
      <c r="B1134" s="82"/>
      <c r="K1134" s="82" t="s">
        <v>1721</v>
      </c>
      <c r="L1134" s="83"/>
      <c r="M1134" s="83"/>
    </row>
    <row r="1135" s="35" customFormat="1" spans="2:13">
      <c r="B1135" s="82"/>
    </row>
    <row r="1136" s="36" customFormat="1" spans="2:13">
      <c r="B1136" s="87"/>
    </row>
    <row r="1137" s="36" customFormat="1" spans="2:2">
      <c r="B1137" s="87"/>
    </row>
    <row r="1138" s="36" customFormat="1" spans="2:2">
      <c r="B1138" s="87"/>
    </row>
  </sheetData>
  <mergeCells count="6">
    <mergeCell ref="B2:F2"/>
    <mergeCell ref="B3:F3"/>
    <mergeCell ref="D5:E5"/>
    <mergeCell ref="B5:B6"/>
    <mergeCell ref="C5:C6"/>
    <mergeCell ref="F5:F6"/>
  </mergeCells>
  <pageMargins left="0.7" right="0.7" top="0.75" bottom="0.75" header="0.3" footer="0.3"/>
  <pageSetup paperSize="1" orientation="portrait" horizontalDpi="1200" verticalDpi="1200"/>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867"/>
  <sheetViews>
    <sheetView tabSelected="1" view="pageBreakPreview" zoomScale="70" zoomScalePageLayoutView="85" zoomScaleNormal="40" workbookViewId="0">
      <pane ySplit="3" topLeftCell="A4" activePane="bottomLeft" state="frozen"/>
      <selection/>
      <selection pane="bottomLeft" activeCell="C9" sqref="C9"/>
    </sheetView>
  </sheetViews>
  <sheetFormatPr defaultColWidth="9.81818181818182" defaultRowHeight="15.5"/>
  <cols>
    <col min="1" max="1" width="19.0909090909091" style="4" customWidth="1"/>
    <col min="2" max="2" width="11.8181818181818" style="5" customWidth="1"/>
    <col min="3" max="3" width="47.4545454545455" style="6" customWidth="1"/>
    <col min="4" max="4" width="70.7272727272727" style="7" customWidth="1"/>
    <col min="5" max="5" width="9.81818181818182" style="8" customWidth="1"/>
    <col min="6" max="6" width="60.2272727272727" style="9" customWidth="1"/>
    <col min="7" max="7" width="95.6818181818182" style="9" customWidth="1"/>
    <col min="8" max="8" width="9.81818181818182" style="9"/>
    <col min="9" max="9" width="14.5454545454545" style="9" customWidth="1"/>
    <col min="10" max="16384" width="9.81818181818182" style="9"/>
  </cols>
  <sheetData>
    <row r="1" s="1" customFormat="1" ht="68.25" customHeight="1" spans="1:9">
      <c r="A1" s="10" t="str">
        <f>_xlfn.DISPIMG("ID_3A3FE0192DA7413EA7CB64E590AF2CC6",1)</f>
        <v>=DISPIMG("ID_3A3FE0192DA7413EA7CB64E590AF2CC6",1)</v>
      </c>
      <c r="B1" s="11"/>
      <c r="C1" s="12" t="s">
        <v>1722</v>
      </c>
      <c r="D1" s="12"/>
      <c r="E1" s="12"/>
      <c r="F1" s="12"/>
      <c r="G1" s="12"/>
      <c r="H1" s="13" t="str">
        <f>_xlfn.DISPIMG("ID_E9BCB82ECB4345BD961C8EECD6B85E96",1)</f>
        <v>=DISPIMG("ID_E9BCB82ECB4345BD961C8EECD6B85E96",1)</v>
      </c>
      <c r="I1" s="13"/>
    </row>
    <row r="2" s="2" customFormat="1" ht="32" customHeight="1" spans="1:9">
      <c r="A2" s="14" t="s">
        <v>1723</v>
      </c>
      <c r="B2" s="15"/>
      <c r="C2" s="15"/>
      <c r="D2" s="15"/>
      <c r="E2" s="15"/>
      <c r="F2" s="16" t="s">
        <v>1724</v>
      </c>
      <c r="G2" s="16"/>
      <c r="H2" s="16"/>
      <c r="I2" s="16"/>
    </row>
    <row r="3" s="1" customFormat="1" ht="43" customHeight="1" spans="1:9">
      <c r="A3" s="14" t="s">
        <v>1725</v>
      </c>
      <c r="B3" s="17" t="s">
        <v>1726</v>
      </c>
      <c r="C3" s="17" t="s">
        <v>1727</v>
      </c>
      <c r="D3" s="17" t="s">
        <v>1728</v>
      </c>
      <c r="E3" s="18" t="s">
        <v>1729</v>
      </c>
      <c r="F3" s="19" t="s">
        <v>1727</v>
      </c>
      <c r="G3" s="19" t="s">
        <v>1728</v>
      </c>
      <c r="H3" s="20" t="s">
        <v>1729</v>
      </c>
      <c r="I3" s="19" t="s">
        <v>1730</v>
      </c>
    </row>
    <row r="4" s="3" customFormat="1" ht="42" spans="1:9">
      <c r="A4" s="21" t="s">
        <v>1731</v>
      </c>
      <c r="B4" s="22">
        <v>100</v>
      </c>
      <c r="C4" s="23" t="s">
        <v>1732</v>
      </c>
      <c r="D4" s="23" t="s">
        <v>1733</v>
      </c>
      <c r="E4" s="21">
        <v>0</v>
      </c>
      <c r="F4" s="24" t="s">
        <v>1734</v>
      </c>
      <c r="G4" s="24" t="s">
        <v>1735</v>
      </c>
      <c r="H4" s="25">
        <v>3</v>
      </c>
      <c r="I4" s="26"/>
    </row>
    <row r="5" s="3" customFormat="1" ht="42" spans="1:9">
      <c r="A5" s="21"/>
      <c r="B5" s="22">
        <v>100</v>
      </c>
      <c r="C5" s="23"/>
      <c r="D5" s="23"/>
      <c r="E5" s="21"/>
      <c r="F5" s="24" t="s">
        <v>1736</v>
      </c>
      <c r="G5" s="24" t="s">
        <v>1737</v>
      </c>
      <c r="H5" s="25">
        <v>2</v>
      </c>
      <c r="I5" s="26"/>
    </row>
    <row r="6" s="3" customFormat="1" ht="42" spans="1:9">
      <c r="A6" s="21"/>
      <c r="B6" s="22">
        <v>100</v>
      </c>
      <c r="C6" s="23"/>
      <c r="D6" s="23"/>
      <c r="E6" s="21"/>
      <c r="F6" s="24" t="s">
        <v>1738</v>
      </c>
      <c r="G6" s="24" t="s">
        <v>1739</v>
      </c>
      <c r="H6" s="25">
        <v>3</v>
      </c>
      <c r="I6" s="26"/>
    </row>
    <row r="7" s="3" customFormat="1" ht="42" spans="1:9">
      <c r="A7" s="21"/>
      <c r="B7" s="22">
        <v>100</v>
      </c>
      <c r="C7" s="23"/>
      <c r="D7" s="23"/>
      <c r="E7" s="21"/>
      <c r="F7" s="24" t="s">
        <v>1740</v>
      </c>
      <c r="G7" s="24" t="s">
        <v>1741</v>
      </c>
      <c r="H7" s="25">
        <v>2</v>
      </c>
      <c r="I7" s="26"/>
    </row>
    <row r="8" s="3" customFormat="1" ht="42" spans="1:9">
      <c r="A8" s="21"/>
      <c r="B8" s="22">
        <v>100</v>
      </c>
      <c r="C8" s="23"/>
      <c r="D8" s="23"/>
      <c r="E8" s="21"/>
      <c r="F8" s="24" t="s">
        <v>1742</v>
      </c>
      <c r="G8" s="24" t="s">
        <v>1743</v>
      </c>
      <c r="H8" s="25">
        <v>2</v>
      </c>
      <c r="I8" s="26"/>
    </row>
    <row r="9" s="3" customFormat="1" ht="42" spans="1:9">
      <c r="A9" s="21" t="s">
        <v>1731</v>
      </c>
      <c r="B9" s="22">
        <v>100</v>
      </c>
      <c r="C9" s="23" t="s">
        <v>1744</v>
      </c>
      <c r="D9" s="23" t="s">
        <v>1745</v>
      </c>
      <c r="E9" s="21">
        <v>0</v>
      </c>
      <c r="F9" s="26" t="s">
        <v>1746</v>
      </c>
      <c r="G9" s="24" t="s">
        <v>1747</v>
      </c>
      <c r="H9" s="25">
        <v>1</v>
      </c>
      <c r="I9" s="26"/>
    </row>
    <row r="10" ht="28" spans="1:9">
      <c r="A10" s="21" t="s">
        <v>1731</v>
      </c>
      <c r="B10" s="22">
        <v>100</v>
      </c>
      <c r="C10" s="23" t="s">
        <v>1748</v>
      </c>
      <c r="D10" s="23" t="s">
        <v>1749</v>
      </c>
      <c r="E10" s="21">
        <v>0</v>
      </c>
      <c r="F10" s="27"/>
      <c r="G10" s="27"/>
      <c r="H10" s="10"/>
      <c r="I10" s="27"/>
    </row>
    <row r="11" spans="1:9">
      <c r="A11" s="21" t="s">
        <v>1731</v>
      </c>
      <c r="B11" s="22">
        <v>100</v>
      </c>
      <c r="C11" s="23" t="s">
        <v>1750</v>
      </c>
      <c r="D11" s="23" t="s">
        <v>1751</v>
      </c>
      <c r="E11" s="21">
        <v>0</v>
      </c>
      <c r="F11" s="27"/>
      <c r="G11" s="27"/>
      <c r="H11" s="10"/>
      <c r="I11" s="27"/>
    </row>
    <row r="12" ht="28" spans="1:9">
      <c r="A12" s="21" t="s">
        <v>1731</v>
      </c>
      <c r="B12" s="22">
        <v>100</v>
      </c>
      <c r="C12" s="23" t="s">
        <v>1752</v>
      </c>
      <c r="D12" s="23" t="s">
        <v>1753</v>
      </c>
      <c r="E12" s="21">
        <v>0</v>
      </c>
      <c r="F12" s="27"/>
      <c r="G12" s="27"/>
      <c r="H12" s="10"/>
      <c r="I12" s="27"/>
    </row>
    <row r="13" ht="28" spans="1:9">
      <c r="A13" s="21" t="s">
        <v>1731</v>
      </c>
      <c r="B13" s="22">
        <v>100</v>
      </c>
      <c r="C13" s="23" t="s">
        <v>1754</v>
      </c>
      <c r="D13" s="23" t="s">
        <v>1755</v>
      </c>
      <c r="E13" s="21">
        <v>0</v>
      </c>
      <c r="F13" s="24" t="s">
        <v>1756</v>
      </c>
      <c r="G13" s="24" t="s">
        <v>1757</v>
      </c>
      <c r="H13" s="25">
        <v>0</v>
      </c>
      <c r="I13" s="27"/>
    </row>
    <row r="14" ht="28" spans="1:9">
      <c r="A14" s="21" t="s">
        <v>1731</v>
      </c>
      <c r="B14" s="22">
        <v>100</v>
      </c>
      <c r="C14" s="23"/>
      <c r="D14" s="23"/>
      <c r="E14" s="21"/>
      <c r="F14" s="24" t="s">
        <v>1758</v>
      </c>
      <c r="G14" s="24" t="s">
        <v>1759</v>
      </c>
      <c r="H14" s="25">
        <v>1</v>
      </c>
      <c r="I14" s="27"/>
    </row>
    <row r="15" ht="28" spans="1:9">
      <c r="A15" s="21" t="s">
        <v>1731</v>
      </c>
      <c r="B15" s="22">
        <v>100</v>
      </c>
      <c r="C15" s="23"/>
      <c r="D15" s="23"/>
      <c r="E15" s="21"/>
      <c r="F15" s="24" t="s">
        <v>1760</v>
      </c>
      <c r="G15" s="24" t="s">
        <v>1761</v>
      </c>
      <c r="H15" s="25">
        <v>1</v>
      </c>
      <c r="I15" s="27"/>
    </row>
    <row r="16" ht="28" spans="1:9">
      <c r="A16" s="21" t="s">
        <v>1731</v>
      </c>
      <c r="B16" s="22">
        <v>100</v>
      </c>
      <c r="C16" s="23"/>
      <c r="D16" s="23"/>
      <c r="E16" s="21"/>
      <c r="F16" s="24" t="s">
        <v>1762</v>
      </c>
      <c r="G16" s="24" t="s">
        <v>1763</v>
      </c>
      <c r="H16" s="25">
        <v>1</v>
      </c>
      <c r="I16" s="27"/>
    </row>
    <row r="17" ht="28" spans="1:9">
      <c r="A17" s="21" t="s">
        <v>1731</v>
      </c>
      <c r="B17" s="22">
        <v>100</v>
      </c>
      <c r="C17" s="23" t="s">
        <v>1764</v>
      </c>
      <c r="D17" s="23" t="s">
        <v>1765</v>
      </c>
      <c r="E17" s="21">
        <v>0</v>
      </c>
      <c r="F17" s="27"/>
      <c r="G17" s="27"/>
      <c r="H17" s="10"/>
      <c r="I17" s="27"/>
    </row>
    <row r="18" spans="1:9">
      <c r="A18" s="21" t="s">
        <v>1731</v>
      </c>
      <c r="B18" s="22">
        <v>100</v>
      </c>
      <c r="C18" s="23" t="s">
        <v>1766</v>
      </c>
      <c r="D18" s="23" t="s">
        <v>1767</v>
      </c>
      <c r="E18" s="21">
        <v>0</v>
      </c>
      <c r="F18" s="24" t="s">
        <v>1768</v>
      </c>
      <c r="G18" s="24" t="s">
        <v>1769</v>
      </c>
      <c r="H18" s="25">
        <v>0</v>
      </c>
      <c r="I18" s="27"/>
    </row>
    <row r="19" spans="1:9">
      <c r="A19" s="21" t="s">
        <v>1731</v>
      </c>
      <c r="B19" s="22">
        <v>100</v>
      </c>
      <c r="C19" s="23" t="s">
        <v>1770</v>
      </c>
      <c r="D19" s="23" t="s">
        <v>1771</v>
      </c>
      <c r="E19" s="21">
        <v>0</v>
      </c>
      <c r="F19" s="24" t="s">
        <v>1772</v>
      </c>
      <c r="G19" s="24" t="s">
        <v>1773</v>
      </c>
      <c r="H19" s="25">
        <v>0</v>
      </c>
      <c r="I19" s="27"/>
    </row>
    <row r="20" spans="1:9">
      <c r="A20" s="21" t="s">
        <v>1731</v>
      </c>
      <c r="B20" s="22">
        <v>100</v>
      </c>
      <c r="C20" s="23" t="s">
        <v>1774</v>
      </c>
      <c r="D20" s="23" t="s">
        <v>1775</v>
      </c>
      <c r="E20" s="21">
        <v>0</v>
      </c>
      <c r="F20" s="24" t="s">
        <v>1776</v>
      </c>
      <c r="G20" s="24" t="s">
        <v>1777</v>
      </c>
      <c r="H20" s="25">
        <v>0</v>
      </c>
      <c r="I20" s="27"/>
    </row>
    <row r="21" ht="28" spans="1:9">
      <c r="A21" s="21" t="s">
        <v>1731</v>
      </c>
      <c r="B21" s="22">
        <v>100</v>
      </c>
      <c r="C21" s="23" t="s">
        <v>1778</v>
      </c>
      <c r="D21" s="23" t="s">
        <v>1779</v>
      </c>
      <c r="E21" s="21">
        <v>0</v>
      </c>
      <c r="F21" s="27"/>
      <c r="G21" s="27"/>
      <c r="H21" s="10"/>
      <c r="I21" s="27"/>
    </row>
    <row r="22" ht="28" spans="1:9">
      <c r="A22" s="21" t="s">
        <v>1731</v>
      </c>
      <c r="B22" s="22">
        <v>100</v>
      </c>
      <c r="C22" s="23" t="s">
        <v>1780</v>
      </c>
      <c r="D22" s="23" t="s">
        <v>1781</v>
      </c>
      <c r="E22" s="21">
        <v>0</v>
      </c>
      <c r="F22" s="27"/>
      <c r="G22" s="27"/>
      <c r="H22" s="10"/>
      <c r="I22" s="27"/>
    </row>
    <row r="23" ht="28" spans="1:9">
      <c r="A23" s="21" t="s">
        <v>1731</v>
      </c>
      <c r="B23" s="22">
        <v>100</v>
      </c>
      <c r="C23" s="23" t="s">
        <v>1782</v>
      </c>
      <c r="D23" s="23" t="s">
        <v>1783</v>
      </c>
      <c r="E23" s="21">
        <v>0</v>
      </c>
      <c r="F23" s="27"/>
      <c r="G23" s="27"/>
      <c r="H23" s="10"/>
      <c r="I23" s="27"/>
    </row>
    <row r="24" ht="28" spans="1:9">
      <c r="A24" s="21" t="s">
        <v>1731</v>
      </c>
      <c r="B24" s="22">
        <v>100</v>
      </c>
      <c r="C24" s="23" t="s">
        <v>1784</v>
      </c>
      <c r="D24" s="23" t="s">
        <v>1785</v>
      </c>
      <c r="E24" s="21">
        <v>0</v>
      </c>
      <c r="F24" s="27"/>
      <c r="G24" s="27"/>
      <c r="H24" s="10"/>
      <c r="I24" s="27"/>
    </row>
    <row r="25" ht="28" spans="1:9">
      <c r="A25" s="21" t="s">
        <v>1731</v>
      </c>
      <c r="B25" s="22">
        <v>100</v>
      </c>
      <c r="C25" s="23" t="s">
        <v>1786</v>
      </c>
      <c r="D25" s="23" t="s">
        <v>1787</v>
      </c>
      <c r="E25" s="21">
        <v>0</v>
      </c>
      <c r="F25" s="27"/>
      <c r="G25" s="27"/>
      <c r="H25" s="10"/>
      <c r="I25" s="27"/>
    </row>
    <row r="26" ht="28" spans="1:9">
      <c r="A26" s="21" t="s">
        <v>1731</v>
      </c>
      <c r="B26" s="22">
        <v>100</v>
      </c>
      <c r="C26" s="23" t="s">
        <v>1788</v>
      </c>
      <c r="D26" s="23" t="s">
        <v>1789</v>
      </c>
      <c r="E26" s="21">
        <v>0</v>
      </c>
      <c r="F26" s="27"/>
      <c r="G26" s="27"/>
      <c r="H26" s="10"/>
      <c r="I26" s="27"/>
    </row>
    <row r="27" ht="28" spans="1:9">
      <c r="A27" s="21" t="s">
        <v>1731</v>
      </c>
      <c r="B27" s="22">
        <v>100</v>
      </c>
      <c r="C27" s="23" t="s">
        <v>1790</v>
      </c>
      <c r="D27" s="23" t="s">
        <v>1791</v>
      </c>
      <c r="E27" s="21">
        <v>0</v>
      </c>
      <c r="F27" s="27"/>
      <c r="G27" s="27"/>
      <c r="H27" s="10"/>
      <c r="I27" s="27"/>
    </row>
    <row r="28" spans="1:9">
      <c r="A28" s="21" t="s">
        <v>1731</v>
      </c>
      <c r="B28" s="22">
        <v>100</v>
      </c>
      <c r="C28" s="23" t="s">
        <v>1792</v>
      </c>
      <c r="D28" s="23" t="s">
        <v>1793</v>
      </c>
      <c r="E28" s="21">
        <v>0</v>
      </c>
      <c r="F28" s="27"/>
      <c r="G28" s="27"/>
      <c r="H28" s="10"/>
      <c r="I28" s="27"/>
    </row>
    <row r="29" spans="1:9">
      <c r="A29" s="21" t="s">
        <v>1731</v>
      </c>
      <c r="B29" s="22">
        <v>100</v>
      </c>
      <c r="C29" s="23" t="s">
        <v>1794</v>
      </c>
      <c r="D29" s="23" t="s">
        <v>1795</v>
      </c>
      <c r="E29" s="21">
        <v>0</v>
      </c>
      <c r="F29" s="27"/>
      <c r="G29" s="27"/>
      <c r="H29" s="10"/>
      <c r="I29" s="27"/>
    </row>
    <row r="30" spans="1:9">
      <c r="A30" s="21" t="s">
        <v>1731</v>
      </c>
      <c r="B30" s="22">
        <v>100</v>
      </c>
      <c r="C30" s="23" t="s">
        <v>1796</v>
      </c>
      <c r="D30" s="23" t="s">
        <v>1797</v>
      </c>
      <c r="E30" s="21" t="s">
        <v>1798</v>
      </c>
      <c r="F30" s="24" t="s">
        <v>1799</v>
      </c>
      <c r="G30" s="27"/>
      <c r="H30" s="25">
        <v>1</v>
      </c>
      <c r="I30" s="27"/>
    </row>
    <row r="31" ht="42" spans="1:9">
      <c r="A31" s="21" t="s">
        <v>1731</v>
      </c>
      <c r="B31" s="22">
        <v>100</v>
      </c>
      <c r="C31" s="24" t="s">
        <v>1800</v>
      </c>
      <c r="D31" s="24" t="s">
        <v>1801</v>
      </c>
      <c r="E31" s="21">
        <v>0</v>
      </c>
      <c r="F31" s="24" t="s">
        <v>1734</v>
      </c>
      <c r="G31" s="24" t="s">
        <v>1735</v>
      </c>
      <c r="H31" s="25">
        <v>3</v>
      </c>
      <c r="I31" s="27"/>
    </row>
    <row r="32" ht="42" spans="1:9">
      <c r="A32" s="21" t="s">
        <v>1731</v>
      </c>
      <c r="B32" s="22">
        <v>100</v>
      </c>
      <c r="C32" s="24" t="s">
        <v>1802</v>
      </c>
      <c r="D32" s="24" t="s">
        <v>1803</v>
      </c>
      <c r="E32" s="21"/>
      <c r="F32" s="24" t="s">
        <v>1736</v>
      </c>
      <c r="G32" s="24" t="s">
        <v>1737</v>
      </c>
      <c r="H32" s="25">
        <v>2</v>
      </c>
      <c r="I32" s="27"/>
    </row>
    <row r="33" ht="42" spans="1:9">
      <c r="A33" s="21" t="s">
        <v>1731</v>
      </c>
      <c r="B33" s="22">
        <v>100</v>
      </c>
      <c r="C33" s="24" t="s">
        <v>1804</v>
      </c>
      <c r="D33" s="24" t="s">
        <v>1805</v>
      </c>
      <c r="E33" s="21"/>
      <c r="F33" s="24" t="s">
        <v>1738</v>
      </c>
      <c r="G33" s="24" t="s">
        <v>1739</v>
      </c>
      <c r="H33" s="25">
        <v>3</v>
      </c>
      <c r="I33" s="27"/>
    </row>
    <row r="34" ht="42" spans="1:9">
      <c r="A34" s="21" t="s">
        <v>1731</v>
      </c>
      <c r="B34" s="22">
        <v>100</v>
      </c>
      <c r="C34" s="24"/>
      <c r="D34" s="24"/>
      <c r="E34" s="21"/>
      <c r="F34" s="24" t="s">
        <v>1740</v>
      </c>
      <c r="G34" s="24" t="s">
        <v>1741</v>
      </c>
      <c r="H34" s="25">
        <v>2</v>
      </c>
      <c r="I34" s="27"/>
    </row>
    <row r="35" ht="42" spans="1:9">
      <c r="A35" s="21" t="s">
        <v>1731</v>
      </c>
      <c r="B35" s="22">
        <v>100</v>
      </c>
      <c r="C35" s="24"/>
      <c r="D35" s="24"/>
      <c r="E35" s="21"/>
      <c r="F35" s="24" t="s">
        <v>1742</v>
      </c>
      <c r="G35" s="24" t="s">
        <v>1743</v>
      </c>
      <c r="H35" s="25">
        <v>2</v>
      </c>
      <c r="I35" s="27"/>
    </row>
    <row r="36" spans="1:9">
      <c r="A36" s="21" t="s">
        <v>1731</v>
      </c>
      <c r="B36" s="22">
        <v>100</v>
      </c>
      <c r="C36" s="23" t="s">
        <v>1806</v>
      </c>
      <c r="D36" s="23" t="s">
        <v>1807</v>
      </c>
      <c r="E36" s="21">
        <v>0</v>
      </c>
      <c r="F36" s="24" t="s">
        <v>1808</v>
      </c>
      <c r="G36" s="24" t="s">
        <v>1809</v>
      </c>
      <c r="H36" s="25">
        <v>0</v>
      </c>
      <c r="I36" s="27"/>
    </row>
    <row r="37" spans="1:9">
      <c r="A37" s="21" t="s">
        <v>1731</v>
      </c>
      <c r="B37" s="22">
        <v>100</v>
      </c>
      <c r="C37" s="23" t="s">
        <v>1810</v>
      </c>
      <c r="D37" s="23" t="s">
        <v>1811</v>
      </c>
      <c r="E37" s="21" t="s">
        <v>1798</v>
      </c>
      <c r="F37" s="24" t="s">
        <v>1812</v>
      </c>
      <c r="G37" s="27" t="s">
        <v>1813</v>
      </c>
      <c r="H37" s="25">
        <v>1</v>
      </c>
      <c r="I37" s="27"/>
    </row>
    <row r="38" spans="1:9">
      <c r="A38" s="21" t="s">
        <v>1731</v>
      </c>
      <c r="B38" s="22">
        <v>100</v>
      </c>
      <c r="C38" s="23" t="s">
        <v>1814</v>
      </c>
      <c r="D38" s="23" t="s">
        <v>1815</v>
      </c>
      <c r="E38" s="21">
        <v>0</v>
      </c>
      <c r="F38" s="24" t="s">
        <v>1816</v>
      </c>
      <c r="G38" s="24" t="s">
        <v>1817</v>
      </c>
      <c r="H38" s="25">
        <v>0</v>
      </c>
      <c r="I38" s="27"/>
    </row>
    <row r="39" spans="1:9">
      <c r="A39" s="21" t="s">
        <v>1731</v>
      </c>
      <c r="B39" s="22">
        <v>100</v>
      </c>
      <c r="C39" s="23" t="s">
        <v>1818</v>
      </c>
      <c r="D39" s="23" t="s">
        <v>1819</v>
      </c>
      <c r="E39" s="21" t="s">
        <v>1798</v>
      </c>
      <c r="F39" s="27"/>
      <c r="G39" s="27"/>
      <c r="H39" s="10"/>
      <c r="I39" s="27"/>
    </row>
    <row r="40" spans="1:9">
      <c r="A40" s="21" t="s">
        <v>1731</v>
      </c>
      <c r="B40" s="22">
        <v>100</v>
      </c>
      <c r="C40" s="23" t="s">
        <v>1820</v>
      </c>
      <c r="D40" s="23" t="s">
        <v>1821</v>
      </c>
      <c r="E40" s="21">
        <v>0</v>
      </c>
      <c r="F40" s="24" t="s">
        <v>1822</v>
      </c>
      <c r="G40" s="24" t="s">
        <v>1823</v>
      </c>
      <c r="H40" s="25">
        <v>0</v>
      </c>
      <c r="I40" s="27"/>
    </row>
    <row r="41" ht="28" spans="1:9">
      <c r="A41" s="21" t="s">
        <v>764</v>
      </c>
      <c r="B41" s="22">
        <v>100</v>
      </c>
      <c r="C41" s="24" t="s">
        <v>1824</v>
      </c>
      <c r="D41" s="24" t="s">
        <v>1825</v>
      </c>
      <c r="E41" s="21">
        <v>1</v>
      </c>
      <c r="F41" s="24" t="s">
        <v>1826</v>
      </c>
      <c r="G41" s="24" t="s">
        <v>1827</v>
      </c>
      <c r="H41" s="25">
        <v>0</v>
      </c>
      <c r="I41" s="27"/>
    </row>
    <row r="42" ht="28" spans="1:9">
      <c r="A42" s="21" t="s">
        <v>764</v>
      </c>
      <c r="B42" s="22">
        <v>100</v>
      </c>
      <c r="C42" s="24" t="s">
        <v>1828</v>
      </c>
      <c r="D42" s="24" t="s">
        <v>1829</v>
      </c>
      <c r="E42" s="21"/>
      <c r="F42" s="24" t="s">
        <v>1830</v>
      </c>
      <c r="G42" s="24" t="s">
        <v>1831</v>
      </c>
      <c r="H42" s="25">
        <v>1</v>
      </c>
      <c r="I42" s="27"/>
    </row>
    <row r="43" ht="30.5" spans="1:9">
      <c r="A43" s="21" t="s">
        <v>764</v>
      </c>
      <c r="B43" s="22">
        <v>100</v>
      </c>
      <c r="C43" s="24" t="s">
        <v>1832</v>
      </c>
      <c r="D43" s="24" t="s">
        <v>1833</v>
      </c>
      <c r="E43" s="21"/>
      <c r="F43" s="24" t="s">
        <v>1834</v>
      </c>
      <c r="G43" s="24" t="s">
        <v>1835</v>
      </c>
      <c r="H43" s="25">
        <v>0</v>
      </c>
      <c r="I43" s="27"/>
    </row>
    <row r="44" ht="28" spans="1:9">
      <c r="A44" s="21" t="s">
        <v>764</v>
      </c>
      <c r="B44" s="22">
        <v>100</v>
      </c>
      <c r="C44" s="24" t="s">
        <v>1836</v>
      </c>
      <c r="D44" s="24" t="s">
        <v>1837</v>
      </c>
      <c r="E44" s="21"/>
      <c r="F44" s="24" t="s">
        <v>1838</v>
      </c>
      <c r="G44" s="24" t="s">
        <v>1839</v>
      </c>
      <c r="H44" s="25">
        <v>0</v>
      </c>
      <c r="I44" s="27"/>
    </row>
    <row r="45" ht="30.5" spans="1:9">
      <c r="A45" s="21" t="s">
        <v>764</v>
      </c>
      <c r="B45" s="22">
        <v>100</v>
      </c>
      <c r="C45" s="24" t="s">
        <v>1840</v>
      </c>
      <c r="D45" s="24" t="s">
        <v>1841</v>
      </c>
      <c r="E45" s="21"/>
      <c r="F45" s="24" t="s">
        <v>1842</v>
      </c>
      <c r="G45" s="24" t="s">
        <v>1843</v>
      </c>
      <c r="H45" s="25">
        <v>0</v>
      </c>
      <c r="I45" s="27"/>
    </row>
    <row r="46" spans="1:9">
      <c r="A46" s="21" t="s">
        <v>764</v>
      </c>
      <c r="B46" s="22">
        <v>100</v>
      </c>
      <c r="C46" s="24"/>
      <c r="D46" s="24"/>
      <c r="E46" s="21"/>
      <c r="F46" s="24" t="s">
        <v>1844</v>
      </c>
      <c r="G46" s="24" t="s">
        <v>1845</v>
      </c>
      <c r="H46" s="25">
        <v>0</v>
      </c>
      <c r="I46" s="27"/>
    </row>
    <row r="47" spans="1:9">
      <c r="A47" s="21" t="s">
        <v>764</v>
      </c>
      <c r="B47" s="22">
        <v>100</v>
      </c>
      <c r="C47" s="24"/>
      <c r="D47" s="24"/>
      <c r="E47" s="21"/>
      <c r="F47" s="24" t="s">
        <v>1846</v>
      </c>
      <c r="G47" s="24" t="s">
        <v>1847</v>
      </c>
      <c r="H47" s="25">
        <v>0</v>
      </c>
      <c r="I47" s="27"/>
    </row>
    <row r="48" spans="1:9">
      <c r="A48" s="21" t="s">
        <v>764</v>
      </c>
      <c r="B48" s="22">
        <v>100</v>
      </c>
      <c r="C48" s="24"/>
      <c r="D48" s="24"/>
      <c r="E48" s="21"/>
      <c r="F48" s="24" t="s">
        <v>1848</v>
      </c>
      <c r="G48" s="24" t="s">
        <v>1849</v>
      </c>
      <c r="H48" s="25">
        <v>0</v>
      </c>
      <c r="I48" s="27"/>
    </row>
    <row r="49" spans="1:9">
      <c r="A49" s="21" t="s">
        <v>764</v>
      </c>
      <c r="B49" s="22">
        <v>100</v>
      </c>
      <c r="C49" s="24"/>
      <c r="D49" s="24"/>
      <c r="E49" s="21"/>
      <c r="F49" s="24" t="s">
        <v>1850</v>
      </c>
      <c r="G49" s="24" t="s">
        <v>1851</v>
      </c>
      <c r="H49" s="25">
        <v>0</v>
      </c>
      <c r="I49" s="27"/>
    </row>
    <row r="50" spans="1:9">
      <c r="A50" s="21" t="s">
        <v>764</v>
      </c>
      <c r="B50" s="22">
        <v>100</v>
      </c>
      <c r="C50" s="24"/>
      <c r="D50" s="24"/>
      <c r="E50" s="21"/>
      <c r="F50" s="24" t="s">
        <v>1852</v>
      </c>
      <c r="G50" s="24" t="s">
        <v>1853</v>
      </c>
      <c r="H50" s="25">
        <v>0</v>
      </c>
      <c r="I50" s="27"/>
    </row>
    <row r="51" spans="1:9">
      <c r="A51" s="21" t="s">
        <v>764</v>
      </c>
      <c r="B51" s="22">
        <v>100</v>
      </c>
      <c r="C51" s="24"/>
      <c r="D51" s="24"/>
      <c r="E51" s="21"/>
      <c r="F51" s="24" t="s">
        <v>1854</v>
      </c>
      <c r="G51" s="24" t="s">
        <v>1855</v>
      </c>
      <c r="H51" s="25">
        <v>0</v>
      </c>
      <c r="I51" s="27"/>
    </row>
    <row r="52" spans="1:9">
      <c r="A52" s="21" t="s">
        <v>764</v>
      </c>
      <c r="B52" s="22">
        <v>100</v>
      </c>
      <c r="C52" s="24"/>
      <c r="D52" s="24"/>
      <c r="E52" s="21"/>
      <c r="F52" s="24" t="s">
        <v>1856</v>
      </c>
      <c r="G52" s="24" t="s">
        <v>1857</v>
      </c>
      <c r="H52" s="25">
        <v>0</v>
      </c>
      <c r="I52" s="27"/>
    </row>
    <row r="53" spans="1:9">
      <c r="A53" s="21" t="s">
        <v>764</v>
      </c>
      <c r="B53" s="22">
        <v>100</v>
      </c>
      <c r="C53" s="24"/>
      <c r="D53" s="24"/>
      <c r="E53" s="21"/>
      <c r="F53" s="24" t="s">
        <v>1858</v>
      </c>
      <c r="G53" s="24" t="s">
        <v>1859</v>
      </c>
      <c r="H53" s="25">
        <v>0</v>
      </c>
      <c r="I53" s="27"/>
    </row>
    <row r="54" spans="1:9">
      <c r="A54" s="21" t="s">
        <v>764</v>
      </c>
      <c r="B54" s="22">
        <v>100</v>
      </c>
      <c r="C54" s="24"/>
      <c r="D54" s="24"/>
      <c r="E54" s="21"/>
      <c r="F54" s="24" t="s">
        <v>1860</v>
      </c>
      <c r="G54" s="24" t="s">
        <v>1861</v>
      </c>
      <c r="H54" s="25">
        <v>0</v>
      </c>
      <c r="I54" s="27"/>
    </row>
    <row r="55" spans="1:9">
      <c r="A55" s="21" t="s">
        <v>764</v>
      </c>
      <c r="B55" s="22">
        <v>100</v>
      </c>
      <c r="C55" s="24"/>
      <c r="D55" s="24"/>
      <c r="E55" s="21"/>
      <c r="F55" s="24" t="s">
        <v>1862</v>
      </c>
      <c r="G55" s="24" t="s">
        <v>1863</v>
      </c>
      <c r="H55" s="25">
        <v>0</v>
      </c>
      <c r="I55" s="27"/>
    </row>
    <row r="56" spans="1:9">
      <c r="A56" s="21" t="s">
        <v>764</v>
      </c>
      <c r="B56" s="22">
        <v>100</v>
      </c>
      <c r="C56" s="24"/>
      <c r="D56" s="24"/>
      <c r="E56" s="21"/>
      <c r="F56" s="24" t="s">
        <v>1864</v>
      </c>
      <c r="G56" s="24" t="s">
        <v>1865</v>
      </c>
      <c r="H56" s="25">
        <v>0</v>
      </c>
      <c r="I56" s="27"/>
    </row>
    <row r="57" ht="42" spans="1:9">
      <c r="A57" s="21" t="s">
        <v>1731</v>
      </c>
      <c r="B57" s="22">
        <v>140</v>
      </c>
      <c r="C57" s="24" t="s">
        <v>1866</v>
      </c>
      <c r="D57" s="24" t="s">
        <v>1867</v>
      </c>
      <c r="E57" s="21">
        <v>1</v>
      </c>
      <c r="F57" s="26" t="s">
        <v>1868</v>
      </c>
      <c r="G57" s="24" t="s">
        <v>1869</v>
      </c>
      <c r="H57" s="25">
        <v>1</v>
      </c>
      <c r="I57" s="27"/>
    </row>
    <row r="58" ht="70" spans="1:9">
      <c r="A58" s="21" t="s">
        <v>1731</v>
      </c>
      <c r="B58" s="22">
        <v>140</v>
      </c>
      <c r="C58" s="24" t="s">
        <v>1870</v>
      </c>
      <c r="D58" s="24" t="s">
        <v>1871</v>
      </c>
      <c r="E58" s="21"/>
      <c r="F58" s="26" t="s">
        <v>1872</v>
      </c>
      <c r="G58" s="24" t="s">
        <v>1873</v>
      </c>
      <c r="H58" s="25">
        <v>1</v>
      </c>
      <c r="I58" s="27"/>
    </row>
    <row r="59" ht="56" spans="1:9">
      <c r="A59" s="21" t="s">
        <v>1731</v>
      </c>
      <c r="B59" s="22">
        <v>140</v>
      </c>
      <c r="C59" s="24" t="s">
        <v>1874</v>
      </c>
      <c r="D59" s="24" t="s">
        <v>1875</v>
      </c>
      <c r="E59" s="21"/>
      <c r="F59" s="26" t="s">
        <v>1876</v>
      </c>
      <c r="G59" s="24" t="s">
        <v>1877</v>
      </c>
      <c r="H59" s="25">
        <v>1</v>
      </c>
      <c r="I59" s="27"/>
    </row>
    <row r="60" ht="28" spans="1:9">
      <c r="A60" s="21" t="s">
        <v>1731</v>
      </c>
      <c r="B60" s="22">
        <v>140</v>
      </c>
      <c r="C60" s="24" t="s">
        <v>1878</v>
      </c>
      <c r="D60" s="24" t="s">
        <v>1879</v>
      </c>
      <c r="E60" s="21">
        <v>0</v>
      </c>
      <c r="F60" s="26"/>
      <c r="G60" s="24"/>
      <c r="H60" s="25"/>
      <c r="I60" s="27"/>
    </row>
    <row r="61" spans="1:9">
      <c r="A61" s="21" t="s">
        <v>1731</v>
      </c>
      <c r="B61" s="22">
        <v>140</v>
      </c>
      <c r="C61" s="24" t="s">
        <v>1880</v>
      </c>
      <c r="D61" s="24" t="s">
        <v>1881</v>
      </c>
      <c r="E61" s="21"/>
      <c r="F61" s="26"/>
      <c r="G61" s="24"/>
      <c r="H61" s="25"/>
      <c r="I61" s="27"/>
    </row>
    <row r="62" ht="28" spans="1:9">
      <c r="A62" s="21" t="s">
        <v>1731</v>
      </c>
      <c r="B62" s="22">
        <v>140</v>
      </c>
      <c r="C62" s="24" t="s">
        <v>1882</v>
      </c>
      <c r="D62" s="24" t="s">
        <v>1883</v>
      </c>
      <c r="E62" s="21"/>
      <c r="F62" s="26"/>
      <c r="G62" s="24"/>
      <c r="H62" s="25"/>
      <c r="I62" s="27"/>
    </row>
    <row r="63" ht="28" spans="1:9">
      <c r="A63" s="21" t="s">
        <v>1731</v>
      </c>
      <c r="B63" s="22">
        <v>140</v>
      </c>
      <c r="C63" s="24" t="s">
        <v>1884</v>
      </c>
      <c r="D63" s="24" t="s">
        <v>1885</v>
      </c>
      <c r="E63" s="21">
        <v>0</v>
      </c>
      <c r="F63" s="26"/>
      <c r="G63" s="24"/>
      <c r="H63" s="25"/>
      <c r="I63" s="27"/>
    </row>
    <row r="64" ht="28" spans="1:9">
      <c r="A64" s="21" t="s">
        <v>1731</v>
      </c>
      <c r="B64" s="22">
        <v>140</v>
      </c>
      <c r="C64" s="24" t="s">
        <v>1886</v>
      </c>
      <c r="D64" s="24" t="s">
        <v>1887</v>
      </c>
      <c r="E64" s="21"/>
      <c r="F64" s="26"/>
      <c r="G64" s="24"/>
      <c r="H64" s="25"/>
      <c r="I64" s="27"/>
    </row>
    <row r="65" spans="1:9">
      <c r="A65" s="21" t="s">
        <v>764</v>
      </c>
      <c r="B65" s="22">
        <v>140</v>
      </c>
      <c r="C65" s="23" t="s">
        <v>1888</v>
      </c>
      <c r="D65" s="23" t="s">
        <v>1889</v>
      </c>
      <c r="E65" s="21">
        <v>0</v>
      </c>
      <c r="F65" s="24" t="s">
        <v>1890</v>
      </c>
      <c r="G65" s="24" t="s">
        <v>1891</v>
      </c>
      <c r="H65" s="25">
        <v>0</v>
      </c>
      <c r="I65" s="27"/>
    </row>
    <row r="66" ht="28" spans="1:9">
      <c r="A66" s="21" t="s">
        <v>764</v>
      </c>
      <c r="B66" s="22">
        <v>140</v>
      </c>
      <c r="C66" s="23" t="s">
        <v>1892</v>
      </c>
      <c r="D66" s="23" t="s">
        <v>1893</v>
      </c>
      <c r="E66" s="21">
        <v>0</v>
      </c>
      <c r="F66" s="24" t="s">
        <v>1894</v>
      </c>
      <c r="G66" s="24" t="s">
        <v>1895</v>
      </c>
      <c r="H66" s="25">
        <v>0</v>
      </c>
      <c r="I66" s="27"/>
    </row>
    <row r="67" ht="28" spans="1:9">
      <c r="A67" s="21" t="s">
        <v>764</v>
      </c>
      <c r="B67" s="22">
        <v>140</v>
      </c>
      <c r="C67" s="23" t="s">
        <v>1896</v>
      </c>
      <c r="D67" s="23" t="s">
        <v>1897</v>
      </c>
      <c r="E67" s="21">
        <v>0</v>
      </c>
      <c r="F67" s="24" t="s">
        <v>1898</v>
      </c>
      <c r="G67" s="24" t="s">
        <v>1899</v>
      </c>
      <c r="H67" s="25">
        <v>0</v>
      </c>
      <c r="I67" s="27"/>
    </row>
    <row r="68" ht="28" spans="1:9">
      <c r="A68" s="21" t="s">
        <v>764</v>
      </c>
      <c r="B68" s="22">
        <v>140</v>
      </c>
      <c r="C68" s="23" t="s">
        <v>1900</v>
      </c>
      <c r="D68" s="23" t="s">
        <v>1901</v>
      </c>
      <c r="E68" s="21">
        <v>0</v>
      </c>
      <c r="F68" s="24" t="s">
        <v>1902</v>
      </c>
      <c r="G68" s="24" t="s">
        <v>1903</v>
      </c>
      <c r="H68" s="25">
        <v>1</v>
      </c>
      <c r="I68" s="27"/>
    </row>
    <row r="69" spans="1:9">
      <c r="A69" s="21" t="s">
        <v>764</v>
      </c>
      <c r="B69" s="22">
        <v>140</v>
      </c>
      <c r="C69" s="23" t="s">
        <v>1904</v>
      </c>
      <c r="D69" s="23" t="s">
        <v>1905</v>
      </c>
      <c r="E69" s="21">
        <v>0</v>
      </c>
      <c r="F69" s="24" t="s">
        <v>1906</v>
      </c>
      <c r="G69" s="24" t="s">
        <v>1907</v>
      </c>
      <c r="H69" s="25">
        <v>0</v>
      </c>
      <c r="I69" s="27"/>
    </row>
    <row r="70" ht="28" spans="1:9">
      <c r="A70" s="21" t="s">
        <v>1908</v>
      </c>
      <c r="B70" s="22">
        <v>140</v>
      </c>
      <c r="C70" s="24" t="s">
        <v>1909</v>
      </c>
      <c r="D70" s="24" t="s">
        <v>1910</v>
      </c>
      <c r="E70" s="21">
        <v>0</v>
      </c>
      <c r="F70" s="24" t="s">
        <v>1911</v>
      </c>
      <c r="G70" s="24" t="s">
        <v>1912</v>
      </c>
      <c r="H70" s="21">
        <v>0</v>
      </c>
      <c r="I70" s="27"/>
    </row>
    <row r="71" ht="28" spans="1:9">
      <c r="A71" s="21" t="s">
        <v>1908</v>
      </c>
      <c r="B71" s="22">
        <v>140</v>
      </c>
      <c r="C71" s="24" t="s">
        <v>1913</v>
      </c>
      <c r="D71" s="24" t="s">
        <v>1914</v>
      </c>
      <c r="E71" s="21">
        <v>0</v>
      </c>
      <c r="F71" s="24" t="s">
        <v>1915</v>
      </c>
      <c r="G71" s="24" t="s">
        <v>1916</v>
      </c>
      <c r="H71" s="21">
        <v>2</v>
      </c>
      <c r="I71" s="27"/>
    </row>
    <row r="72" ht="42" spans="1:9">
      <c r="A72" s="21" t="s">
        <v>1908</v>
      </c>
      <c r="B72" s="22">
        <v>140</v>
      </c>
      <c r="C72" s="24" t="s">
        <v>1917</v>
      </c>
      <c r="D72" s="24" t="s">
        <v>1918</v>
      </c>
      <c r="E72" s="21">
        <v>0</v>
      </c>
      <c r="F72" s="24" t="s">
        <v>1919</v>
      </c>
      <c r="G72" s="24" t="s">
        <v>1920</v>
      </c>
      <c r="H72" s="21">
        <v>0</v>
      </c>
      <c r="I72" s="27"/>
    </row>
    <row r="73" ht="42" spans="1:9">
      <c r="A73" s="21" t="s">
        <v>1908</v>
      </c>
      <c r="B73" s="22">
        <v>140</v>
      </c>
      <c r="C73" s="24"/>
      <c r="D73" s="24"/>
      <c r="E73" s="21"/>
      <c r="F73" s="24" t="s">
        <v>1921</v>
      </c>
      <c r="G73" s="24" t="s">
        <v>1922</v>
      </c>
      <c r="H73" s="21">
        <v>0</v>
      </c>
      <c r="I73" s="27"/>
    </row>
    <row r="74" ht="56" spans="1:9">
      <c r="A74" s="21" t="s">
        <v>1908</v>
      </c>
      <c r="B74" s="22">
        <v>140</v>
      </c>
      <c r="C74" s="24"/>
      <c r="D74" s="24"/>
      <c r="E74" s="21"/>
      <c r="F74" s="24" t="s">
        <v>1923</v>
      </c>
      <c r="G74" s="24" t="s">
        <v>1924</v>
      </c>
      <c r="H74" s="21">
        <v>2</v>
      </c>
      <c r="I74" s="27"/>
    </row>
    <row r="75" ht="42" spans="1:9">
      <c r="A75" s="21" t="s">
        <v>1908</v>
      </c>
      <c r="B75" s="22">
        <v>140</v>
      </c>
      <c r="C75" s="24"/>
      <c r="D75" s="24"/>
      <c r="E75" s="21"/>
      <c r="F75" s="24" t="s">
        <v>1925</v>
      </c>
      <c r="G75" s="24" t="s">
        <v>1926</v>
      </c>
      <c r="H75" s="21">
        <v>0</v>
      </c>
      <c r="I75" s="27"/>
    </row>
    <row r="76" ht="56" spans="1:9">
      <c r="A76" s="21" t="s">
        <v>1908</v>
      </c>
      <c r="B76" s="22">
        <v>140</v>
      </c>
      <c r="C76" s="24"/>
      <c r="D76" s="24"/>
      <c r="E76" s="21"/>
      <c r="F76" s="24" t="s">
        <v>1927</v>
      </c>
      <c r="G76" s="24" t="s">
        <v>1928</v>
      </c>
      <c r="H76" s="21">
        <v>0</v>
      </c>
      <c r="I76" s="27"/>
    </row>
    <row r="77" ht="56" spans="1:9">
      <c r="A77" s="21" t="s">
        <v>1908</v>
      </c>
      <c r="B77" s="22">
        <v>140</v>
      </c>
      <c r="C77" s="24"/>
      <c r="D77" s="24"/>
      <c r="E77" s="21"/>
      <c r="F77" s="24" t="s">
        <v>1929</v>
      </c>
      <c r="G77" s="24" t="s">
        <v>1930</v>
      </c>
      <c r="H77" s="21">
        <v>0</v>
      </c>
      <c r="I77" s="27"/>
    </row>
    <row r="78" ht="56" spans="1:9">
      <c r="A78" s="21" t="s">
        <v>1931</v>
      </c>
      <c r="B78" s="22">
        <v>140</v>
      </c>
      <c r="C78" s="24" t="s">
        <v>1932</v>
      </c>
      <c r="D78" s="24" t="s">
        <v>1933</v>
      </c>
      <c r="E78" s="21">
        <v>0</v>
      </c>
      <c r="F78" s="24" t="s">
        <v>1934</v>
      </c>
      <c r="G78" s="24" t="s">
        <v>1935</v>
      </c>
      <c r="H78" s="21">
        <v>1</v>
      </c>
      <c r="I78" s="27"/>
    </row>
    <row r="79" spans="1:9">
      <c r="A79" s="21" t="s">
        <v>1931</v>
      </c>
      <c r="B79" s="22">
        <v>140</v>
      </c>
      <c r="C79" s="24" t="s">
        <v>1936</v>
      </c>
      <c r="D79" s="24" t="s">
        <v>1937</v>
      </c>
      <c r="E79" s="21">
        <v>0</v>
      </c>
      <c r="F79" s="27"/>
      <c r="G79" s="27"/>
      <c r="H79" s="10"/>
      <c r="I79" s="27"/>
    </row>
    <row r="80" spans="1:9">
      <c r="A80" s="21" t="s">
        <v>1931</v>
      </c>
      <c r="B80" s="22">
        <v>140</v>
      </c>
      <c r="C80" s="24" t="s">
        <v>1938</v>
      </c>
      <c r="D80" s="24" t="s">
        <v>1939</v>
      </c>
      <c r="E80" s="21">
        <v>0</v>
      </c>
      <c r="F80" s="27"/>
      <c r="G80" s="27"/>
      <c r="H80" s="10"/>
      <c r="I80" s="27"/>
    </row>
    <row r="81" ht="42" spans="1:9">
      <c r="A81" s="21" t="s">
        <v>1731</v>
      </c>
      <c r="B81" s="22">
        <v>160</v>
      </c>
      <c r="C81" s="23" t="s">
        <v>1940</v>
      </c>
      <c r="D81" s="23" t="s">
        <v>1941</v>
      </c>
      <c r="E81" s="21">
        <v>0</v>
      </c>
      <c r="F81" s="24" t="s">
        <v>1942</v>
      </c>
      <c r="G81" s="24" t="s">
        <v>1943</v>
      </c>
      <c r="H81" s="25">
        <v>1</v>
      </c>
      <c r="I81" s="27"/>
    </row>
    <row r="82" ht="42" spans="1:9">
      <c r="A82" s="21" t="s">
        <v>1731</v>
      </c>
      <c r="B82" s="22">
        <v>160</v>
      </c>
      <c r="C82" s="23" t="s">
        <v>1944</v>
      </c>
      <c r="D82" s="23" t="s">
        <v>1945</v>
      </c>
      <c r="E82" s="21">
        <v>0</v>
      </c>
      <c r="F82" s="24" t="s">
        <v>1946</v>
      </c>
      <c r="G82" s="24" t="s">
        <v>1947</v>
      </c>
      <c r="H82" s="25">
        <v>1</v>
      </c>
      <c r="I82" s="27"/>
    </row>
    <row r="83" ht="42" spans="1:9">
      <c r="A83" s="21" t="s">
        <v>1731</v>
      </c>
      <c r="B83" s="22">
        <v>160</v>
      </c>
      <c r="C83" s="23" t="s">
        <v>1948</v>
      </c>
      <c r="D83" s="23" t="s">
        <v>1949</v>
      </c>
      <c r="E83" s="21">
        <v>0</v>
      </c>
      <c r="F83" s="24" t="s">
        <v>1950</v>
      </c>
      <c r="G83" s="24" t="s">
        <v>1951</v>
      </c>
      <c r="H83" s="25">
        <v>1</v>
      </c>
      <c r="I83" s="27"/>
    </row>
    <row r="84" ht="42" spans="1:9">
      <c r="A84" s="21" t="s">
        <v>1731</v>
      </c>
      <c r="B84" s="22">
        <v>160</v>
      </c>
      <c r="C84" s="23" t="s">
        <v>1952</v>
      </c>
      <c r="D84" s="23" t="s">
        <v>1953</v>
      </c>
      <c r="E84" s="21">
        <v>0</v>
      </c>
      <c r="F84" s="24" t="s">
        <v>1950</v>
      </c>
      <c r="G84" s="24" t="s">
        <v>1951</v>
      </c>
      <c r="H84" s="25">
        <v>1</v>
      </c>
      <c r="I84" s="27"/>
    </row>
    <row r="85" ht="98" spans="1:9">
      <c r="A85" s="21" t="s">
        <v>1731</v>
      </c>
      <c r="B85" s="22">
        <v>160</v>
      </c>
      <c r="C85" s="23" t="s">
        <v>1954</v>
      </c>
      <c r="D85" s="23" t="s">
        <v>1955</v>
      </c>
      <c r="E85" s="21">
        <v>0</v>
      </c>
      <c r="F85" s="24" t="s">
        <v>1956</v>
      </c>
      <c r="G85" s="24" t="s">
        <v>1957</v>
      </c>
      <c r="H85" s="25">
        <v>1</v>
      </c>
      <c r="I85" s="27"/>
    </row>
    <row r="86" spans="1:9">
      <c r="A86" s="21" t="s">
        <v>1731</v>
      </c>
      <c r="B86" s="22">
        <v>160</v>
      </c>
      <c r="C86" s="23" t="s">
        <v>1958</v>
      </c>
      <c r="D86" s="23" t="s">
        <v>1751</v>
      </c>
      <c r="E86" s="21">
        <v>0</v>
      </c>
      <c r="F86" s="27"/>
      <c r="G86" s="27"/>
      <c r="H86" s="10"/>
      <c r="I86" s="27"/>
    </row>
    <row r="87" spans="1:9">
      <c r="A87" s="21" t="s">
        <v>764</v>
      </c>
      <c r="B87" s="22">
        <v>160</v>
      </c>
      <c r="C87" s="23" t="s">
        <v>1959</v>
      </c>
      <c r="D87" s="23" t="s">
        <v>1889</v>
      </c>
      <c r="E87" s="21">
        <v>0</v>
      </c>
      <c r="F87" s="24" t="s">
        <v>1960</v>
      </c>
      <c r="G87" s="24" t="s">
        <v>1961</v>
      </c>
      <c r="H87" s="21">
        <v>0</v>
      </c>
      <c r="I87" s="27"/>
    </row>
    <row r="88" spans="1:9">
      <c r="A88" s="21" t="s">
        <v>764</v>
      </c>
      <c r="B88" s="22">
        <v>160</v>
      </c>
      <c r="C88" s="23" t="s">
        <v>1962</v>
      </c>
      <c r="D88" s="23" t="s">
        <v>1963</v>
      </c>
      <c r="E88" s="21">
        <v>0</v>
      </c>
      <c r="F88" s="24" t="s">
        <v>1964</v>
      </c>
      <c r="G88" s="24" t="s">
        <v>1965</v>
      </c>
      <c r="H88" s="25">
        <v>0</v>
      </c>
      <c r="I88" s="27"/>
    </row>
    <row r="89" spans="1:9">
      <c r="A89" s="21" t="s">
        <v>764</v>
      </c>
      <c r="B89" s="22">
        <v>160</v>
      </c>
      <c r="C89" s="23" t="s">
        <v>1966</v>
      </c>
      <c r="D89" s="23" t="s">
        <v>1967</v>
      </c>
      <c r="E89" s="21">
        <v>0</v>
      </c>
      <c r="F89" s="24" t="s">
        <v>1968</v>
      </c>
      <c r="G89" s="24" t="s">
        <v>1969</v>
      </c>
      <c r="H89" s="25">
        <v>0</v>
      </c>
      <c r="I89" s="27"/>
    </row>
    <row r="90" ht="28" spans="1:9">
      <c r="A90" s="21" t="s">
        <v>764</v>
      </c>
      <c r="B90" s="22">
        <v>160</v>
      </c>
      <c r="C90" s="23" t="s">
        <v>1970</v>
      </c>
      <c r="D90" s="23" t="s">
        <v>1901</v>
      </c>
      <c r="E90" s="21">
        <v>0</v>
      </c>
      <c r="F90" s="24" t="s">
        <v>1971</v>
      </c>
      <c r="G90" s="24" t="s">
        <v>1972</v>
      </c>
      <c r="H90" s="25">
        <v>0</v>
      </c>
      <c r="I90" s="27"/>
    </row>
    <row r="91" spans="1:9">
      <c r="A91" s="21" t="s">
        <v>764</v>
      </c>
      <c r="B91" s="22">
        <v>160</v>
      </c>
      <c r="C91" s="23" t="s">
        <v>1973</v>
      </c>
      <c r="D91" s="23" t="s">
        <v>1905</v>
      </c>
      <c r="E91" s="21">
        <v>0</v>
      </c>
      <c r="F91" s="27"/>
      <c r="G91" s="27"/>
      <c r="H91" s="10"/>
      <c r="I91" s="27"/>
    </row>
    <row r="92" ht="56" spans="1:9">
      <c r="A92" s="21" t="s">
        <v>1908</v>
      </c>
      <c r="B92" s="22">
        <v>160</v>
      </c>
      <c r="C92" s="24" t="s">
        <v>1974</v>
      </c>
      <c r="D92" s="24" t="s">
        <v>1975</v>
      </c>
      <c r="E92" s="21">
        <v>0</v>
      </c>
      <c r="F92" s="24" t="s">
        <v>1976</v>
      </c>
      <c r="G92" s="24" t="s">
        <v>1977</v>
      </c>
      <c r="H92" s="25">
        <v>3</v>
      </c>
      <c r="I92" s="27"/>
    </row>
    <row r="93" ht="56" spans="1:9">
      <c r="A93" s="21" t="s">
        <v>1908</v>
      </c>
      <c r="B93" s="22">
        <v>160</v>
      </c>
      <c r="C93" s="24" t="s">
        <v>1978</v>
      </c>
      <c r="D93" s="24" t="s">
        <v>1979</v>
      </c>
      <c r="E93" s="21">
        <v>0</v>
      </c>
      <c r="F93" s="24" t="s">
        <v>1976</v>
      </c>
      <c r="G93" s="24" t="s">
        <v>1977</v>
      </c>
      <c r="H93" s="25">
        <v>3</v>
      </c>
      <c r="I93" s="27"/>
    </row>
    <row r="94" ht="28" spans="1:9">
      <c r="A94" s="21" t="s">
        <v>1731</v>
      </c>
      <c r="B94" s="22">
        <v>170</v>
      </c>
      <c r="C94" s="23" t="s">
        <v>1980</v>
      </c>
      <c r="D94" s="23" t="s">
        <v>1981</v>
      </c>
      <c r="E94" s="21">
        <v>0</v>
      </c>
      <c r="F94" s="24" t="s">
        <v>1982</v>
      </c>
      <c r="G94" s="24" t="s">
        <v>1983</v>
      </c>
      <c r="H94" s="25">
        <v>1</v>
      </c>
      <c r="I94" s="27"/>
    </row>
    <row r="95" ht="42" spans="1:9">
      <c r="A95" s="21" t="s">
        <v>1731</v>
      </c>
      <c r="B95" s="22">
        <v>170</v>
      </c>
      <c r="C95" s="23" t="s">
        <v>1984</v>
      </c>
      <c r="D95" s="23" t="s">
        <v>1985</v>
      </c>
      <c r="E95" s="21">
        <v>0</v>
      </c>
      <c r="F95" s="24" t="s">
        <v>1986</v>
      </c>
      <c r="G95" s="24" t="s">
        <v>1987</v>
      </c>
      <c r="H95" s="25">
        <v>0</v>
      </c>
      <c r="I95" s="27"/>
    </row>
    <row r="96" ht="42" spans="1:9">
      <c r="A96" s="21" t="s">
        <v>1731</v>
      </c>
      <c r="B96" s="22">
        <v>170</v>
      </c>
      <c r="C96" s="23"/>
      <c r="D96" s="23"/>
      <c r="E96" s="21"/>
      <c r="F96" s="24" t="s">
        <v>1988</v>
      </c>
      <c r="G96" s="24" t="s">
        <v>1989</v>
      </c>
      <c r="H96" s="25">
        <v>0</v>
      </c>
      <c r="I96" s="27"/>
    </row>
    <row r="97" ht="42" spans="1:9">
      <c r="A97" s="21" t="s">
        <v>1731</v>
      </c>
      <c r="B97" s="22">
        <v>170</v>
      </c>
      <c r="C97" s="23" t="s">
        <v>1990</v>
      </c>
      <c r="D97" s="23" t="s">
        <v>1991</v>
      </c>
      <c r="E97" s="21" t="s">
        <v>1798</v>
      </c>
      <c r="F97" s="24" t="s">
        <v>1992</v>
      </c>
      <c r="G97" s="24" t="s">
        <v>1993</v>
      </c>
      <c r="H97" s="25">
        <v>2</v>
      </c>
      <c r="I97" s="27"/>
    </row>
    <row r="98" ht="42" spans="1:9">
      <c r="A98" s="21" t="s">
        <v>1731</v>
      </c>
      <c r="B98" s="22">
        <v>170</v>
      </c>
      <c r="C98" s="23"/>
      <c r="D98" s="23"/>
      <c r="E98" s="21"/>
      <c r="F98" s="24" t="s">
        <v>1994</v>
      </c>
      <c r="G98" s="24" t="s">
        <v>1995</v>
      </c>
      <c r="H98" s="25">
        <v>4</v>
      </c>
      <c r="I98" s="27"/>
    </row>
    <row r="99" ht="70" spans="1:9">
      <c r="A99" s="21" t="s">
        <v>1731</v>
      </c>
      <c r="B99" s="22">
        <v>170</v>
      </c>
      <c r="C99" s="23" t="s">
        <v>1996</v>
      </c>
      <c r="D99" s="23" t="s">
        <v>1997</v>
      </c>
      <c r="E99" s="21">
        <v>0</v>
      </c>
      <c r="F99" s="24" t="s">
        <v>1998</v>
      </c>
      <c r="G99" s="24" t="s">
        <v>1999</v>
      </c>
      <c r="H99" s="25">
        <v>2</v>
      </c>
      <c r="I99" s="27"/>
    </row>
    <row r="100" ht="28" spans="1:9">
      <c r="A100" s="21" t="s">
        <v>1731</v>
      </c>
      <c r="B100" s="22">
        <v>170</v>
      </c>
      <c r="C100" s="23" t="s">
        <v>2000</v>
      </c>
      <c r="D100" s="23" t="s">
        <v>2001</v>
      </c>
      <c r="E100" s="21">
        <v>0</v>
      </c>
      <c r="F100" s="27"/>
      <c r="G100" s="27"/>
      <c r="H100" s="10"/>
      <c r="I100" s="27"/>
    </row>
    <row r="101" ht="28" spans="1:9">
      <c r="A101" s="21" t="s">
        <v>1731</v>
      </c>
      <c r="B101" s="22">
        <v>170</v>
      </c>
      <c r="C101" s="23" t="s">
        <v>2002</v>
      </c>
      <c r="D101" s="23" t="s">
        <v>2003</v>
      </c>
      <c r="E101" s="21">
        <v>0</v>
      </c>
      <c r="F101" s="27"/>
      <c r="G101" s="27"/>
      <c r="H101" s="10"/>
      <c r="I101" s="27"/>
    </row>
    <row r="102" ht="42" spans="1:9">
      <c r="A102" s="21" t="s">
        <v>1731</v>
      </c>
      <c r="B102" s="22">
        <v>170</v>
      </c>
      <c r="C102" s="23" t="s">
        <v>2004</v>
      </c>
      <c r="D102" s="23" t="s">
        <v>2005</v>
      </c>
      <c r="E102" s="21">
        <v>0</v>
      </c>
      <c r="F102" s="24" t="s">
        <v>2006</v>
      </c>
      <c r="G102" s="24" t="s">
        <v>2007</v>
      </c>
      <c r="H102" s="25">
        <v>0</v>
      </c>
      <c r="I102" s="27"/>
    </row>
    <row r="103" ht="42" spans="1:9">
      <c r="A103" s="21" t="s">
        <v>1731</v>
      </c>
      <c r="B103" s="22">
        <v>170</v>
      </c>
      <c r="C103" s="23" t="s">
        <v>2008</v>
      </c>
      <c r="D103" s="23" t="s">
        <v>2009</v>
      </c>
      <c r="E103" s="21">
        <v>0</v>
      </c>
      <c r="F103" s="24" t="s">
        <v>2010</v>
      </c>
      <c r="G103" s="24" t="s">
        <v>2011</v>
      </c>
      <c r="H103" s="25">
        <v>0</v>
      </c>
      <c r="I103" s="27"/>
    </row>
    <row r="104" ht="42" spans="1:9">
      <c r="A104" s="21" t="s">
        <v>1731</v>
      </c>
      <c r="B104" s="22">
        <v>170</v>
      </c>
      <c r="C104" s="23" t="s">
        <v>2012</v>
      </c>
      <c r="D104" s="23" t="s">
        <v>2013</v>
      </c>
      <c r="E104" s="21">
        <v>0</v>
      </c>
      <c r="F104" s="24" t="s">
        <v>2006</v>
      </c>
      <c r="G104" s="24" t="s">
        <v>2007</v>
      </c>
      <c r="H104" s="25">
        <v>0</v>
      </c>
      <c r="I104" s="27"/>
    </row>
    <row r="105" ht="42" spans="1:9">
      <c r="A105" s="21" t="s">
        <v>1731</v>
      </c>
      <c r="B105" s="22">
        <v>170</v>
      </c>
      <c r="C105" s="23" t="s">
        <v>2014</v>
      </c>
      <c r="D105" s="23" t="s">
        <v>2015</v>
      </c>
      <c r="E105" s="21" t="s">
        <v>1798</v>
      </c>
      <c r="F105" s="24" t="s">
        <v>2016</v>
      </c>
      <c r="G105" s="24" t="s">
        <v>2017</v>
      </c>
      <c r="H105" s="25">
        <v>2</v>
      </c>
      <c r="I105" s="27"/>
    </row>
    <row r="106" ht="28" spans="1:9">
      <c r="A106" s="21" t="s">
        <v>764</v>
      </c>
      <c r="B106" s="22">
        <v>170</v>
      </c>
      <c r="C106" s="23" t="s">
        <v>2018</v>
      </c>
      <c r="D106" s="23" t="s">
        <v>2019</v>
      </c>
      <c r="E106" s="21">
        <v>0</v>
      </c>
      <c r="F106" s="24" t="s">
        <v>2020</v>
      </c>
      <c r="G106" s="24" t="s">
        <v>2021</v>
      </c>
      <c r="H106" s="25">
        <v>0</v>
      </c>
      <c r="I106" s="27"/>
    </row>
    <row r="107" ht="28" spans="1:9">
      <c r="A107" s="21" t="s">
        <v>764</v>
      </c>
      <c r="B107" s="22">
        <v>170</v>
      </c>
      <c r="C107" s="23" t="s">
        <v>2022</v>
      </c>
      <c r="D107" s="23" t="s">
        <v>2023</v>
      </c>
      <c r="E107" s="21">
        <v>0</v>
      </c>
      <c r="F107" s="24" t="s">
        <v>2024</v>
      </c>
      <c r="G107" s="24" t="s">
        <v>2025</v>
      </c>
      <c r="H107" s="25">
        <v>3</v>
      </c>
      <c r="I107" s="27"/>
    </row>
    <row r="108" ht="28" spans="1:9">
      <c r="A108" s="21" t="s">
        <v>764</v>
      </c>
      <c r="B108" s="22">
        <v>170</v>
      </c>
      <c r="C108" s="23" t="s">
        <v>2026</v>
      </c>
      <c r="D108" s="23" t="s">
        <v>2027</v>
      </c>
      <c r="E108" s="21">
        <v>0</v>
      </c>
      <c r="F108" s="24" t="s">
        <v>2020</v>
      </c>
      <c r="G108" s="24" t="s">
        <v>2021</v>
      </c>
      <c r="H108" s="25">
        <v>0</v>
      </c>
      <c r="I108" s="27"/>
    </row>
    <row r="109" ht="28" spans="1:9">
      <c r="A109" s="21" t="s">
        <v>764</v>
      </c>
      <c r="B109" s="22">
        <v>170</v>
      </c>
      <c r="C109" s="23" t="s">
        <v>2028</v>
      </c>
      <c r="D109" s="23" t="s">
        <v>2029</v>
      </c>
      <c r="E109" s="21">
        <v>1</v>
      </c>
      <c r="F109" s="24" t="s">
        <v>2024</v>
      </c>
      <c r="G109" s="24" t="s">
        <v>2025</v>
      </c>
      <c r="H109" s="25">
        <v>3</v>
      </c>
      <c r="I109" s="27"/>
    </row>
    <row r="110" ht="28" spans="1:9">
      <c r="A110" s="21" t="s">
        <v>764</v>
      </c>
      <c r="B110" s="22">
        <v>170</v>
      </c>
      <c r="C110" s="23" t="s">
        <v>2030</v>
      </c>
      <c r="D110" s="23" t="s">
        <v>2031</v>
      </c>
      <c r="E110" s="21">
        <v>0</v>
      </c>
      <c r="F110" s="24" t="s">
        <v>2032</v>
      </c>
      <c r="G110" s="24" t="s">
        <v>2033</v>
      </c>
      <c r="H110" s="25">
        <v>4</v>
      </c>
      <c r="I110" s="27"/>
    </row>
    <row r="111" ht="28" spans="1:9">
      <c r="A111" s="21" t="s">
        <v>764</v>
      </c>
      <c r="B111" s="22">
        <v>170</v>
      </c>
      <c r="C111" s="23" t="s">
        <v>2034</v>
      </c>
      <c r="D111" s="23" t="s">
        <v>2035</v>
      </c>
      <c r="E111" s="21">
        <v>0</v>
      </c>
      <c r="F111" s="24" t="s">
        <v>2032</v>
      </c>
      <c r="G111" s="24" t="s">
        <v>2033</v>
      </c>
      <c r="H111" s="25">
        <v>4</v>
      </c>
      <c r="I111" s="27"/>
    </row>
    <row r="112" ht="28" spans="1:9">
      <c r="A112" s="21" t="s">
        <v>764</v>
      </c>
      <c r="B112" s="22">
        <v>170</v>
      </c>
      <c r="C112" s="23" t="s">
        <v>2036</v>
      </c>
      <c r="D112" s="23" t="s">
        <v>2037</v>
      </c>
      <c r="E112" s="21">
        <v>0</v>
      </c>
      <c r="F112" s="24" t="s">
        <v>2038</v>
      </c>
      <c r="G112" s="24" t="s">
        <v>2039</v>
      </c>
      <c r="H112" s="25">
        <v>0</v>
      </c>
      <c r="I112" s="27"/>
    </row>
    <row r="113" spans="1:9">
      <c r="A113" s="21" t="s">
        <v>764</v>
      </c>
      <c r="B113" s="22">
        <v>170</v>
      </c>
      <c r="C113" s="23" t="s">
        <v>2040</v>
      </c>
      <c r="D113" s="23" t="s">
        <v>2041</v>
      </c>
      <c r="E113" s="21">
        <v>0</v>
      </c>
      <c r="F113" s="27"/>
      <c r="G113" s="27"/>
      <c r="H113" s="10"/>
      <c r="I113" s="27"/>
    </row>
    <row r="114" spans="1:9">
      <c r="A114" s="21" t="s">
        <v>764</v>
      </c>
      <c r="B114" s="22">
        <v>170</v>
      </c>
      <c r="C114" s="23" t="s">
        <v>2042</v>
      </c>
      <c r="D114" s="23" t="s">
        <v>2043</v>
      </c>
      <c r="E114" s="21">
        <v>0</v>
      </c>
      <c r="F114" s="27"/>
      <c r="G114" s="27"/>
      <c r="H114" s="10"/>
      <c r="I114" s="27"/>
    </row>
    <row r="115" spans="1:9">
      <c r="A115" s="21" t="s">
        <v>764</v>
      </c>
      <c r="B115" s="22">
        <v>170</v>
      </c>
      <c r="C115" s="23" t="s">
        <v>2044</v>
      </c>
      <c r="D115" s="23" t="s">
        <v>2045</v>
      </c>
      <c r="E115" s="21">
        <v>0</v>
      </c>
      <c r="F115" s="27"/>
      <c r="G115" s="27"/>
      <c r="H115" s="10"/>
      <c r="I115" s="27"/>
    </row>
    <row r="116" spans="1:9">
      <c r="A116" s="21" t="s">
        <v>764</v>
      </c>
      <c r="B116" s="22">
        <v>170</v>
      </c>
      <c r="C116" s="23" t="s">
        <v>2046</v>
      </c>
      <c r="D116" s="23" t="s">
        <v>2047</v>
      </c>
      <c r="E116" s="21">
        <v>2</v>
      </c>
      <c r="F116" s="27"/>
      <c r="G116" s="27"/>
      <c r="H116" s="10"/>
      <c r="I116" s="27"/>
    </row>
    <row r="117" spans="1:9">
      <c r="A117" s="21" t="s">
        <v>764</v>
      </c>
      <c r="B117" s="22">
        <v>170</v>
      </c>
      <c r="C117" s="23" t="s">
        <v>2048</v>
      </c>
      <c r="D117" s="23" t="s">
        <v>2049</v>
      </c>
      <c r="E117" s="21">
        <v>2</v>
      </c>
      <c r="F117" s="27"/>
      <c r="G117" s="27"/>
      <c r="H117" s="10"/>
      <c r="I117" s="27"/>
    </row>
    <row r="118" spans="1:9">
      <c r="A118" s="21" t="s">
        <v>764</v>
      </c>
      <c r="B118" s="22">
        <v>170</v>
      </c>
      <c r="C118" s="23" t="s">
        <v>2050</v>
      </c>
      <c r="D118" s="23" t="s">
        <v>2051</v>
      </c>
      <c r="E118" s="21">
        <v>2</v>
      </c>
      <c r="F118" s="24" t="s">
        <v>2052</v>
      </c>
      <c r="G118" s="24" t="s">
        <v>2053</v>
      </c>
      <c r="H118" s="25">
        <v>3</v>
      </c>
      <c r="I118" s="27"/>
    </row>
    <row r="119" ht="42" spans="1:9">
      <c r="A119" s="21" t="s">
        <v>764</v>
      </c>
      <c r="B119" s="22">
        <v>170</v>
      </c>
      <c r="C119" s="23" t="s">
        <v>2054</v>
      </c>
      <c r="D119" s="23" t="s">
        <v>2055</v>
      </c>
      <c r="E119" s="21">
        <v>2</v>
      </c>
      <c r="F119" s="24" t="s">
        <v>2056</v>
      </c>
      <c r="G119" s="24" t="s">
        <v>2057</v>
      </c>
      <c r="H119" s="25">
        <v>0</v>
      </c>
      <c r="I119" s="27"/>
    </row>
    <row r="120" spans="1:9">
      <c r="A120" s="21" t="s">
        <v>764</v>
      </c>
      <c r="B120" s="22">
        <v>170</v>
      </c>
      <c r="C120" s="23" t="s">
        <v>2058</v>
      </c>
      <c r="D120" s="23" t="s">
        <v>2059</v>
      </c>
      <c r="E120" s="21">
        <v>2</v>
      </c>
      <c r="F120" s="24" t="s">
        <v>2060</v>
      </c>
      <c r="G120" s="24" t="s">
        <v>2061</v>
      </c>
      <c r="H120" s="25">
        <v>4</v>
      </c>
      <c r="I120" s="27"/>
    </row>
    <row r="121" ht="28" spans="1:9">
      <c r="A121" s="21" t="s">
        <v>764</v>
      </c>
      <c r="B121" s="22">
        <v>170</v>
      </c>
      <c r="C121" s="23" t="s">
        <v>2062</v>
      </c>
      <c r="D121" s="23" t="s">
        <v>2063</v>
      </c>
      <c r="E121" s="21">
        <v>2</v>
      </c>
      <c r="F121" s="24" t="s">
        <v>2064</v>
      </c>
      <c r="G121" s="24" t="s">
        <v>2065</v>
      </c>
      <c r="H121" s="25">
        <v>0</v>
      </c>
      <c r="I121" s="27"/>
    </row>
    <row r="122" ht="28" spans="1:9">
      <c r="A122" s="21" t="s">
        <v>764</v>
      </c>
      <c r="B122" s="22">
        <v>170</v>
      </c>
      <c r="C122" s="23" t="s">
        <v>2066</v>
      </c>
      <c r="D122" s="23" t="s">
        <v>2067</v>
      </c>
      <c r="E122" s="21">
        <v>0</v>
      </c>
      <c r="F122" s="24" t="s">
        <v>2068</v>
      </c>
      <c r="G122" s="24" t="s">
        <v>2069</v>
      </c>
      <c r="H122" s="25">
        <v>1</v>
      </c>
      <c r="I122" s="27"/>
    </row>
    <row r="123" ht="28" spans="1:9">
      <c r="A123" s="21" t="s">
        <v>764</v>
      </c>
      <c r="B123" s="22">
        <v>170</v>
      </c>
      <c r="C123" s="23" t="s">
        <v>2070</v>
      </c>
      <c r="D123" s="23" t="s">
        <v>2071</v>
      </c>
      <c r="E123" s="21">
        <v>0</v>
      </c>
      <c r="F123" s="24" t="s">
        <v>2072</v>
      </c>
      <c r="G123" s="24" t="s">
        <v>2073</v>
      </c>
      <c r="H123" s="25">
        <v>3</v>
      </c>
      <c r="I123" s="27"/>
    </row>
    <row r="124" spans="1:9">
      <c r="A124" s="21" t="s">
        <v>764</v>
      </c>
      <c r="B124" s="22">
        <v>170</v>
      </c>
      <c r="C124" s="23" t="s">
        <v>2074</v>
      </c>
      <c r="D124" s="23" t="s">
        <v>2075</v>
      </c>
      <c r="E124" s="21">
        <v>0</v>
      </c>
      <c r="F124" s="27"/>
      <c r="G124" s="27"/>
      <c r="H124" s="10"/>
      <c r="I124" s="27"/>
    </row>
    <row r="125" spans="1:9">
      <c r="A125" s="21" t="s">
        <v>764</v>
      </c>
      <c r="B125" s="22">
        <v>170</v>
      </c>
      <c r="C125" s="23" t="s">
        <v>2076</v>
      </c>
      <c r="D125" s="23" t="s">
        <v>2077</v>
      </c>
      <c r="E125" s="21">
        <v>0</v>
      </c>
      <c r="F125" s="27"/>
      <c r="G125" s="27"/>
      <c r="H125" s="10"/>
      <c r="I125" s="27"/>
    </row>
    <row r="126" spans="1:9">
      <c r="A126" s="21" t="s">
        <v>764</v>
      </c>
      <c r="B126" s="22">
        <v>170</v>
      </c>
      <c r="C126" s="23" t="s">
        <v>2078</v>
      </c>
      <c r="D126" s="23" t="s">
        <v>2079</v>
      </c>
      <c r="E126" s="21">
        <v>0</v>
      </c>
      <c r="F126" s="27"/>
      <c r="G126" s="27"/>
      <c r="H126" s="10"/>
      <c r="I126" s="27"/>
    </row>
    <row r="127" spans="1:9">
      <c r="A127" s="21" t="s">
        <v>764</v>
      </c>
      <c r="B127" s="22">
        <v>170</v>
      </c>
      <c r="C127" s="23" t="s">
        <v>2080</v>
      </c>
      <c r="D127" s="23" t="s">
        <v>2081</v>
      </c>
      <c r="E127" s="21">
        <v>0</v>
      </c>
      <c r="F127" s="24" t="s">
        <v>2082</v>
      </c>
      <c r="G127" s="24" t="s">
        <v>2083</v>
      </c>
      <c r="H127" s="25">
        <v>0</v>
      </c>
      <c r="I127" s="27"/>
    </row>
    <row r="128" ht="56" spans="1:9">
      <c r="A128" s="21" t="s">
        <v>1908</v>
      </c>
      <c r="B128" s="22">
        <v>170</v>
      </c>
      <c r="C128" s="24" t="s">
        <v>2084</v>
      </c>
      <c r="D128" s="24" t="s">
        <v>2085</v>
      </c>
      <c r="E128" s="21">
        <v>0</v>
      </c>
      <c r="F128" s="24" t="s">
        <v>2086</v>
      </c>
      <c r="G128" s="24" t="s">
        <v>2087</v>
      </c>
      <c r="H128" s="25">
        <v>4</v>
      </c>
      <c r="I128" s="27"/>
    </row>
    <row r="129" ht="42" spans="1:9">
      <c r="A129" s="21" t="s">
        <v>1908</v>
      </c>
      <c r="B129" s="22">
        <v>170</v>
      </c>
      <c r="C129" s="24" t="s">
        <v>2088</v>
      </c>
      <c r="D129" s="24" t="s">
        <v>2089</v>
      </c>
      <c r="E129" s="21">
        <v>0</v>
      </c>
      <c r="F129" s="24" t="s">
        <v>2090</v>
      </c>
      <c r="G129" s="24" t="s">
        <v>2091</v>
      </c>
      <c r="H129" s="25">
        <v>5</v>
      </c>
      <c r="I129" s="27"/>
    </row>
    <row r="130" ht="28" spans="1:9">
      <c r="A130" s="21" t="s">
        <v>1908</v>
      </c>
      <c r="B130" s="22">
        <v>170</v>
      </c>
      <c r="C130" s="24" t="s">
        <v>2092</v>
      </c>
      <c r="D130" s="24" t="s">
        <v>2093</v>
      </c>
      <c r="E130" s="21">
        <v>0</v>
      </c>
      <c r="F130" s="24" t="s">
        <v>2094</v>
      </c>
      <c r="G130" s="24" t="s">
        <v>2095</v>
      </c>
      <c r="H130" s="25">
        <v>2</v>
      </c>
      <c r="I130" s="27"/>
    </row>
    <row r="131" spans="1:9">
      <c r="A131" s="21" t="s">
        <v>1908</v>
      </c>
      <c r="B131" s="22">
        <v>170</v>
      </c>
      <c r="C131" s="24" t="s">
        <v>2096</v>
      </c>
      <c r="D131" s="24" t="s">
        <v>2097</v>
      </c>
      <c r="E131" s="21">
        <v>0</v>
      </c>
      <c r="F131" s="24"/>
      <c r="G131" s="24"/>
      <c r="H131" s="25"/>
      <c r="I131" s="27"/>
    </row>
    <row r="132" spans="1:9">
      <c r="A132" s="21" t="s">
        <v>1908</v>
      </c>
      <c r="B132" s="22">
        <v>170</v>
      </c>
      <c r="C132" s="24" t="s">
        <v>2098</v>
      </c>
      <c r="D132" s="24" t="s">
        <v>2099</v>
      </c>
      <c r="E132" s="21">
        <v>0</v>
      </c>
      <c r="F132" s="24"/>
      <c r="G132" s="24"/>
      <c r="H132" s="25"/>
      <c r="I132" s="27"/>
    </row>
    <row r="133" ht="70" spans="1:9">
      <c r="A133" s="21" t="s">
        <v>1931</v>
      </c>
      <c r="B133" s="22">
        <v>170</v>
      </c>
      <c r="C133" s="24" t="s">
        <v>2100</v>
      </c>
      <c r="D133" s="24" t="s">
        <v>2101</v>
      </c>
      <c r="E133" s="21">
        <v>0</v>
      </c>
      <c r="F133" s="24" t="s">
        <v>2102</v>
      </c>
      <c r="G133" s="24" t="s">
        <v>2103</v>
      </c>
      <c r="H133" s="25">
        <v>3</v>
      </c>
      <c r="I133" s="27"/>
    </row>
    <row r="134" ht="70" spans="1:9">
      <c r="A134" s="21" t="s">
        <v>1931</v>
      </c>
      <c r="B134" s="22">
        <v>170</v>
      </c>
      <c r="C134" s="24" t="s">
        <v>2104</v>
      </c>
      <c r="D134" s="24" t="s">
        <v>2105</v>
      </c>
      <c r="E134" s="21">
        <v>0</v>
      </c>
      <c r="F134" s="24" t="s">
        <v>2106</v>
      </c>
      <c r="G134" s="24" t="s">
        <v>2107</v>
      </c>
      <c r="H134" s="25">
        <v>0</v>
      </c>
      <c r="I134" s="27"/>
    </row>
    <row r="135" ht="42" spans="1:9">
      <c r="A135" s="21" t="s">
        <v>1731</v>
      </c>
      <c r="B135" s="22">
        <v>180</v>
      </c>
      <c r="C135" s="23" t="s">
        <v>2108</v>
      </c>
      <c r="D135" s="23" t="s">
        <v>2109</v>
      </c>
      <c r="E135" s="21">
        <v>0</v>
      </c>
      <c r="F135" s="24" t="s">
        <v>2110</v>
      </c>
      <c r="G135" s="24" t="s">
        <v>2111</v>
      </c>
      <c r="H135" s="25">
        <v>4</v>
      </c>
      <c r="I135" s="27"/>
    </row>
    <row r="136" ht="42" spans="1:9">
      <c r="A136" s="21" t="s">
        <v>1731</v>
      </c>
      <c r="B136" s="22">
        <v>180</v>
      </c>
      <c r="C136" s="23" t="s">
        <v>2112</v>
      </c>
      <c r="D136" s="23" t="s">
        <v>2113</v>
      </c>
      <c r="E136" s="21">
        <v>0</v>
      </c>
      <c r="F136" s="24" t="s">
        <v>2114</v>
      </c>
      <c r="G136" s="24" t="s">
        <v>2115</v>
      </c>
      <c r="H136" s="25">
        <v>3</v>
      </c>
      <c r="I136" s="27"/>
    </row>
    <row r="137" ht="42" spans="1:9">
      <c r="A137" s="21" t="s">
        <v>1731</v>
      </c>
      <c r="B137" s="22">
        <v>180</v>
      </c>
      <c r="C137" s="23" t="s">
        <v>2116</v>
      </c>
      <c r="D137" s="23" t="s">
        <v>2117</v>
      </c>
      <c r="E137" s="21">
        <v>0</v>
      </c>
      <c r="F137" s="24" t="s">
        <v>2118</v>
      </c>
      <c r="G137" s="24" t="s">
        <v>2119</v>
      </c>
      <c r="H137" s="25">
        <v>3</v>
      </c>
      <c r="I137" s="27"/>
    </row>
    <row r="138" ht="42" spans="1:9">
      <c r="A138" s="21" t="s">
        <v>1731</v>
      </c>
      <c r="B138" s="22">
        <v>180</v>
      </c>
      <c r="C138" s="23" t="s">
        <v>2120</v>
      </c>
      <c r="D138" s="23" t="s">
        <v>2121</v>
      </c>
      <c r="E138" s="21">
        <v>0</v>
      </c>
      <c r="F138" s="24" t="s">
        <v>2122</v>
      </c>
      <c r="G138" s="24" t="s">
        <v>2123</v>
      </c>
      <c r="H138" s="25">
        <v>2</v>
      </c>
      <c r="I138" s="27"/>
    </row>
    <row r="139" ht="42" spans="1:9">
      <c r="A139" s="21" t="s">
        <v>1731</v>
      </c>
      <c r="B139" s="22">
        <v>180</v>
      </c>
      <c r="C139" s="23" t="s">
        <v>2124</v>
      </c>
      <c r="D139" s="23" t="s">
        <v>2125</v>
      </c>
      <c r="E139" s="21">
        <v>0</v>
      </c>
      <c r="F139" s="24" t="s">
        <v>2126</v>
      </c>
      <c r="G139" s="24" t="s">
        <v>2127</v>
      </c>
      <c r="H139" s="25">
        <v>0</v>
      </c>
      <c r="I139" s="27"/>
    </row>
    <row r="140" ht="42" spans="1:9">
      <c r="A140" s="21" t="s">
        <v>1731</v>
      </c>
      <c r="B140" s="22">
        <v>180</v>
      </c>
      <c r="C140" s="23" t="s">
        <v>2128</v>
      </c>
      <c r="D140" s="23" t="s">
        <v>2129</v>
      </c>
      <c r="E140" s="21">
        <v>0</v>
      </c>
      <c r="F140" s="24" t="s">
        <v>2130</v>
      </c>
      <c r="G140" s="24" t="s">
        <v>2131</v>
      </c>
      <c r="H140" s="25">
        <v>0</v>
      </c>
      <c r="I140" s="27"/>
    </row>
    <row r="141" ht="42" spans="1:9">
      <c r="A141" s="21" t="s">
        <v>1731</v>
      </c>
      <c r="B141" s="22">
        <v>180</v>
      </c>
      <c r="C141" s="23" t="s">
        <v>2132</v>
      </c>
      <c r="D141" s="23" t="s">
        <v>2133</v>
      </c>
      <c r="E141" s="21">
        <v>0</v>
      </c>
      <c r="F141" s="24" t="s">
        <v>2134</v>
      </c>
      <c r="G141" s="24" t="s">
        <v>2135</v>
      </c>
      <c r="H141" s="25">
        <v>0</v>
      </c>
      <c r="I141" s="27"/>
    </row>
    <row r="142" ht="42" spans="1:9">
      <c r="A142" s="21" t="s">
        <v>1731</v>
      </c>
      <c r="B142" s="22">
        <v>180</v>
      </c>
      <c r="C142" s="23" t="s">
        <v>2136</v>
      </c>
      <c r="D142" s="23" t="s">
        <v>2137</v>
      </c>
      <c r="E142" s="21">
        <v>0</v>
      </c>
      <c r="F142" s="24" t="s">
        <v>2138</v>
      </c>
      <c r="G142" s="24" t="s">
        <v>2139</v>
      </c>
      <c r="H142" s="25">
        <v>0</v>
      </c>
      <c r="I142" s="27"/>
    </row>
    <row r="143" spans="1:9">
      <c r="A143" s="21" t="s">
        <v>1731</v>
      </c>
      <c r="B143" s="22">
        <v>180</v>
      </c>
      <c r="C143" s="23" t="s">
        <v>2140</v>
      </c>
      <c r="D143" s="23" t="s">
        <v>2141</v>
      </c>
      <c r="E143" s="21">
        <v>0</v>
      </c>
      <c r="F143" s="24" t="s">
        <v>2142</v>
      </c>
      <c r="G143" s="24" t="s">
        <v>2143</v>
      </c>
      <c r="H143" s="25" t="s">
        <v>2144</v>
      </c>
      <c r="I143" s="27"/>
    </row>
    <row r="144" ht="28" spans="1:9">
      <c r="A144" s="21" t="s">
        <v>1731</v>
      </c>
      <c r="B144" s="22">
        <v>180</v>
      </c>
      <c r="C144" s="23" t="s">
        <v>2145</v>
      </c>
      <c r="D144" s="23" t="s">
        <v>2146</v>
      </c>
      <c r="E144" s="21" t="s">
        <v>1798</v>
      </c>
      <c r="F144" s="24" t="s">
        <v>2147</v>
      </c>
      <c r="G144" s="24" t="s">
        <v>2148</v>
      </c>
      <c r="H144" s="25">
        <v>3</v>
      </c>
      <c r="I144" s="27"/>
    </row>
    <row r="145" ht="28" spans="1:9">
      <c r="A145" s="21" t="s">
        <v>1731</v>
      </c>
      <c r="B145" s="22">
        <v>180</v>
      </c>
      <c r="C145" s="23" t="s">
        <v>2149</v>
      </c>
      <c r="D145" s="23" t="s">
        <v>2150</v>
      </c>
      <c r="E145" s="21" t="s">
        <v>1798</v>
      </c>
      <c r="F145" s="24" t="s">
        <v>2151</v>
      </c>
      <c r="G145" s="24" t="s">
        <v>2152</v>
      </c>
      <c r="H145" s="25">
        <v>0</v>
      </c>
      <c r="I145" s="27"/>
    </row>
    <row r="146" ht="28" spans="1:9">
      <c r="A146" s="21" t="s">
        <v>1731</v>
      </c>
      <c r="B146" s="22">
        <v>180</v>
      </c>
      <c r="C146" s="23" t="s">
        <v>2153</v>
      </c>
      <c r="D146" s="23" t="s">
        <v>2154</v>
      </c>
      <c r="E146" s="21" t="s">
        <v>1798</v>
      </c>
      <c r="F146" s="24" t="s">
        <v>2155</v>
      </c>
      <c r="G146" s="24" t="s">
        <v>2156</v>
      </c>
      <c r="H146" s="25">
        <v>0</v>
      </c>
      <c r="I146" s="27"/>
    </row>
    <row r="147" ht="42" spans="1:9">
      <c r="A147" s="21" t="s">
        <v>1731</v>
      </c>
      <c r="B147" s="22">
        <v>180</v>
      </c>
      <c r="C147" s="23" t="s">
        <v>2157</v>
      </c>
      <c r="D147" s="23" t="s">
        <v>2158</v>
      </c>
      <c r="E147" s="21" t="s">
        <v>1798</v>
      </c>
      <c r="F147" s="24" t="s">
        <v>2159</v>
      </c>
      <c r="G147" s="24" t="s">
        <v>2160</v>
      </c>
      <c r="H147" s="25">
        <v>2</v>
      </c>
      <c r="I147" s="27"/>
    </row>
    <row r="148" ht="42" spans="1:9">
      <c r="A148" s="21" t="s">
        <v>1731</v>
      </c>
      <c r="B148" s="22">
        <v>180</v>
      </c>
      <c r="C148" s="23" t="s">
        <v>2161</v>
      </c>
      <c r="D148" s="23" t="s">
        <v>2162</v>
      </c>
      <c r="E148" s="21">
        <v>0</v>
      </c>
      <c r="F148" s="24" t="s">
        <v>2163</v>
      </c>
      <c r="G148" s="24" t="s">
        <v>2164</v>
      </c>
      <c r="H148" s="25">
        <v>2</v>
      </c>
      <c r="I148" s="27"/>
    </row>
    <row r="149" ht="70" spans="1:9">
      <c r="A149" s="21" t="s">
        <v>1731</v>
      </c>
      <c r="B149" s="22">
        <v>180</v>
      </c>
      <c r="C149" s="23" t="s">
        <v>2165</v>
      </c>
      <c r="D149" s="23" t="s">
        <v>2166</v>
      </c>
      <c r="E149" s="21" t="s">
        <v>1798</v>
      </c>
      <c r="F149" s="24" t="s">
        <v>2167</v>
      </c>
      <c r="G149" s="24" t="s">
        <v>2168</v>
      </c>
      <c r="H149" s="25">
        <v>3</v>
      </c>
      <c r="I149" s="27"/>
    </row>
    <row r="150" ht="70" spans="1:9">
      <c r="A150" s="21" t="s">
        <v>1731</v>
      </c>
      <c r="B150" s="22">
        <v>180</v>
      </c>
      <c r="C150" s="23"/>
      <c r="D150" s="23"/>
      <c r="E150" s="21"/>
      <c r="F150" s="24" t="s">
        <v>2169</v>
      </c>
      <c r="G150" s="24" t="s">
        <v>2168</v>
      </c>
      <c r="H150" s="10">
        <v>3</v>
      </c>
      <c r="I150" s="27"/>
    </row>
    <row r="151" ht="28" spans="1:9">
      <c r="A151" s="21" t="s">
        <v>764</v>
      </c>
      <c r="B151" s="22">
        <v>180</v>
      </c>
      <c r="C151" s="23" t="s">
        <v>2170</v>
      </c>
      <c r="D151" s="23" t="s">
        <v>2019</v>
      </c>
      <c r="E151" s="21">
        <v>1</v>
      </c>
      <c r="F151" s="24" t="s">
        <v>2171</v>
      </c>
      <c r="G151" s="24" t="s">
        <v>2172</v>
      </c>
      <c r="H151" s="25">
        <v>3</v>
      </c>
      <c r="I151" s="27"/>
    </row>
    <row r="152" ht="28" spans="1:9">
      <c r="A152" s="21" t="s">
        <v>764</v>
      </c>
      <c r="B152" s="22">
        <v>180</v>
      </c>
      <c r="C152" s="23" t="s">
        <v>2173</v>
      </c>
      <c r="D152" s="23" t="s">
        <v>2023</v>
      </c>
      <c r="E152" s="21">
        <v>1</v>
      </c>
      <c r="F152" s="24" t="s">
        <v>2174</v>
      </c>
      <c r="G152" s="24" t="s">
        <v>2175</v>
      </c>
      <c r="H152" s="25">
        <v>5</v>
      </c>
      <c r="I152" s="27"/>
    </row>
    <row r="153" ht="28" spans="1:9">
      <c r="A153" s="21" t="s">
        <v>764</v>
      </c>
      <c r="B153" s="22">
        <v>180</v>
      </c>
      <c r="C153" s="23" t="s">
        <v>2176</v>
      </c>
      <c r="D153" s="23" t="s">
        <v>2031</v>
      </c>
      <c r="E153" s="21">
        <v>0</v>
      </c>
      <c r="F153" s="24" t="s">
        <v>2177</v>
      </c>
      <c r="G153" s="24" t="s">
        <v>2178</v>
      </c>
      <c r="H153" s="25">
        <v>2</v>
      </c>
      <c r="I153" s="27"/>
    </row>
    <row r="154" ht="28" spans="1:9">
      <c r="A154" s="21" t="s">
        <v>764</v>
      </c>
      <c r="B154" s="22">
        <v>180</v>
      </c>
      <c r="C154" s="23" t="s">
        <v>2179</v>
      </c>
      <c r="D154" s="23" t="s">
        <v>2035</v>
      </c>
      <c r="E154" s="21">
        <v>0</v>
      </c>
      <c r="F154" s="24" t="s">
        <v>2180</v>
      </c>
      <c r="G154" s="24" t="s">
        <v>2181</v>
      </c>
      <c r="H154" s="25">
        <v>1</v>
      </c>
      <c r="I154" s="27"/>
    </row>
    <row r="155" ht="28" spans="1:9">
      <c r="A155" s="21" t="s">
        <v>764</v>
      </c>
      <c r="B155" s="22">
        <v>180</v>
      </c>
      <c r="C155" s="23" t="s">
        <v>2182</v>
      </c>
      <c r="D155" s="23" t="s">
        <v>2183</v>
      </c>
      <c r="E155" s="21">
        <v>0</v>
      </c>
      <c r="F155" s="24" t="s">
        <v>2184</v>
      </c>
      <c r="G155" s="24" t="s">
        <v>2185</v>
      </c>
      <c r="H155" s="25">
        <v>2</v>
      </c>
      <c r="I155" s="27"/>
    </row>
    <row r="156" ht="28" spans="1:9">
      <c r="A156" s="21" t="s">
        <v>764</v>
      </c>
      <c r="B156" s="22">
        <v>180</v>
      </c>
      <c r="C156" s="23" t="s">
        <v>2186</v>
      </c>
      <c r="D156" s="23" t="s">
        <v>2041</v>
      </c>
      <c r="E156" s="21">
        <v>0</v>
      </c>
      <c r="F156" s="24" t="s">
        <v>2187</v>
      </c>
      <c r="G156" s="24" t="s">
        <v>2188</v>
      </c>
      <c r="H156" s="25">
        <v>1</v>
      </c>
      <c r="I156" s="27"/>
    </row>
    <row r="157" ht="28" spans="1:9">
      <c r="A157" s="21" t="s">
        <v>764</v>
      </c>
      <c r="B157" s="22">
        <v>180</v>
      </c>
      <c r="C157" s="23" t="s">
        <v>2189</v>
      </c>
      <c r="D157" s="23" t="s">
        <v>2043</v>
      </c>
      <c r="E157" s="21">
        <v>0</v>
      </c>
      <c r="F157" s="24" t="s">
        <v>2190</v>
      </c>
      <c r="G157" s="24" t="s">
        <v>2191</v>
      </c>
      <c r="H157" s="25">
        <v>3</v>
      </c>
      <c r="I157" s="27"/>
    </row>
    <row r="158" ht="28" spans="1:9">
      <c r="A158" s="21" t="s">
        <v>764</v>
      </c>
      <c r="B158" s="22">
        <v>180</v>
      </c>
      <c r="C158" s="23" t="s">
        <v>2192</v>
      </c>
      <c r="D158" s="23" t="s">
        <v>2045</v>
      </c>
      <c r="E158" s="21">
        <v>2</v>
      </c>
      <c r="F158" s="24" t="s">
        <v>2193</v>
      </c>
      <c r="G158" s="24" t="s">
        <v>2194</v>
      </c>
      <c r="H158" s="25">
        <v>0</v>
      </c>
      <c r="I158" s="27"/>
    </row>
    <row r="159" ht="28" spans="1:9">
      <c r="A159" s="21" t="s">
        <v>764</v>
      </c>
      <c r="B159" s="22">
        <v>180</v>
      </c>
      <c r="C159" s="23" t="s">
        <v>2195</v>
      </c>
      <c r="D159" s="23" t="s">
        <v>2196</v>
      </c>
      <c r="E159" s="21">
        <v>0</v>
      </c>
      <c r="F159" s="24" t="s">
        <v>2197</v>
      </c>
      <c r="G159" s="24" t="s">
        <v>2198</v>
      </c>
      <c r="H159" s="25">
        <v>0</v>
      </c>
      <c r="I159" s="27"/>
    </row>
    <row r="160" ht="28" spans="1:9">
      <c r="A160" s="21" t="s">
        <v>764</v>
      </c>
      <c r="B160" s="22">
        <v>180</v>
      </c>
      <c r="C160" s="23" t="s">
        <v>2199</v>
      </c>
      <c r="D160" s="23" t="s">
        <v>2200</v>
      </c>
      <c r="E160" s="21">
        <v>0</v>
      </c>
      <c r="F160" s="24" t="s">
        <v>2201</v>
      </c>
      <c r="G160" s="24" t="s">
        <v>2202</v>
      </c>
      <c r="H160" s="25">
        <v>4</v>
      </c>
      <c r="I160" s="27"/>
    </row>
    <row r="161" ht="28" spans="1:9">
      <c r="A161" s="21" t="s">
        <v>764</v>
      </c>
      <c r="B161" s="22">
        <v>180</v>
      </c>
      <c r="C161" s="23" t="s">
        <v>2203</v>
      </c>
      <c r="D161" s="23" t="s">
        <v>2049</v>
      </c>
      <c r="E161" s="21">
        <v>0</v>
      </c>
      <c r="F161" s="24" t="s">
        <v>2204</v>
      </c>
      <c r="G161" s="24" t="s">
        <v>2205</v>
      </c>
      <c r="H161" s="25">
        <v>4</v>
      </c>
      <c r="I161" s="27"/>
    </row>
    <row r="162" ht="28" spans="1:9">
      <c r="A162" s="21" t="s">
        <v>764</v>
      </c>
      <c r="B162" s="22">
        <v>180</v>
      </c>
      <c r="C162" s="23" t="s">
        <v>2206</v>
      </c>
      <c r="D162" s="23" t="s">
        <v>2207</v>
      </c>
      <c r="E162" s="21">
        <v>0</v>
      </c>
      <c r="F162" s="24" t="s">
        <v>2208</v>
      </c>
      <c r="G162" s="24" t="s">
        <v>2209</v>
      </c>
      <c r="H162" s="25">
        <v>1</v>
      </c>
      <c r="I162" s="27"/>
    </row>
    <row r="163" ht="28" spans="1:9">
      <c r="A163" s="21" t="s">
        <v>764</v>
      </c>
      <c r="B163" s="22">
        <v>180</v>
      </c>
      <c r="C163" s="23" t="s">
        <v>2210</v>
      </c>
      <c r="D163" s="23" t="s">
        <v>2211</v>
      </c>
      <c r="E163" s="21">
        <v>0</v>
      </c>
      <c r="F163" s="24" t="s">
        <v>2212</v>
      </c>
      <c r="G163" s="24" t="s">
        <v>2213</v>
      </c>
      <c r="H163" s="25">
        <v>3</v>
      </c>
      <c r="I163" s="27"/>
    </row>
    <row r="164" ht="28" spans="1:9">
      <c r="A164" s="21" t="s">
        <v>764</v>
      </c>
      <c r="B164" s="22">
        <v>180</v>
      </c>
      <c r="C164" s="23" t="s">
        <v>2214</v>
      </c>
      <c r="D164" s="23" t="s">
        <v>2215</v>
      </c>
      <c r="E164" s="21">
        <v>0</v>
      </c>
      <c r="F164" s="24" t="s">
        <v>2216</v>
      </c>
      <c r="G164" s="24" t="s">
        <v>2217</v>
      </c>
      <c r="H164" s="25">
        <v>4</v>
      </c>
      <c r="I164" s="27"/>
    </row>
    <row r="165" ht="28" spans="1:9">
      <c r="A165" s="21" t="s">
        <v>764</v>
      </c>
      <c r="B165" s="22">
        <v>180</v>
      </c>
      <c r="C165" s="23" t="s">
        <v>2218</v>
      </c>
      <c r="D165" s="23" t="s">
        <v>2219</v>
      </c>
      <c r="E165" s="21">
        <v>0</v>
      </c>
      <c r="F165" s="24" t="s">
        <v>2220</v>
      </c>
      <c r="G165" s="24" t="s">
        <v>2221</v>
      </c>
      <c r="H165" s="25">
        <v>1</v>
      </c>
      <c r="I165" s="27"/>
    </row>
    <row r="166" ht="28" spans="1:9">
      <c r="A166" s="21" t="s">
        <v>764</v>
      </c>
      <c r="B166" s="22">
        <v>180</v>
      </c>
      <c r="C166" s="23" t="s">
        <v>2222</v>
      </c>
      <c r="D166" s="23" t="s">
        <v>2223</v>
      </c>
      <c r="E166" s="21">
        <v>0</v>
      </c>
      <c r="F166" s="24" t="s">
        <v>2224</v>
      </c>
      <c r="G166" s="24" t="s">
        <v>2225</v>
      </c>
      <c r="H166" s="25">
        <v>4</v>
      </c>
      <c r="I166" s="27"/>
    </row>
    <row r="167" spans="1:9">
      <c r="A167" s="21" t="s">
        <v>764</v>
      </c>
      <c r="B167" s="22">
        <v>180</v>
      </c>
      <c r="C167" s="23" t="s">
        <v>2226</v>
      </c>
      <c r="D167" s="23" t="s">
        <v>2227</v>
      </c>
      <c r="E167" s="21">
        <v>0</v>
      </c>
      <c r="F167" s="24" t="s">
        <v>2228</v>
      </c>
      <c r="G167" s="24" t="s">
        <v>2229</v>
      </c>
      <c r="H167" s="25">
        <v>4</v>
      </c>
      <c r="I167" s="27"/>
    </row>
    <row r="168" spans="1:9">
      <c r="A168" s="21" t="s">
        <v>764</v>
      </c>
      <c r="B168" s="22">
        <v>180</v>
      </c>
      <c r="C168" s="23" t="s">
        <v>2230</v>
      </c>
      <c r="D168" s="23" t="s">
        <v>2231</v>
      </c>
      <c r="E168" s="21">
        <v>0</v>
      </c>
      <c r="F168" s="24" t="s">
        <v>2232</v>
      </c>
      <c r="G168" s="24" t="s">
        <v>2233</v>
      </c>
      <c r="H168" s="25">
        <v>3</v>
      </c>
      <c r="I168" s="27"/>
    </row>
    <row r="169" spans="1:9">
      <c r="A169" s="21" t="s">
        <v>764</v>
      </c>
      <c r="B169" s="22">
        <v>180</v>
      </c>
      <c r="C169" s="23" t="s">
        <v>2234</v>
      </c>
      <c r="D169" s="23" t="s">
        <v>2235</v>
      </c>
      <c r="E169" s="21">
        <v>0</v>
      </c>
      <c r="F169" s="24" t="s">
        <v>2236</v>
      </c>
      <c r="G169" s="24" t="s">
        <v>2237</v>
      </c>
      <c r="H169" s="25">
        <v>1</v>
      </c>
      <c r="I169" s="27"/>
    </row>
    <row r="170" ht="28" spans="1:9">
      <c r="A170" s="21" t="s">
        <v>764</v>
      </c>
      <c r="B170" s="22">
        <v>180</v>
      </c>
      <c r="C170" s="23" t="s">
        <v>2238</v>
      </c>
      <c r="D170" s="23" t="s">
        <v>2239</v>
      </c>
      <c r="E170" s="21">
        <v>0</v>
      </c>
      <c r="F170" s="24" t="s">
        <v>2240</v>
      </c>
      <c r="G170" s="24" t="s">
        <v>2241</v>
      </c>
      <c r="H170" s="25">
        <v>3</v>
      </c>
      <c r="I170" s="27"/>
    </row>
    <row r="171" spans="1:9">
      <c r="A171" s="21" t="s">
        <v>764</v>
      </c>
      <c r="B171" s="22">
        <v>180</v>
      </c>
      <c r="C171" s="23" t="s">
        <v>2242</v>
      </c>
      <c r="D171" s="23" t="s">
        <v>2243</v>
      </c>
      <c r="E171" s="21">
        <v>0</v>
      </c>
      <c r="F171" s="24" t="s">
        <v>2244</v>
      </c>
      <c r="G171" s="24" t="s">
        <v>2245</v>
      </c>
      <c r="H171" s="25">
        <v>2</v>
      </c>
      <c r="I171" s="27"/>
    </row>
    <row r="172" spans="1:9">
      <c r="A172" s="21" t="s">
        <v>764</v>
      </c>
      <c r="B172" s="22">
        <v>180</v>
      </c>
      <c r="C172" s="23" t="s">
        <v>2246</v>
      </c>
      <c r="D172" s="23" t="s">
        <v>2247</v>
      </c>
      <c r="E172" s="21">
        <v>0</v>
      </c>
      <c r="F172" s="24" t="s">
        <v>2248</v>
      </c>
      <c r="G172" s="24" t="s">
        <v>2249</v>
      </c>
      <c r="H172" s="25">
        <v>4</v>
      </c>
      <c r="I172" s="27"/>
    </row>
    <row r="173" spans="1:9">
      <c r="A173" s="21" t="s">
        <v>764</v>
      </c>
      <c r="B173" s="22">
        <v>180</v>
      </c>
      <c r="C173" s="23" t="s">
        <v>2250</v>
      </c>
      <c r="D173" s="23" t="s">
        <v>2251</v>
      </c>
      <c r="E173" s="21">
        <v>0</v>
      </c>
      <c r="F173" s="24" t="s">
        <v>2252</v>
      </c>
      <c r="G173" s="24" t="s">
        <v>2253</v>
      </c>
      <c r="H173" s="25">
        <v>2</v>
      </c>
      <c r="I173" s="27"/>
    </row>
    <row r="174" spans="1:9">
      <c r="A174" s="21" t="s">
        <v>764</v>
      </c>
      <c r="B174" s="22">
        <v>180</v>
      </c>
      <c r="C174" s="23" t="s">
        <v>2254</v>
      </c>
      <c r="D174" s="23" t="s">
        <v>2255</v>
      </c>
      <c r="E174" s="21">
        <v>0</v>
      </c>
      <c r="F174" s="24" t="s">
        <v>2256</v>
      </c>
      <c r="G174" s="24" t="s">
        <v>2257</v>
      </c>
      <c r="H174" s="25">
        <v>2</v>
      </c>
      <c r="I174" s="27"/>
    </row>
    <row r="175" spans="1:9">
      <c r="A175" s="21" t="s">
        <v>764</v>
      </c>
      <c r="B175" s="22">
        <v>180</v>
      </c>
      <c r="C175" s="23" t="s">
        <v>2258</v>
      </c>
      <c r="D175" s="23" t="s">
        <v>2259</v>
      </c>
      <c r="E175" s="21">
        <v>0</v>
      </c>
      <c r="F175" s="24" t="s">
        <v>2260</v>
      </c>
      <c r="G175" s="24" t="s">
        <v>2261</v>
      </c>
      <c r="H175" s="25">
        <v>1</v>
      </c>
      <c r="I175" s="27"/>
    </row>
    <row r="176" spans="1:9">
      <c r="A176" s="21" t="s">
        <v>764</v>
      </c>
      <c r="B176" s="22">
        <v>180</v>
      </c>
      <c r="C176" s="23" t="s">
        <v>2262</v>
      </c>
      <c r="D176" s="23" t="s">
        <v>2263</v>
      </c>
      <c r="E176" s="21">
        <v>0</v>
      </c>
      <c r="F176" s="24" t="s">
        <v>2264</v>
      </c>
      <c r="G176" s="24" t="s">
        <v>2265</v>
      </c>
      <c r="H176" s="25">
        <v>3</v>
      </c>
      <c r="I176" s="27"/>
    </row>
    <row r="177" spans="1:9">
      <c r="A177" s="21" t="s">
        <v>764</v>
      </c>
      <c r="B177" s="22">
        <v>180</v>
      </c>
      <c r="C177" s="23" t="s">
        <v>2266</v>
      </c>
      <c r="D177" s="23" t="s">
        <v>1969</v>
      </c>
      <c r="E177" s="21">
        <v>0</v>
      </c>
      <c r="F177" s="24" t="s">
        <v>2267</v>
      </c>
      <c r="G177" s="24" t="s">
        <v>2268</v>
      </c>
      <c r="H177" s="25">
        <v>0</v>
      </c>
      <c r="I177" s="27"/>
    </row>
    <row r="178" spans="1:9">
      <c r="A178" s="21" t="s">
        <v>764</v>
      </c>
      <c r="B178" s="22">
        <v>180</v>
      </c>
      <c r="C178" s="23" t="s">
        <v>2269</v>
      </c>
      <c r="D178" s="23" t="s">
        <v>2270</v>
      </c>
      <c r="E178" s="21">
        <v>0</v>
      </c>
      <c r="F178" s="24" t="s">
        <v>2271</v>
      </c>
      <c r="G178" s="24" t="s">
        <v>2272</v>
      </c>
      <c r="H178" s="25">
        <v>0</v>
      </c>
      <c r="I178" s="27"/>
    </row>
    <row r="179" spans="1:9">
      <c r="A179" s="21" t="s">
        <v>764</v>
      </c>
      <c r="B179" s="22">
        <v>180</v>
      </c>
      <c r="C179" s="23" t="s">
        <v>2273</v>
      </c>
      <c r="D179" s="23" t="s">
        <v>2274</v>
      </c>
      <c r="E179" s="21">
        <v>0</v>
      </c>
      <c r="F179" s="24" t="s">
        <v>2275</v>
      </c>
      <c r="G179" s="24" t="s">
        <v>2276</v>
      </c>
      <c r="H179" s="25">
        <v>0</v>
      </c>
      <c r="I179" s="27"/>
    </row>
    <row r="180" spans="1:9">
      <c r="A180" s="21" t="s">
        <v>764</v>
      </c>
      <c r="B180" s="22">
        <v>180</v>
      </c>
      <c r="C180" s="23" t="s">
        <v>2277</v>
      </c>
      <c r="D180" s="23" t="s">
        <v>2278</v>
      </c>
      <c r="E180" s="21">
        <v>0</v>
      </c>
      <c r="F180" s="24" t="s">
        <v>2279</v>
      </c>
      <c r="G180" s="24" t="s">
        <v>2280</v>
      </c>
      <c r="H180" s="25">
        <v>1</v>
      </c>
      <c r="I180" s="27"/>
    </row>
    <row r="181" spans="1:9">
      <c r="A181" s="21" t="s">
        <v>764</v>
      </c>
      <c r="B181" s="22">
        <v>180</v>
      </c>
      <c r="C181" s="23" t="s">
        <v>2281</v>
      </c>
      <c r="D181" s="23" t="s">
        <v>2282</v>
      </c>
      <c r="E181" s="21">
        <v>2</v>
      </c>
      <c r="F181" s="24" t="s">
        <v>2283</v>
      </c>
      <c r="G181" s="24" t="s">
        <v>2284</v>
      </c>
      <c r="H181" s="25">
        <v>1</v>
      </c>
      <c r="I181" s="27"/>
    </row>
    <row r="182" spans="1:9">
      <c r="A182" s="21" t="s">
        <v>764</v>
      </c>
      <c r="B182" s="22">
        <v>180</v>
      </c>
      <c r="C182" s="23" t="s">
        <v>2285</v>
      </c>
      <c r="D182" s="23" t="s">
        <v>2286</v>
      </c>
      <c r="E182" s="21">
        <v>1</v>
      </c>
      <c r="F182" s="24" t="s">
        <v>2287</v>
      </c>
      <c r="G182" s="24" t="s">
        <v>2288</v>
      </c>
      <c r="H182" s="25">
        <v>1</v>
      </c>
      <c r="I182" s="27"/>
    </row>
    <row r="183" spans="1:9">
      <c r="A183" s="21" t="s">
        <v>764</v>
      </c>
      <c r="B183" s="22">
        <v>180</v>
      </c>
      <c r="C183" s="23" t="s">
        <v>2289</v>
      </c>
      <c r="D183" s="23" t="s">
        <v>2290</v>
      </c>
      <c r="E183" s="21">
        <v>0</v>
      </c>
      <c r="F183" s="24" t="s">
        <v>2291</v>
      </c>
      <c r="G183" s="24" t="s">
        <v>2083</v>
      </c>
      <c r="H183" s="25">
        <v>0</v>
      </c>
      <c r="I183" s="27"/>
    </row>
    <row r="184" spans="1:9">
      <c r="A184" s="21" t="s">
        <v>764</v>
      </c>
      <c r="B184" s="22">
        <v>180</v>
      </c>
      <c r="C184" s="23" t="s">
        <v>2292</v>
      </c>
      <c r="D184" s="23" t="s">
        <v>2293</v>
      </c>
      <c r="E184" s="21">
        <v>0</v>
      </c>
      <c r="F184" s="24" t="s">
        <v>2294</v>
      </c>
      <c r="G184" s="24" t="s">
        <v>2295</v>
      </c>
      <c r="H184" s="25">
        <v>0</v>
      </c>
      <c r="I184" s="27"/>
    </row>
    <row r="185" spans="1:9">
      <c r="A185" s="21" t="s">
        <v>764</v>
      </c>
      <c r="B185" s="22">
        <v>180</v>
      </c>
      <c r="C185" s="23" t="s">
        <v>2296</v>
      </c>
      <c r="D185" s="23" t="s">
        <v>2297</v>
      </c>
      <c r="E185" s="21">
        <v>0</v>
      </c>
      <c r="F185" s="24" t="s">
        <v>2298</v>
      </c>
      <c r="G185" s="24" t="s">
        <v>2299</v>
      </c>
      <c r="H185" s="25">
        <v>1</v>
      </c>
      <c r="I185" s="27"/>
    </row>
    <row r="186" spans="1:9">
      <c r="A186" s="21" t="s">
        <v>764</v>
      </c>
      <c r="B186" s="22">
        <v>180</v>
      </c>
      <c r="C186" s="23" t="s">
        <v>2300</v>
      </c>
      <c r="D186" s="23" t="s">
        <v>2301</v>
      </c>
      <c r="E186" s="21">
        <v>0</v>
      </c>
      <c r="F186" s="24" t="s">
        <v>2302</v>
      </c>
      <c r="G186" s="24" t="s">
        <v>2303</v>
      </c>
      <c r="H186" s="25">
        <v>2</v>
      </c>
      <c r="I186" s="27"/>
    </row>
    <row r="187" spans="1:9">
      <c r="A187" s="21" t="s">
        <v>764</v>
      </c>
      <c r="B187" s="22">
        <v>180</v>
      </c>
      <c r="C187" s="23" t="s">
        <v>2304</v>
      </c>
      <c r="D187" s="23" t="s">
        <v>2077</v>
      </c>
      <c r="E187" s="21">
        <v>0</v>
      </c>
      <c r="F187" s="24" t="s">
        <v>2305</v>
      </c>
      <c r="G187" s="24" t="s">
        <v>2306</v>
      </c>
      <c r="H187" s="25">
        <v>0</v>
      </c>
      <c r="I187" s="27"/>
    </row>
    <row r="188" spans="1:9">
      <c r="A188" s="21" t="s">
        <v>764</v>
      </c>
      <c r="B188" s="22">
        <v>180</v>
      </c>
      <c r="C188" s="23" t="s">
        <v>2307</v>
      </c>
      <c r="D188" s="23" t="s">
        <v>2308</v>
      </c>
      <c r="E188" s="21">
        <v>0</v>
      </c>
      <c r="F188" s="27"/>
      <c r="G188" s="27"/>
      <c r="H188" s="10"/>
      <c r="I188" s="27"/>
    </row>
    <row r="189" spans="1:9">
      <c r="A189" s="21" t="s">
        <v>764</v>
      </c>
      <c r="B189" s="22">
        <v>180</v>
      </c>
      <c r="C189" s="23" t="s">
        <v>2309</v>
      </c>
      <c r="D189" s="23" t="s">
        <v>2310</v>
      </c>
      <c r="E189" s="21">
        <v>0</v>
      </c>
      <c r="F189" s="27"/>
      <c r="G189" s="27"/>
      <c r="H189" s="10"/>
      <c r="I189" s="27"/>
    </row>
    <row r="190" ht="42" spans="1:9">
      <c r="A190" s="21" t="s">
        <v>1908</v>
      </c>
      <c r="B190" s="22">
        <v>180</v>
      </c>
      <c r="C190" s="24" t="s">
        <v>2311</v>
      </c>
      <c r="D190" s="24" t="s">
        <v>2312</v>
      </c>
      <c r="E190" s="21">
        <v>0</v>
      </c>
      <c r="F190" s="24" t="s">
        <v>2313</v>
      </c>
      <c r="G190" s="24" t="s">
        <v>2314</v>
      </c>
      <c r="H190" s="21">
        <v>2</v>
      </c>
      <c r="I190" s="27"/>
    </row>
    <row r="191" ht="42" spans="1:9">
      <c r="A191" s="21" t="s">
        <v>1908</v>
      </c>
      <c r="B191" s="22">
        <v>180</v>
      </c>
      <c r="C191" s="24" t="s">
        <v>2315</v>
      </c>
      <c r="D191" s="24" t="s">
        <v>2316</v>
      </c>
      <c r="E191" s="21">
        <v>0</v>
      </c>
      <c r="F191" s="24" t="s">
        <v>2317</v>
      </c>
      <c r="G191" s="24" t="s">
        <v>2318</v>
      </c>
      <c r="H191" s="21">
        <v>3</v>
      </c>
      <c r="I191" s="27"/>
    </row>
    <row r="192" ht="42" spans="1:9">
      <c r="A192" s="21" t="s">
        <v>1908</v>
      </c>
      <c r="B192" s="22">
        <v>180</v>
      </c>
      <c r="C192" s="24" t="s">
        <v>2319</v>
      </c>
      <c r="D192" s="24" t="s">
        <v>2320</v>
      </c>
      <c r="E192" s="21">
        <v>0</v>
      </c>
      <c r="F192" s="24" t="s">
        <v>2321</v>
      </c>
      <c r="G192" s="24" t="s">
        <v>2322</v>
      </c>
      <c r="H192" s="21">
        <v>2</v>
      </c>
      <c r="I192" s="27"/>
    </row>
    <row r="193" ht="42" spans="1:9">
      <c r="A193" s="21" t="s">
        <v>1908</v>
      </c>
      <c r="B193" s="22">
        <v>180</v>
      </c>
      <c r="C193" s="24" t="s">
        <v>2323</v>
      </c>
      <c r="D193" s="24" t="s">
        <v>2324</v>
      </c>
      <c r="E193" s="21">
        <v>0</v>
      </c>
      <c r="F193" s="24" t="s">
        <v>2325</v>
      </c>
      <c r="G193" s="24" t="s">
        <v>2326</v>
      </c>
      <c r="H193" s="21">
        <v>1</v>
      </c>
      <c r="I193" s="27"/>
    </row>
    <row r="194" ht="42" spans="1:9">
      <c r="A194" s="21" t="s">
        <v>1908</v>
      </c>
      <c r="B194" s="22">
        <v>180</v>
      </c>
      <c r="C194" s="24" t="s">
        <v>2327</v>
      </c>
      <c r="D194" s="24" t="s">
        <v>2328</v>
      </c>
      <c r="E194" s="21">
        <v>0</v>
      </c>
      <c r="F194" s="24" t="s">
        <v>2329</v>
      </c>
      <c r="G194" s="24" t="s">
        <v>2330</v>
      </c>
      <c r="H194" s="21">
        <v>3</v>
      </c>
      <c r="I194" s="27"/>
    </row>
    <row r="195" ht="42" spans="1:9">
      <c r="A195" s="21" t="s">
        <v>1908</v>
      </c>
      <c r="B195" s="22">
        <v>180</v>
      </c>
      <c r="C195" s="24" t="s">
        <v>2331</v>
      </c>
      <c r="D195" s="24" t="s">
        <v>2332</v>
      </c>
      <c r="E195" s="21">
        <v>0</v>
      </c>
      <c r="F195" s="24" t="s">
        <v>2333</v>
      </c>
      <c r="G195" s="24" t="s">
        <v>2334</v>
      </c>
      <c r="H195" s="21">
        <v>2</v>
      </c>
      <c r="I195" s="27"/>
    </row>
    <row r="196" ht="42" spans="1:9">
      <c r="A196" s="21" t="s">
        <v>1908</v>
      </c>
      <c r="B196" s="22">
        <v>180</v>
      </c>
      <c r="C196" s="24" t="s">
        <v>2335</v>
      </c>
      <c r="D196" s="24" t="s">
        <v>2336</v>
      </c>
      <c r="E196" s="21">
        <v>0</v>
      </c>
      <c r="F196" s="24" t="s">
        <v>2337</v>
      </c>
      <c r="G196" s="24" t="s">
        <v>2338</v>
      </c>
      <c r="H196" s="21">
        <v>1</v>
      </c>
      <c r="I196" s="27"/>
    </row>
    <row r="197" ht="42" spans="1:9">
      <c r="A197" s="21" t="s">
        <v>1908</v>
      </c>
      <c r="B197" s="22">
        <v>180</v>
      </c>
      <c r="C197" s="24" t="s">
        <v>2339</v>
      </c>
      <c r="D197" s="24" t="s">
        <v>2340</v>
      </c>
      <c r="E197" s="21">
        <v>0</v>
      </c>
      <c r="F197" s="24" t="s">
        <v>2341</v>
      </c>
      <c r="G197" s="24" t="s">
        <v>2342</v>
      </c>
      <c r="H197" s="21">
        <v>1</v>
      </c>
      <c r="I197" s="27"/>
    </row>
    <row r="198" ht="42" spans="1:9">
      <c r="A198" s="21" t="s">
        <v>1908</v>
      </c>
      <c r="B198" s="22">
        <v>180</v>
      </c>
      <c r="C198" s="24" t="s">
        <v>2343</v>
      </c>
      <c r="D198" s="24" t="s">
        <v>2344</v>
      </c>
      <c r="E198" s="21">
        <v>0</v>
      </c>
      <c r="F198" s="24" t="s">
        <v>2345</v>
      </c>
      <c r="G198" s="24" t="s">
        <v>2346</v>
      </c>
      <c r="H198" s="21">
        <v>0</v>
      </c>
      <c r="I198" s="27"/>
    </row>
    <row r="199" ht="42" spans="1:9">
      <c r="A199" s="21" t="s">
        <v>1908</v>
      </c>
      <c r="B199" s="22">
        <v>180</v>
      </c>
      <c r="C199" s="24" t="s">
        <v>2347</v>
      </c>
      <c r="D199" s="24" t="s">
        <v>2344</v>
      </c>
      <c r="E199" s="21">
        <v>0</v>
      </c>
      <c r="F199" s="24" t="s">
        <v>2348</v>
      </c>
      <c r="G199" s="24" t="s">
        <v>2349</v>
      </c>
      <c r="H199" s="21">
        <v>4</v>
      </c>
      <c r="I199" s="27"/>
    </row>
    <row r="200" ht="56" spans="1:9">
      <c r="A200" s="21" t="s">
        <v>1908</v>
      </c>
      <c r="B200" s="22">
        <v>180</v>
      </c>
      <c r="C200" s="24" t="s">
        <v>2350</v>
      </c>
      <c r="D200" s="24" t="s">
        <v>2351</v>
      </c>
      <c r="E200" s="21">
        <v>0</v>
      </c>
      <c r="F200" s="24" t="s">
        <v>2352</v>
      </c>
      <c r="G200" s="24" t="s">
        <v>2353</v>
      </c>
      <c r="H200" s="21">
        <v>3</v>
      </c>
      <c r="I200" s="27"/>
    </row>
    <row r="201" ht="42" spans="1:9">
      <c r="A201" s="21" t="s">
        <v>1908</v>
      </c>
      <c r="B201" s="22">
        <v>180</v>
      </c>
      <c r="C201" s="24"/>
      <c r="D201" s="24"/>
      <c r="E201" s="21"/>
      <c r="F201" s="24" t="s">
        <v>2354</v>
      </c>
      <c r="G201" s="24" t="s">
        <v>2355</v>
      </c>
      <c r="H201" s="21">
        <v>3</v>
      </c>
      <c r="I201" s="27"/>
    </row>
    <row r="202" ht="56" spans="1:9">
      <c r="A202" s="21" t="s">
        <v>1908</v>
      </c>
      <c r="B202" s="22">
        <v>180</v>
      </c>
      <c r="C202" s="24"/>
      <c r="D202" s="24"/>
      <c r="E202" s="21"/>
      <c r="F202" s="24" t="s">
        <v>2356</v>
      </c>
      <c r="G202" s="24" t="s">
        <v>2357</v>
      </c>
      <c r="H202" s="21">
        <v>0</v>
      </c>
      <c r="I202" s="27"/>
    </row>
    <row r="203" ht="56" spans="1:9">
      <c r="A203" s="21" t="s">
        <v>1908</v>
      </c>
      <c r="B203" s="22">
        <v>180</v>
      </c>
      <c r="C203" s="24"/>
      <c r="D203" s="24"/>
      <c r="E203" s="21"/>
      <c r="F203" s="24" t="s">
        <v>2358</v>
      </c>
      <c r="G203" s="24" t="s">
        <v>2359</v>
      </c>
      <c r="H203" s="21">
        <v>1</v>
      </c>
      <c r="I203" s="27"/>
    </row>
    <row r="204" ht="42" spans="1:9">
      <c r="A204" s="21" t="s">
        <v>1908</v>
      </c>
      <c r="B204" s="22">
        <v>180</v>
      </c>
      <c r="C204" s="24"/>
      <c r="D204" s="24"/>
      <c r="E204" s="21"/>
      <c r="F204" s="24" t="s">
        <v>2360</v>
      </c>
      <c r="G204" s="24" t="s">
        <v>2361</v>
      </c>
      <c r="H204" s="21">
        <v>0</v>
      </c>
      <c r="I204" s="27"/>
    </row>
    <row r="205" ht="42" spans="1:9">
      <c r="A205" s="21" t="s">
        <v>1908</v>
      </c>
      <c r="B205" s="22">
        <v>180</v>
      </c>
      <c r="C205" s="24"/>
      <c r="D205" s="24"/>
      <c r="E205" s="21"/>
      <c r="F205" s="24" t="s">
        <v>2362</v>
      </c>
      <c r="G205" s="24" t="s">
        <v>2361</v>
      </c>
      <c r="H205" s="21">
        <v>0</v>
      </c>
      <c r="I205" s="27"/>
    </row>
    <row r="206" ht="42" spans="1:9">
      <c r="A206" s="21" t="s">
        <v>1908</v>
      </c>
      <c r="B206" s="22">
        <v>180</v>
      </c>
      <c r="C206" s="24"/>
      <c r="D206" s="24"/>
      <c r="E206" s="21"/>
      <c r="F206" s="24" t="s">
        <v>2363</v>
      </c>
      <c r="G206" s="24" t="s">
        <v>2364</v>
      </c>
      <c r="H206" s="21">
        <v>0</v>
      </c>
      <c r="I206" s="27"/>
    </row>
    <row r="207" ht="42" spans="1:9">
      <c r="A207" s="21" t="s">
        <v>1908</v>
      </c>
      <c r="B207" s="22">
        <v>180</v>
      </c>
      <c r="C207" s="24"/>
      <c r="D207" s="24"/>
      <c r="E207" s="21"/>
      <c r="F207" s="24" t="s">
        <v>2365</v>
      </c>
      <c r="G207" s="24" t="s">
        <v>2366</v>
      </c>
      <c r="H207" s="21">
        <v>0</v>
      </c>
      <c r="I207" s="27"/>
    </row>
    <row r="208" ht="42" spans="1:9">
      <c r="A208" s="21" t="s">
        <v>1908</v>
      </c>
      <c r="B208" s="22">
        <v>180</v>
      </c>
      <c r="C208" s="24"/>
      <c r="D208" s="24"/>
      <c r="E208" s="21"/>
      <c r="F208" s="24" t="s">
        <v>2367</v>
      </c>
      <c r="G208" s="24" t="s">
        <v>2368</v>
      </c>
      <c r="H208" s="21">
        <v>1</v>
      </c>
      <c r="I208" s="27"/>
    </row>
    <row r="209" ht="28" spans="1:9">
      <c r="A209" s="21" t="s">
        <v>1908</v>
      </c>
      <c r="B209" s="22">
        <v>180</v>
      </c>
      <c r="C209" s="24"/>
      <c r="D209" s="24"/>
      <c r="E209" s="21"/>
      <c r="F209" s="24" t="s">
        <v>2369</v>
      </c>
      <c r="G209" s="24" t="s">
        <v>2370</v>
      </c>
      <c r="H209" s="21">
        <v>3</v>
      </c>
      <c r="I209" s="27"/>
    </row>
    <row r="210" ht="28" spans="1:9">
      <c r="A210" s="21" t="s">
        <v>1908</v>
      </c>
      <c r="B210" s="22">
        <v>180</v>
      </c>
      <c r="C210" s="24"/>
      <c r="D210" s="24"/>
      <c r="E210" s="21"/>
      <c r="F210" s="24" t="s">
        <v>2371</v>
      </c>
      <c r="G210" s="24" t="s">
        <v>2370</v>
      </c>
      <c r="H210" s="21">
        <v>0</v>
      </c>
      <c r="I210" s="27"/>
    </row>
    <row r="211" ht="28" spans="1:9">
      <c r="A211" s="21" t="s">
        <v>1908</v>
      </c>
      <c r="B211" s="22">
        <v>180</v>
      </c>
      <c r="C211" s="24"/>
      <c r="D211" s="24"/>
      <c r="E211" s="21"/>
      <c r="F211" s="24" t="s">
        <v>2372</v>
      </c>
      <c r="G211" s="24" t="s">
        <v>2370</v>
      </c>
      <c r="H211" s="21">
        <v>1</v>
      </c>
      <c r="I211" s="27"/>
    </row>
    <row r="212" spans="1:9">
      <c r="A212" s="21" t="s">
        <v>1908</v>
      </c>
      <c r="B212" s="22">
        <v>180</v>
      </c>
      <c r="C212" s="24"/>
      <c r="D212" s="24"/>
      <c r="E212" s="21"/>
      <c r="F212" s="24" t="s">
        <v>2373</v>
      </c>
      <c r="G212" s="24" t="s">
        <v>2374</v>
      </c>
      <c r="H212" s="21">
        <v>0</v>
      </c>
      <c r="I212" s="27"/>
    </row>
    <row r="213" spans="1:9">
      <c r="A213" s="21" t="s">
        <v>1908</v>
      </c>
      <c r="B213" s="22">
        <v>180</v>
      </c>
      <c r="C213" s="24"/>
      <c r="D213" s="24"/>
      <c r="E213" s="21"/>
      <c r="F213" s="24" t="s">
        <v>2375</v>
      </c>
      <c r="G213" s="24" t="s">
        <v>2376</v>
      </c>
      <c r="H213" s="21">
        <v>0</v>
      </c>
      <c r="I213" s="27"/>
    </row>
    <row r="214" spans="1:9">
      <c r="A214" s="21" t="s">
        <v>1908</v>
      </c>
      <c r="B214" s="22">
        <v>180</v>
      </c>
      <c r="C214" s="24"/>
      <c r="D214" s="24"/>
      <c r="E214" s="21"/>
      <c r="F214" s="24" t="s">
        <v>2377</v>
      </c>
      <c r="G214" s="24" t="s">
        <v>2378</v>
      </c>
      <c r="H214" s="21">
        <v>0</v>
      </c>
      <c r="I214" s="27"/>
    </row>
    <row r="215" spans="1:9">
      <c r="A215" s="21" t="s">
        <v>1908</v>
      </c>
      <c r="B215" s="22">
        <v>180</v>
      </c>
      <c r="C215" s="24"/>
      <c r="D215" s="24"/>
      <c r="E215" s="21"/>
      <c r="F215" s="24" t="s">
        <v>2379</v>
      </c>
      <c r="G215" s="24" t="s">
        <v>2380</v>
      </c>
      <c r="H215" s="21" t="s">
        <v>2144</v>
      </c>
      <c r="I215" s="27"/>
    </row>
    <row r="216" ht="70" spans="1:9">
      <c r="A216" s="21" t="s">
        <v>1931</v>
      </c>
      <c r="B216" s="22">
        <v>180</v>
      </c>
      <c r="C216" s="24" t="s">
        <v>2381</v>
      </c>
      <c r="D216" s="24" t="s">
        <v>2382</v>
      </c>
      <c r="E216" s="21">
        <v>0</v>
      </c>
      <c r="F216" s="24" t="s">
        <v>2383</v>
      </c>
      <c r="G216" s="24" t="s">
        <v>2384</v>
      </c>
      <c r="H216" s="25">
        <v>3</v>
      </c>
      <c r="I216" s="27"/>
    </row>
    <row r="217" ht="56" spans="1:9">
      <c r="A217" s="21" t="s">
        <v>1931</v>
      </c>
      <c r="B217" s="22">
        <v>180</v>
      </c>
      <c r="C217" s="24" t="s">
        <v>2385</v>
      </c>
      <c r="D217" s="24" t="s">
        <v>2386</v>
      </c>
      <c r="E217" s="21">
        <v>0</v>
      </c>
      <c r="F217" s="24" t="s">
        <v>2387</v>
      </c>
      <c r="G217" s="24" t="s">
        <v>2388</v>
      </c>
      <c r="H217" s="25">
        <v>1</v>
      </c>
      <c r="I217" s="27"/>
    </row>
    <row r="218" ht="56" spans="1:9">
      <c r="A218" s="21" t="s">
        <v>1931</v>
      </c>
      <c r="B218" s="22">
        <v>180</v>
      </c>
      <c r="C218" s="24" t="s">
        <v>2389</v>
      </c>
      <c r="D218" s="24" t="s">
        <v>2390</v>
      </c>
      <c r="E218" s="21">
        <v>0</v>
      </c>
      <c r="F218" s="24" t="s">
        <v>2391</v>
      </c>
      <c r="G218" s="24" t="s">
        <v>2392</v>
      </c>
      <c r="H218" s="25">
        <v>1</v>
      </c>
      <c r="I218" s="27"/>
    </row>
    <row r="219" ht="56" spans="1:9">
      <c r="A219" s="21" t="s">
        <v>1731</v>
      </c>
      <c r="B219" s="22">
        <v>210</v>
      </c>
      <c r="C219" s="23" t="s">
        <v>2393</v>
      </c>
      <c r="D219" s="23" t="s">
        <v>2394</v>
      </c>
      <c r="E219" s="21">
        <v>0</v>
      </c>
      <c r="F219" s="24" t="s">
        <v>2395</v>
      </c>
      <c r="G219" s="24" t="s">
        <v>2396</v>
      </c>
      <c r="H219" s="25">
        <v>2</v>
      </c>
      <c r="I219" s="27"/>
    </row>
    <row r="220" ht="28" spans="1:9">
      <c r="A220" s="21" t="s">
        <v>1731</v>
      </c>
      <c r="B220" s="22">
        <v>210</v>
      </c>
      <c r="C220" s="23" t="s">
        <v>2397</v>
      </c>
      <c r="D220" s="23" t="s">
        <v>2398</v>
      </c>
      <c r="E220" s="21">
        <v>0</v>
      </c>
      <c r="F220" s="24" t="s">
        <v>2399</v>
      </c>
      <c r="G220" s="24" t="s">
        <v>2400</v>
      </c>
      <c r="H220" s="25">
        <v>0</v>
      </c>
      <c r="I220" s="27"/>
    </row>
    <row r="221" ht="56" spans="1:9">
      <c r="A221" s="21" t="s">
        <v>1731</v>
      </c>
      <c r="B221" s="22">
        <v>210</v>
      </c>
      <c r="C221" s="23" t="s">
        <v>2401</v>
      </c>
      <c r="D221" s="23" t="s">
        <v>2402</v>
      </c>
      <c r="E221" s="21">
        <v>0</v>
      </c>
      <c r="F221" s="24" t="s">
        <v>2403</v>
      </c>
      <c r="G221" s="24" t="s">
        <v>2404</v>
      </c>
      <c r="H221" s="25">
        <v>2</v>
      </c>
      <c r="I221" s="27"/>
    </row>
    <row r="222" ht="42" spans="1:9">
      <c r="A222" s="21" t="s">
        <v>1731</v>
      </c>
      <c r="B222" s="22">
        <v>210</v>
      </c>
      <c r="C222" s="23" t="s">
        <v>2405</v>
      </c>
      <c r="D222" s="23" t="s">
        <v>2406</v>
      </c>
      <c r="E222" s="21">
        <v>0</v>
      </c>
      <c r="F222" s="24" t="s">
        <v>2407</v>
      </c>
      <c r="G222" s="24" t="s">
        <v>2408</v>
      </c>
      <c r="H222" s="25">
        <v>0</v>
      </c>
      <c r="I222" s="27"/>
    </row>
    <row r="223" ht="56" spans="1:9">
      <c r="A223" s="21" t="s">
        <v>1731</v>
      </c>
      <c r="B223" s="22">
        <v>210</v>
      </c>
      <c r="C223" s="23" t="s">
        <v>2409</v>
      </c>
      <c r="D223" s="23" t="s">
        <v>2410</v>
      </c>
      <c r="E223" s="21">
        <v>0</v>
      </c>
      <c r="F223" s="24" t="s">
        <v>2411</v>
      </c>
      <c r="G223" s="24" t="s">
        <v>2412</v>
      </c>
      <c r="H223" s="25">
        <v>2</v>
      </c>
      <c r="I223" s="27"/>
    </row>
    <row r="224" ht="56" spans="1:9">
      <c r="A224" s="21" t="s">
        <v>1731</v>
      </c>
      <c r="B224" s="22">
        <v>210</v>
      </c>
      <c r="C224" s="23" t="s">
        <v>2413</v>
      </c>
      <c r="D224" s="23" t="s">
        <v>2414</v>
      </c>
      <c r="E224" s="21">
        <v>0</v>
      </c>
      <c r="F224" s="24" t="s">
        <v>2415</v>
      </c>
      <c r="G224" s="24" t="s">
        <v>2416</v>
      </c>
      <c r="H224" s="25">
        <v>2</v>
      </c>
      <c r="I224" s="27"/>
    </row>
    <row r="225" ht="56" spans="1:9">
      <c r="A225" s="21" t="s">
        <v>1731</v>
      </c>
      <c r="B225" s="22">
        <v>210</v>
      </c>
      <c r="C225" s="23" t="s">
        <v>2417</v>
      </c>
      <c r="D225" s="23" t="s">
        <v>2418</v>
      </c>
      <c r="E225" s="21">
        <v>0</v>
      </c>
      <c r="F225" s="24" t="s">
        <v>2419</v>
      </c>
      <c r="G225" s="24" t="s">
        <v>2420</v>
      </c>
      <c r="H225" s="25">
        <v>3</v>
      </c>
      <c r="I225" s="27"/>
    </row>
    <row r="226" ht="42" spans="1:9">
      <c r="A226" s="21" t="s">
        <v>1731</v>
      </c>
      <c r="B226" s="22">
        <v>210</v>
      </c>
      <c r="C226" s="23" t="s">
        <v>2421</v>
      </c>
      <c r="D226" s="23" t="s">
        <v>2422</v>
      </c>
      <c r="E226" s="21">
        <v>0</v>
      </c>
      <c r="F226" s="24" t="s">
        <v>2423</v>
      </c>
      <c r="G226" s="24" t="s">
        <v>2424</v>
      </c>
      <c r="H226" s="25">
        <v>0</v>
      </c>
      <c r="I226" s="27"/>
    </row>
    <row r="227" ht="42" spans="1:9">
      <c r="A227" s="21" t="s">
        <v>1731</v>
      </c>
      <c r="B227" s="22">
        <v>210</v>
      </c>
      <c r="C227" s="23"/>
      <c r="D227" s="23"/>
      <c r="E227" s="21"/>
      <c r="F227" s="24" t="s">
        <v>2425</v>
      </c>
      <c r="G227" s="24" t="s">
        <v>2426</v>
      </c>
      <c r="H227" s="10">
        <v>0</v>
      </c>
      <c r="I227" s="27"/>
    </row>
    <row r="228" ht="42" spans="1:9">
      <c r="A228" s="21" t="s">
        <v>1731</v>
      </c>
      <c r="B228" s="22">
        <v>210</v>
      </c>
      <c r="C228" s="23"/>
      <c r="D228" s="23"/>
      <c r="E228" s="21"/>
      <c r="F228" s="24" t="s">
        <v>2427</v>
      </c>
      <c r="G228" s="24" t="s">
        <v>2428</v>
      </c>
      <c r="H228" s="10">
        <v>0</v>
      </c>
      <c r="I228" s="27"/>
    </row>
    <row r="229" ht="42" spans="1:9">
      <c r="A229" s="21" t="s">
        <v>1731</v>
      </c>
      <c r="B229" s="22">
        <v>210</v>
      </c>
      <c r="C229" s="23"/>
      <c r="D229" s="23"/>
      <c r="E229" s="21"/>
      <c r="F229" s="24" t="s">
        <v>2429</v>
      </c>
      <c r="G229" s="24" t="s">
        <v>2430</v>
      </c>
      <c r="H229" s="10">
        <v>0</v>
      </c>
      <c r="I229" s="27"/>
    </row>
    <row r="230" ht="42" spans="1:9">
      <c r="A230" s="21" t="s">
        <v>1731</v>
      </c>
      <c r="B230" s="22">
        <v>210</v>
      </c>
      <c r="C230" s="23"/>
      <c r="D230" s="23"/>
      <c r="E230" s="21"/>
      <c r="F230" s="24" t="s">
        <v>2431</v>
      </c>
      <c r="G230" s="24" t="s">
        <v>2432</v>
      </c>
      <c r="H230" s="10">
        <v>0</v>
      </c>
      <c r="I230" s="27"/>
    </row>
    <row r="231" ht="28" spans="1:9">
      <c r="A231" s="21" t="s">
        <v>1731</v>
      </c>
      <c r="B231" s="22">
        <v>210</v>
      </c>
      <c r="C231" s="23"/>
      <c r="D231" s="23"/>
      <c r="E231" s="21"/>
      <c r="F231" s="24" t="s">
        <v>2433</v>
      </c>
      <c r="G231" s="24" t="s">
        <v>2434</v>
      </c>
      <c r="H231" s="10">
        <v>1</v>
      </c>
      <c r="I231" s="27"/>
    </row>
    <row r="232" ht="28" spans="1:9">
      <c r="A232" s="21" t="s">
        <v>1731</v>
      </c>
      <c r="B232" s="22">
        <v>210</v>
      </c>
      <c r="C232" s="23"/>
      <c r="D232" s="23"/>
      <c r="E232" s="21"/>
      <c r="F232" s="24" t="s">
        <v>2435</v>
      </c>
      <c r="G232" s="24" t="s">
        <v>2436</v>
      </c>
      <c r="H232" s="10">
        <v>0</v>
      </c>
      <c r="I232" s="27"/>
    </row>
    <row r="233" ht="28" spans="1:9">
      <c r="A233" s="21" t="s">
        <v>1731</v>
      </c>
      <c r="B233" s="22">
        <v>210</v>
      </c>
      <c r="C233" s="23"/>
      <c r="D233" s="23"/>
      <c r="E233" s="21"/>
      <c r="F233" s="24" t="s">
        <v>2437</v>
      </c>
      <c r="G233" s="24" t="s">
        <v>2438</v>
      </c>
      <c r="H233" s="10">
        <v>0</v>
      </c>
      <c r="I233" s="27"/>
    </row>
    <row r="234" ht="28" spans="1:9">
      <c r="A234" s="21" t="s">
        <v>1731</v>
      </c>
      <c r="B234" s="22">
        <v>210</v>
      </c>
      <c r="C234" s="23"/>
      <c r="D234" s="23"/>
      <c r="E234" s="21"/>
      <c r="F234" s="24" t="s">
        <v>2439</v>
      </c>
      <c r="G234" s="24" t="s">
        <v>2440</v>
      </c>
      <c r="H234" s="10">
        <v>0</v>
      </c>
      <c r="I234" s="27"/>
    </row>
    <row r="235" ht="28" spans="1:9">
      <c r="A235" s="21" t="s">
        <v>1731</v>
      </c>
      <c r="B235" s="22">
        <v>210</v>
      </c>
      <c r="C235" s="23"/>
      <c r="D235" s="23"/>
      <c r="E235" s="21"/>
      <c r="F235" s="24" t="s">
        <v>2441</v>
      </c>
      <c r="G235" s="24" t="s">
        <v>2442</v>
      </c>
      <c r="H235" s="10">
        <v>0</v>
      </c>
      <c r="I235" s="27"/>
    </row>
    <row r="236" ht="28" spans="1:9">
      <c r="A236" s="21" t="s">
        <v>1731</v>
      </c>
      <c r="B236" s="22">
        <v>210</v>
      </c>
      <c r="C236" s="23"/>
      <c r="D236" s="23"/>
      <c r="E236" s="21"/>
      <c r="F236" s="24" t="s">
        <v>2443</v>
      </c>
      <c r="G236" s="24" t="s">
        <v>2444</v>
      </c>
      <c r="H236" s="10">
        <v>0</v>
      </c>
      <c r="I236" s="27"/>
    </row>
    <row r="237" ht="28" spans="1:9">
      <c r="A237" s="21" t="s">
        <v>1731</v>
      </c>
      <c r="B237" s="22">
        <v>210</v>
      </c>
      <c r="C237" s="23"/>
      <c r="D237" s="23"/>
      <c r="E237" s="21"/>
      <c r="F237" s="24" t="s">
        <v>2445</v>
      </c>
      <c r="G237" s="24" t="s">
        <v>2446</v>
      </c>
      <c r="H237" s="10">
        <v>0</v>
      </c>
      <c r="I237" s="27"/>
    </row>
    <row r="238" ht="28" spans="1:9">
      <c r="A238" s="21" t="s">
        <v>1731</v>
      </c>
      <c r="B238" s="22">
        <v>210</v>
      </c>
      <c r="C238" s="23"/>
      <c r="D238" s="23"/>
      <c r="E238" s="21"/>
      <c r="F238" s="24" t="s">
        <v>2447</v>
      </c>
      <c r="G238" s="24" t="s">
        <v>2448</v>
      </c>
      <c r="H238" s="10">
        <v>0</v>
      </c>
      <c r="I238" s="27"/>
    </row>
    <row r="239" ht="42" spans="1:9">
      <c r="A239" s="21" t="s">
        <v>1731</v>
      </c>
      <c r="B239" s="22">
        <v>210</v>
      </c>
      <c r="C239" s="23"/>
      <c r="D239" s="23"/>
      <c r="E239" s="21"/>
      <c r="F239" s="24" t="s">
        <v>2449</v>
      </c>
      <c r="G239" s="24" t="s">
        <v>2450</v>
      </c>
      <c r="H239" s="10">
        <v>0</v>
      </c>
      <c r="I239" s="27"/>
    </row>
    <row r="240" ht="28" spans="1:9">
      <c r="A240" s="21" t="s">
        <v>1731</v>
      </c>
      <c r="B240" s="22">
        <v>210</v>
      </c>
      <c r="C240" s="23"/>
      <c r="D240" s="23"/>
      <c r="E240" s="21"/>
      <c r="F240" s="24" t="s">
        <v>2451</v>
      </c>
      <c r="G240" s="24" t="s">
        <v>2452</v>
      </c>
      <c r="H240" s="10">
        <v>0</v>
      </c>
      <c r="I240" s="27"/>
    </row>
    <row r="241" ht="28" spans="1:9">
      <c r="A241" s="21" t="s">
        <v>1731</v>
      </c>
      <c r="B241" s="22">
        <v>210</v>
      </c>
      <c r="C241" s="23"/>
      <c r="D241" s="23"/>
      <c r="E241" s="21"/>
      <c r="F241" s="24" t="s">
        <v>2453</v>
      </c>
      <c r="G241" s="24" t="s">
        <v>2454</v>
      </c>
      <c r="H241" s="10">
        <v>1</v>
      </c>
      <c r="I241" s="27"/>
    </row>
    <row r="242" ht="28" spans="1:9">
      <c r="A242" s="21" t="s">
        <v>1731</v>
      </c>
      <c r="B242" s="22">
        <v>210</v>
      </c>
      <c r="C242" s="23"/>
      <c r="D242" s="23"/>
      <c r="E242" s="21"/>
      <c r="F242" s="24" t="s">
        <v>2455</v>
      </c>
      <c r="G242" s="24" t="s">
        <v>2456</v>
      </c>
      <c r="H242" s="10">
        <v>1</v>
      </c>
      <c r="I242" s="27"/>
    </row>
    <row r="243" spans="1:9">
      <c r="A243" s="21" t="s">
        <v>1731</v>
      </c>
      <c r="B243" s="22">
        <v>210</v>
      </c>
      <c r="C243" s="23"/>
      <c r="D243" s="23"/>
      <c r="E243" s="21"/>
      <c r="F243" s="24" t="s">
        <v>2457</v>
      </c>
      <c r="G243" s="24" t="s">
        <v>2458</v>
      </c>
      <c r="H243" s="10">
        <v>0</v>
      </c>
      <c r="I243" s="27"/>
    </row>
    <row r="244" spans="1:9">
      <c r="A244" s="21" t="s">
        <v>1731</v>
      </c>
      <c r="B244" s="22">
        <v>210</v>
      </c>
      <c r="C244" s="23"/>
      <c r="D244" s="23"/>
      <c r="E244" s="21"/>
      <c r="F244" s="24" t="s">
        <v>2459</v>
      </c>
      <c r="G244" s="24" t="s">
        <v>2458</v>
      </c>
      <c r="H244" s="10">
        <v>0</v>
      </c>
      <c r="I244" s="27"/>
    </row>
    <row r="245" ht="28" spans="1:9">
      <c r="A245" s="21" t="s">
        <v>1731</v>
      </c>
      <c r="B245" s="22">
        <v>210</v>
      </c>
      <c r="C245" s="23"/>
      <c r="D245" s="23"/>
      <c r="E245" s="21"/>
      <c r="F245" s="24" t="s">
        <v>2460</v>
      </c>
      <c r="G245" s="24" t="s">
        <v>2461</v>
      </c>
      <c r="H245" s="10">
        <v>0</v>
      </c>
      <c r="I245" s="27"/>
    </row>
    <row r="246" ht="28" spans="1:9">
      <c r="A246" s="21" t="s">
        <v>1731</v>
      </c>
      <c r="B246" s="22">
        <v>210</v>
      </c>
      <c r="C246" s="23"/>
      <c r="D246" s="23"/>
      <c r="E246" s="21"/>
      <c r="F246" s="24" t="s">
        <v>2462</v>
      </c>
      <c r="G246" s="24" t="s">
        <v>2463</v>
      </c>
      <c r="H246" s="10">
        <v>0</v>
      </c>
      <c r="I246" s="27"/>
    </row>
    <row r="247" ht="28" spans="1:9">
      <c r="A247" s="21" t="s">
        <v>1731</v>
      </c>
      <c r="B247" s="22">
        <v>210</v>
      </c>
      <c r="C247" s="23"/>
      <c r="D247" s="23"/>
      <c r="E247" s="21"/>
      <c r="F247" s="24" t="s">
        <v>2464</v>
      </c>
      <c r="G247" s="24" t="s">
        <v>2465</v>
      </c>
      <c r="H247" s="10">
        <v>1</v>
      </c>
      <c r="I247" s="27"/>
    </row>
    <row r="248" ht="56" spans="1:9">
      <c r="A248" s="21" t="s">
        <v>1731</v>
      </c>
      <c r="B248" s="22">
        <v>220</v>
      </c>
      <c r="C248" s="23" t="s">
        <v>2466</v>
      </c>
      <c r="D248" s="23" t="s">
        <v>2467</v>
      </c>
      <c r="E248" s="21">
        <v>0</v>
      </c>
      <c r="F248" s="24" t="s">
        <v>2468</v>
      </c>
      <c r="G248" s="24" t="s">
        <v>2469</v>
      </c>
      <c r="H248" s="25">
        <v>3</v>
      </c>
      <c r="I248" s="27"/>
    </row>
    <row r="249" ht="56" spans="1:9">
      <c r="A249" s="21" t="s">
        <v>1731</v>
      </c>
      <c r="B249" s="22">
        <v>220</v>
      </c>
      <c r="C249" s="23" t="s">
        <v>2470</v>
      </c>
      <c r="D249" s="23" t="s">
        <v>2471</v>
      </c>
      <c r="E249" s="21">
        <v>0</v>
      </c>
      <c r="F249" s="24" t="s">
        <v>2472</v>
      </c>
      <c r="G249" s="24" t="s">
        <v>2473</v>
      </c>
      <c r="H249" s="25">
        <v>0</v>
      </c>
      <c r="I249" s="27"/>
    </row>
    <row r="250" ht="56" spans="1:9">
      <c r="A250" s="21" t="s">
        <v>1731</v>
      </c>
      <c r="B250" s="22">
        <v>220</v>
      </c>
      <c r="C250" s="23" t="s">
        <v>2474</v>
      </c>
      <c r="D250" s="23" t="s">
        <v>2475</v>
      </c>
      <c r="E250" s="21">
        <v>0</v>
      </c>
      <c r="F250" s="24" t="s">
        <v>2476</v>
      </c>
      <c r="G250" s="24" t="s">
        <v>2477</v>
      </c>
      <c r="H250" s="25">
        <v>3</v>
      </c>
      <c r="I250" s="27"/>
    </row>
    <row r="251" ht="56" spans="1:9">
      <c r="A251" s="21" t="s">
        <v>1731</v>
      </c>
      <c r="B251" s="22">
        <v>220</v>
      </c>
      <c r="C251" s="23" t="s">
        <v>2478</v>
      </c>
      <c r="D251" s="23" t="s">
        <v>2479</v>
      </c>
      <c r="E251" s="21">
        <v>0</v>
      </c>
      <c r="F251" s="24" t="s">
        <v>2480</v>
      </c>
      <c r="G251" s="24" t="s">
        <v>2481</v>
      </c>
      <c r="H251" s="25">
        <v>0</v>
      </c>
      <c r="I251" s="27"/>
    </row>
    <row r="252" ht="56" spans="1:9">
      <c r="A252" s="21" t="s">
        <v>1731</v>
      </c>
      <c r="B252" s="22">
        <v>220</v>
      </c>
      <c r="C252" s="23" t="s">
        <v>2482</v>
      </c>
      <c r="D252" s="23" t="s">
        <v>2483</v>
      </c>
      <c r="E252" s="21">
        <v>0</v>
      </c>
      <c r="F252" s="24" t="s">
        <v>2484</v>
      </c>
      <c r="G252" s="24" t="s">
        <v>2485</v>
      </c>
      <c r="H252" s="25">
        <v>3</v>
      </c>
      <c r="I252" s="27"/>
    </row>
    <row r="253" ht="56" spans="1:9">
      <c r="A253" s="21" t="s">
        <v>1731</v>
      </c>
      <c r="B253" s="22">
        <v>220</v>
      </c>
      <c r="C253" s="23" t="s">
        <v>2486</v>
      </c>
      <c r="D253" s="23" t="s">
        <v>2487</v>
      </c>
      <c r="E253" s="21">
        <v>0</v>
      </c>
      <c r="F253" s="24" t="s">
        <v>2488</v>
      </c>
      <c r="G253" s="24" t="s">
        <v>2489</v>
      </c>
      <c r="H253" s="25">
        <v>0</v>
      </c>
      <c r="I253" s="27"/>
    </row>
    <row r="254" ht="56" spans="1:9">
      <c r="A254" s="21" t="s">
        <v>1731</v>
      </c>
      <c r="B254" s="22">
        <v>220</v>
      </c>
      <c r="C254" s="23" t="s">
        <v>2490</v>
      </c>
      <c r="D254" s="23" t="s">
        <v>2491</v>
      </c>
      <c r="E254" s="21">
        <v>0</v>
      </c>
      <c r="F254" s="24" t="s">
        <v>2492</v>
      </c>
      <c r="G254" s="24" t="s">
        <v>2493</v>
      </c>
      <c r="H254" s="25">
        <v>3</v>
      </c>
      <c r="I254" s="27"/>
    </row>
    <row r="255" ht="56" spans="1:9">
      <c r="A255" s="21" t="s">
        <v>1731</v>
      </c>
      <c r="B255" s="22">
        <v>220</v>
      </c>
      <c r="C255" s="23" t="s">
        <v>2494</v>
      </c>
      <c r="D255" s="23" t="s">
        <v>2495</v>
      </c>
      <c r="E255" s="21">
        <v>0</v>
      </c>
      <c r="F255" s="24" t="s">
        <v>2496</v>
      </c>
      <c r="G255" s="24" t="s">
        <v>2497</v>
      </c>
      <c r="H255" s="25">
        <v>0</v>
      </c>
      <c r="I255" s="27"/>
    </row>
    <row r="256" ht="56" spans="1:9">
      <c r="A256" s="21" t="s">
        <v>1731</v>
      </c>
      <c r="B256" s="22">
        <v>220</v>
      </c>
      <c r="C256" s="23"/>
      <c r="D256" s="23"/>
      <c r="E256" s="21"/>
      <c r="F256" s="24" t="s">
        <v>2498</v>
      </c>
      <c r="G256" s="24" t="s">
        <v>2499</v>
      </c>
      <c r="H256" s="10">
        <v>3</v>
      </c>
      <c r="I256" s="27"/>
    </row>
    <row r="257" ht="56" spans="1:9">
      <c r="A257" s="21" t="s">
        <v>1731</v>
      </c>
      <c r="B257" s="22">
        <v>220</v>
      </c>
      <c r="C257" s="23"/>
      <c r="D257" s="23"/>
      <c r="E257" s="21"/>
      <c r="F257" s="24" t="s">
        <v>2500</v>
      </c>
      <c r="G257" s="24" t="s">
        <v>2501</v>
      </c>
      <c r="H257" s="10">
        <v>0</v>
      </c>
      <c r="I257" s="27"/>
    </row>
    <row r="258" ht="56" spans="1:9">
      <c r="A258" s="21" t="s">
        <v>1731</v>
      </c>
      <c r="B258" s="22">
        <v>220</v>
      </c>
      <c r="C258" s="23"/>
      <c r="D258" s="23"/>
      <c r="E258" s="21"/>
      <c r="F258" s="24" t="s">
        <v>2502</v>
      </c>
      <c r="G258" s="24" t="s">
        <v>2503</v>
      </c>
      <c r="H258" s="10">
        <v>3</v>
      </c>
      <c r="I258" s="27"/>
    </row>
    <row r="259" ht="56" spans="1:9">
      <c r="A259" s="21" t="s">
        <v>1731</v>
      </c>
      <c r="B259" s="22">
        <v>220</v>
      </c>
      <c r="C259" s="23"/>
      <c r="D259" s="23"/>
      <c r="E259" s="21"/>
      <c r="F259" s="24" t="s">
        <v>2504</v>
      </c>
      <c r="G259" s="24" t="s">
        <v>2505</v>
      </c>
      <c r="H259" s="10">
        <v>0</v>
      </c>
      <c r="I259" s="27"/>
    </row>
    <row r="260" ht="42" spans="1:9">
      <c r="A260" s="21" t="s">
        <v>1731</v>
      </c>
      <c r="B260" s="22">
        <v>220</v>
      </c>
      <c r="C260" s="23"/>
      <c r="D260" s="23"/>
      <c r="E260" s="21"/>
      <c r="F260" s="24" t="s">
        <v>2506</v>
      </c>
      <c r="G260" s="24" t="s">
        <v>2507</v>
      </c>
      <c r="H260" s="10">
        <v>0</v>
      </c>
      <c r="I260" s="27"/>
    </row>
    <row r="261" ht="42" spans="1:9">
      <c r="A261" s="21" t="s">
        <v>1731</v>
      </c>
      <c r="B261" s="22">
        <v>220</v>
      </c>
      <c r="C261" s="23"/>
      <c r="D261" s="23"/>
      <c r="E261" s="21"/>
      <c r="F261" s="24" t="s">
        <v>2508</v>
      </c>
      <c r="G261" s="24" t="s">
        <v>2509</v>
      </c>
      <c r="H261" s="10">
        <v>0</v>
      </c>
      <c r="I261" s="27"/>
    </row>
    <row r="262" ht="42" spans="1:9">
      <c r="A262" s="21" t="s">
        <v>1731</v>
      </c>
      <c r="B262" s="22">
        <v>220</v>
      </c>
      <c r="C262" s="23"/>
      <c r="D262" s="23"/>
      <c r="E262" s="21"/>
      <c r="F262" s="24" t="s">
        <v>2510</v>
      </c>
      <c r="G262" s="24" t="s">
        <v>2511</v>
      </c>
      <c r="H262" s="10">
        <v>0</v>
      </c>
      <c r="I262" s="27"/>
    </row>
    <row r="263" ht="42" spans="1:9">
      <c r="A263" s="21" t="s">
        <v>1731</v>
      </c>
      <c r="B263" s="22">
        <v>220</v>
      </c>
      <c r="C263" s="23"/>
      <c r="D263" s="23"/>
      <c r="E263" s="21"/>
      <c r="F263" s="24" t="s">
        <v>2512</v>
      </c>
      <c r="G263" s="24" t="s">
        <v>2513</v>
      </c>
      <c r="H263" s="10">
        <v>0</v>
      </c>
      <c r="I263" s="27"/>
    </row>
    <row r="264" ht="42" spans="1:9">
      <c r="A264" s="21" t="s">
        <v>1731</v>
      </c>
      <c r="B264" s="22">
        <v>220</v>
      </c>
      <c r="C264" s="23"/>
      <c r="D264" s="23"/>
      <c r="E264" s="21"/>
      <c r="F264" s="24" t="s">
        <v>2514</v>
      </c>
      <c r="G264" s="24" t="s">
        <v>2515</v>
      </c>
      <c r="H264" s="10">
        <v>0</v>
      </c>
      <c r="I264" s="27"/>
    </row>
    <row r="265" ht="42" spans="1:9">
      <c r="A265" s="21" t="s">
        <v>1731</v>
      </c>
      <c r="B265" s="22">
        <v>220</v>
      </c>
      <c r="C265" s="23"/>
      <c r="D265" s="23"/>
      <c r="E265" s="21"/>
      <c r="F265" s="24" t="s">
        <v>2516</v>
      </c>
      <c r="G265" s="24" t="s">
        <v>2517</v>
      </c>
      <c r="H265" s="10">
        <v>0</v>
      </c>
      <c r="I265" s="27"/>
    </row>
    <row r="266" ht="28" spans="1:9">
      <c r="A266" s="21" t="s">
        <v>1731</v>
      </c>
      <c r="B266" s="22">
        <v>220</v>
      </c>
      <c r="C266" s="23"/>
      <c r="D266" s="23"/>
      <c r="E266" s="21"/>
      <c r="F266" s="24" t="s">
        <v>2518</v>
      </c>
      <c r="G266" s="24" t="s">
        <v>2519</v>
      </c>
      <c r="H266" s="10">
        <v>1</v>
      </c>
      <c r="I266" s="27"/>
    </row>
    <row r="267" ht="28" spans="1:9">
      <c r="A267" s="21" t="s">
        <v>1731</v>
      </c>
      <c r="B267" s="22">
        <v>220</v>
      </c>
      <c r="C267" s="23"/>
      <c r="D267" s="23"/>
      <c r="E267" s="21"/>
      <c r="F267" s="24" t="s">
        <v>2520</v>
      </c>
      <c r="G267" s="24" t="s">
        <v>2521</v>
      </c>
      <c r="H267" s="10">
        <v>0</v>
      </c>
      <c r="I267" s="27"/>
    </row>
    <row r="268" ht="28" spans="1:9">
      <c r="A268" s="21" t="s">
        <v>1731</v>
      </c>
      <c r="B268" s="22">
        <v>220</v>
      </c>
      <c r="C268" s="23"/>
      <c r="D268" s="23"/>
      <c r="E268" s="21"/>
      <c r="F268" s="24" t="s">
        <v>2522</v>
      </c>
      <c r="G268" s="24" t="s">
        <v>2523</v>
      </c>
      <c r="H268" s="10">
        <v>0</v>
      </c>
      <c r="I268" s="27"/>
    </row>
    <row r="269" ht="28" spans="1:9">
      <c r="A269" s="21" t="s">
        <v>1731</v>
      </c>
      <c r="B269" s="22">
        <v>220</v>
      </c>
      <c r="C269" s="23"/>
      <c r="D269" s="23"/>
      <c r="E269" s="21"/>
      <c r="F269" s="24" t="s">
        <v>2524</v>
      </c>
      <c r="G269" s="24" t="s">
        <v>2525</v>
      </c>
      <c r="H269" s="10">
        <v>1</v>
      </c>
      <c r="I269" s="27"/>
    </row>
    <row r="270" ht="28" spans="1:9">
      <c r="A270" s="21" t="s">
        <v>1731</v>
      </c>
      <c r="B270" s="22">
        <v>220</v>
      </c>
      <c r="C270" s="23"/>
      <c r="D270" s="23"/>
      <c r="E270" s="21"/>
      <c r="F270" s="24" t="s">
        <v>2526</v>
      </c>
      <c r="G270" s="24" t="s">
        <v>2527</v>
      </c>
      <c r="H270" s="10">
        <v>0</v>
      </c>
      <c r="I270" s="27"/>
    </row>
    <row r="271" ht="28" spans="1:9">
      <c r="A271" s="21" t="s">
        <v>1731</v>
      </c>
      <c r="B271" s="22">
        <v>220</v>
      </c>
      <c r="C271" s="23"/>
      <c r="D271" s="23"/>
      <c r="E271" s="21"/>
      <c r="F271" s="24" t="s">
        <v>2528</v>
      </c>
      <c r="G271" s="24" t="s">
        <v>2529</v>
      </c>
      <c r="H271" s="10">
        <v>0</v>
      </c>
      <c r="I271" s="27"/>
    </row>
    <row r="272" ht="28" spans="1:9">
      <c r="A272" s="21" t="s">
        <v>1731</v>
      </c>
      <c r="B272" s="22">
        <v>220</v>
      </c>
      <c r="C272" s="23"/>
      <c r="D272" s="23"/>
      <c r="E272" s="21"/>
      <c r="F272" s="24" t="s">
        <v>2530</v>
      </c>
      <c r="G272" s="24" t="s">
        <v>2531</v>
      </c>
      <c r="H272" s="10">
        <v>0</v>
      </c>
      <c r="I272" s="27"/>
    </row>
    <row r="273" ht="28" spans="1:9">
      <c r="A273" s="21" t="s">
        <v>1731</v>
      </c>
      <c r="B273" s="22">
        <v>220</v>
      </c>
      <c r="C273" s="23"/>
      <c r="D273" s="23"/>
      <c r="E273" s="21"/>
      <c r="F273" s="24" t="s">
        <v>2532</v>
      </c>
      <c r="G273" s="24" t="s">
        <v>2533</v>
      </c>
      <c r="H273" s="10">
        <v>0</v>
      </c>
      <c r="I273" s="27"/>
    </row>
    <row r="274" ht="28" spans="1:9">
      <c r="A274" s="21" t="s">
        <v>1731</v>
      </c>
      <c r="B274" s="22">
        <v>220</v>
      </c>
      <c r="C274" s="23"/>
      <c r="D274" s="23"/>
      <c r="E274" s="21"/>
      <c r="F274" s="24" t="s">
        <v>2534</v>
      </c>
      <c r="G274" s="24" t="s">
        <v>2535</v>
      </c>
      <c r="H274" s="10">
        <v>0</v>
      </c>
      <c r="I274" s="27"/>
    </row>
    <row r="275" ht="28" spans="1:9">
      <c r="A275" s="21" t="s">
        <v>1731</v>
      </c>
      <c r="B275" s="22">
        <v>220</v>
      </c>
      <c r="C275" s="23"/>
      <c r="D275" s="23"/>
      <c r="E275" s="21"/>
      <c r="F275" s="24" t="s">
        <v>2536</v>
      </c>
      <c r="G275" s="24" t="s">
        <v>2537</v>
      </c>
      <c r="H275" s="10">
        <v>0</v>
      </c>
      <c r="I275" s="27"/>
    </row>
    <row r="276" ht="28" spans="1:9">
      <c r="A276" s="21" t="s">
        <v>1731</v>
      </c>
      <c r="B276" s="22">
        <v>220</v>
      </c>
      <c r="C276" s="23"/>
      <c r="D276" s="23"/>
      <c r="E276" s="21"/>
      <c r="F276" s="24" t="s">
        <v>2538</v>
      </c>
      <c r="G276" s="24" t="s">
        <v>2539</v>
      </c>
      <c r="H276" s="10">
        <v>0</v>
      </c>
      <c r="I276" s="27"/>
    </row>
    <row r="277" ht="28" spans="1:9">
      <c r="A277" s="21" t="s">
        <v>1731</v>
      </c>
      <c r="B277" s="22">
        <v>220</v>
      </c>
      <c r="C277" s="23"/>
      <c r="D277" s="23"/>
      <c r="E277" s="21"/>
      <c r="F277" s="24" t="s">
        <v>2540</v>
      </c>
      <c r="G277" s="24" t="s">
        <v>2541</v>
      </c>
      <c r="H277" s="10">
        <v>0</v>
      </c>
      <c r="I277" s="27"/>
    </row>
    <row r="278" ht="28" spans="1:9">
      <c r="A278" s="21" t="s">
        <v>1731</v>
      </c>
      <c r="B278" s="22">
        <v>220</v>
      </c>
      <c r="C278" s="23"/>
      <c r="D278" s="23"/>
      <c r="E278" s="21"/>
      <c r="F278" s="24" t="s">
        <v>2542</v>
      </c>
      <c r="G278" s="24" t="s">
        <v>2543</v>
      </c>
      <c r="H278" s="10">
        <v>0</v>
      </c>
      <c r="I278" s="27"/>
    </row>
    <row r="279" ht="28" spans="1:9">
      <c r="A279" s="21" t="s">
        <v>1731</v>
      </c>
      <c r="B279" s="22">
        <v>220</v>
      </c>
      <c r="C279" s="23"/>
      <c r="D279" s="23"/>
      <c r="E279" s="21"/>
      <c r="F279" s="24" t="s">
        <v>2544</v>
      </c>
      <c r="G279" s="24" t="s">
        <v>2545</v>
      </c>
      <c r="H279" s="10">
        <v>0</v>
      </c>
      <c r="I279" s="27"/>
    </row>
    <row r="280" ht="28" spans="1:9">
      <c r="A280" s="21" t="s">
        <v>1731</v>
      </c>
      <c r="B280" s="22">
        <v>220</v>
      </c>
      <c r="C280" s="23"/>
      <c r="D280" s="23"/>
      <c r="E280" s="21"/>
      <c r="F280" s="24" t="s">
        <v>2546</v>
      </c>
      <c r="G280" s="24" t="s">
        <v>2547</v>
      </c>
      <c r="H280" s="10">
        <v>0</v>
      </c>
      <c r="I280" s="27"/>
    </row>
    <row r="281" ht="28" spans="1:9">
      <c r="A281" s="21" t="s">
        <v>1731</v>
      </c>
      <c r="B281" s="22">
        <v>220</v>
      </c>
      <c r="C281" s="23"/>
      <c r="D281" s="23"/>
      <c r="E281" s="21"/>
      <c r="F281" s="24" t="s">
        <v>2548</v>
      </c>
      <c r="G281" s="24" t="s">
        <v>2549</v>
      </c>
      <c r="H281" s="10">
        <v>1</v>
      </c>
      <c r="I281" s="27"/>
    </row>
    <row r="282" ht="28" spans="1:9">
      <c r="A282" s="21" t="s">
        <v>1731</v>
      </c>
      <c r="B282" s="22">
        <v>220</v>
      </c>
      <c r="C282" s="23"/>
      <c r="D282" s="23"/>
      <c r="E282" s="21"/>
      <c r="F282" s="24" t="s">
        <v>2550</v>
      </c>
      <c r="G282" s="24" t="s">
        <v>2551</v>
      </c>
      <c r="H282" s="10">
        <v>1</v>
      </c>
      <c r="I282" s="27"/>
    </row>
    <row r="283" spans="1:9">
      <c r="A283" s="21" t="s">
        <v>1731</v>
      </c>
      <c r="B283" s="22">
        <v>220</v>
      </c>
      <c r="C283" s="23"/>
      <c r="D283" s="23"/>
      <c r="E283" s="21"/>
      <c r="F283" s="24" t="s">
        <v>2552</v>
      </c>
      <c r="G283" s="24" t="s">
        <v>2458</v>
      </c>
      <c r="H283" s="10">
        <v>0</v>
      </c>
      <c r="I283" s="27"/>
    </row>
    <row r="284" spans="1:9">
      <c r="A284" s="21" t="s">
        <v>1731</v>
      </c>
      <c r="B284" s="22">
        <v>220</v>
      </c>
      <c r="C284" s="23"/>
      <c r="D284" s="23"/>
      <c r="E284" s="21"/>
      <c r="F284" s="24" t="s">
        <v>2553</v>
      </c>
      <c r="G284" s="24" t="s">
        <v>2458</v>
      </c>
      <c r="H284" s="10">
        <v>0</v>
      </c>
      <c r="I284" s="27"/>
    </row>
    <row r="285" ht="28" spans="1:9">
      <c r="A285" s="21" t="s">
        <v>1731</v>
      </c>
      <c r="B285" s="22">
        <v>220</v>
      </c>
      <c r="C285" s="23"/>
      <c r="D285" s="23"/>
      <c r="E285" s="21"/>
      <c r="F285" s="24" t="s">
        <v>2554</v>
      </c>
      <c r="G285" s="24" t="s">
        <v>2555</v>
      </c>
      <c r="H285" s="10">
        <v>0</v>
      </c>
      <c r="I285" s="27"/>
    </row>
    <row r="286" ht="28" spans="1:9">
      <c r="A286" s="21" t="s">
        <v>1731</v>
      </c>
      <c r="B286" s="22">
        <v>220</v>
      </c>
      <c r="C286" s="23"/>
      <c r="D286" s="23"/>
      <c r="E286" s="21"/>
      <c r="F286" s="24" t="s">
        <v>2556</v>
      </c>
      <c r="G286" s="24" t="s">
        <v>2557</v>
      </c>
      <c r="H286" s="10">
        <v>0</v>
      </c>
      <c r="I286" s="27"/>
    </row>
    <row r="287" ht="28" spans="1:9">
      <c r="A287" s="21" t="s">
        <v>1731</v>
      </c>
      <c r="B287" s="22">
        <v>220</v>
      </c>
      <c r="C287" s="23"/>
      <c r="D287" s="23"/>
      <c r="E287" s="21"/>
      <c r="F287" s="24" t="s">
        <v>2558</v>
      </c>
      <c r="G287" s="24" t="s">
        <v>2559</v>
      </c>
      <c r="H287" s="10">
        <v>1</v>
      </c>
      <c r="I287" s="27"/>
    </row>
    <row r="288" ht="56" spans="1:9">
      <c r="A288" s="21" t="s">
        <v>1731</v>
      </c>
      <c r="B288" s="22">
        <v>230</v>
      </c>
      <c r="C288" s="23" t="s">
        <v>2560</v>
      </c>
      <c r="D288" s="23" t="s">
        <v>2561</v>
      </c>
      <c r="E288" s="21">
        <v>0</v>
      </c>
      <c r="F288" s="24" t="s">
        <v>2562</v>
      </c>
      <c r="G288" s="24" t="s">
        <v>2563</v>
      </c>
      <c r="H288" s="21">
        <v>0</v>
      </c>
      <c r="I288" s="27"/>
    </row>
    <row r="289" ht="28" spans="1:9">
      <c r="A289" s="21" t="s">
        <v>1731</v>
      </c>
      <c r="B289" s="22">
        <v>230</v>
      </c>
      <c r="C289" s="23" t="s">
        <v>2564</v>
      </c>
      <c r="D289" s="23" t="s">
        <v>2565</v>
      </c>
      <c r="E289" s="21">
        <v>0</v>
      </c>
      <c r="F289" s="27"/>
      <c r="G289" s="27"/>
      <c r="H289" s="10"/>
      <c r="I289" s="27"/>
    </row>
    <row r="290" ht="28" spans="1:9">
      <c r="A290" s="21" t="s">
        <v>1731</v>
      </c>
      <c r="B290" s="22">
        <v>230</v>
      </c>
      <c r="C290" s="23" t="s">
        <v>2566</v>
      </c>
      <c r="D290" s="23" t="s">
        <v>2567</v>
      </c>
      <c r="E290" s="21">
        <v>0</v>
      </c>
      <c r="F290" s="27"/>
      <c r="G290" s="27"/>
      <c r="H290" s="10"/>
      <c r="I290" s="27"/>
    </row>
    <row r="291" spans="1:9">
      <c r="A291" s="21" t="s">
        <v>1931</v>
      </c>
      <c r="B291" s="22">
        <v>250</v>
      </c>
      <c r="C291" s="24" t="s">
        <v>2568</v>
      </c>
      <c r="D291" s="24" t="s">
        <v>2569</v>
      </c>
      <c r="E291" s="21">
        <v>0</v>
      </c>
      <c r="F291" s="24" t="s">
        <v>2570</v>
      </c>
      <c r="G291" s="24" t="s">
        <v>2571</v>
      </c>
      <c r="H291" s="21">
        <v>1</v>
      </c>
      <c r="I291" s="27"/>
    </row>
    <row r="292" spans="1:9">
      <c r="A292" s="21" t="s">
        <v>1931</v>
      </c>
      <c r="B292" s="22">
        <v>250</v>
      </c>
      <c r="C292" s="23"/>
      <c r="D292" s="23"/>
      <c r="E292" s="21"/>
      <c r="F292" s="24" t="s">
        <v>2572</v>
      </c>
      <c r="G292" s="24" t="s">
        <v>2573</v>
      </c>
      <c r="H292" s="21">
        <v>0</v>
      </c>
      <c r="I292" s="27"/>
    </row>
    <row r="293" spans="1:9">
      <c r="A293" s="21" t="s">
        <v>1931</v>
      </c>
      <c r="B293" s="22">
        <v>250</v>
      </c>
      <c r="C293" s="23"/>
      <c r="D293" s="23"/>
      <c r="E293" s="21"/>
      <c r="F293" s="24" t="s">
        <v>2574</v>
      </c>
      <c r="G293" s="24" t="s">
        <v>2575</v>
      </c>
      <c r="H293" s="21">
        <v>1</v>
      </c>
      <c r="I293" s="27"/>
    </row>
    <row r="294" spans="1:9">
      <c r="A294" s="21" t="s">
        <v>1931</v>
      </c>
      <c r="B294" s="22">
        <v>250</v>
      </c>
      <c r="C294" s="23"/>
      <c r="D294" s="23"/>
      <c r="E294" s="21"/>
      <c r="F294" s="24" t="s">
        <v>2576</v>
      </c>
      <c r="G294" s="24" t="s">
        <v>2577</v>
      </c>
      <c r="H294" s="21">
        <v>1</v>
      </c>
      <c r="I294" s="27"/>
    </row>
    <row r="295" ht="56" spans="1:9">
      <c r="A295" s="21" t="s">
        <v>1731</v>
      </c>
      <c r="B295" s="22">
        <v>310</v>
      </c>
      <c r="C295" s="23" t="s">
        <v>2578</v>
      </c>
      <c r="D295" s="23" t="s">
        <v>2579</v>
      </c>
      <c r="E295" s="21">
        <v>0</v>
      </c>
      <c r="F295" s="24" t="s">
        <v>2580</v>
      </c>
      <c r="G295" s="24" t="s">
        <v>2581</v>
      </c>
      <c r="H295" s="21">
        <v>1</v>
      </c>
      <c r="I295" s="27"/>
    </row>
    <row r="296" ht="28" spans="1:9">
      <c r="A296" s="21" t="s">
        <v>1731</v>
      </c>
      <c r="B296" s="22">
        <v>310</v>
      </c>
      <c r="C296" s="23" t="s">
        <v>2582</v>
      </c>
      <c r="D296" s="23" t="s">
        <v>2583</v>
      </c>
      <c r="E296" s="21">
        <v>0</v>
      </c>
      <c r="F296" s="24" t="s">
        <v>2584</v>
      </c>
      <c r="G296" s="24" t="s">
        <v>2585</v>
      </c>
      <c r="H296" s="21">
        <v>1</v>
      </c>
      <c r="I296" s="27"/>
    </row>
    <row r="297" ht="28" spans="1:9">
      <c r="A297" s="21" t="s">
        <v>1731</v>
      </c>
      <c r="B297" s="22">
        <v>310</v>
      </c>
      <c r="C297" s="23" t="s">
        <v>2586</v>
      </c>
      <c r="D297" s="23" t="s">
        <v>2587</v>
      </c>
      <c r="E297" s="21">
        <v>0</v>
      </c>
      <c r="F297" s="24" t="s">
        <v>2588</v>
      </c>
      <c r="G297" s="24" t="s">
        <v>2585</v>
      </c>
      <c r="H297" s="21">
        <v>0</v>
      </c>
      <c r="I297" s="27"/>
    </row>
    <row r="298" ht="28" spans="1:9">
      <c r="A298" s="21" t="s">
        <v>1731</v>
      </c>
      <c r="B298" s="22">
        <v>310</v>
      </c>
      <c r="C298" s="23" t="s">
        <v>2589</v>
      </c>
      <c r="D298" s="23" t="s">
        <v>2590</v>
      </c>
      <c r="E298" s="21">
        <v>0</v>
      </c>
      <c r="F298" s="24" t="s">
        <v>2591</v>
      </c>
      <c r="G298" s="24" t="s">
        <v>2592</v>
      </c>
      <c r="H298" s="21">
        <v>2</v>
      </c>
      <c r="I298" s="27"/>
    </row>
    <row r="299" ht="56" spans="1:9">
      <c r="A299" s="21" t="s">
        <v>1731</v>
      </c>
      <c r="B299" s="22">
        <v>310</v>
      </c>
      <c r="C299" s="23" t="s">
        <v>2593</v>
      </c>
      <c r="D299" s="23" t="s">
        <v>2594</v>
      </c>
      <c r="E299" s="21">
        <v>0</v>
      </c>
      <c r="F299" s="24" t="s">
        <v>2595</v>
      </c>
      <c r="G299" s="24" t="s">
        <v>2596</v>
      </c>
      <c r="H299" s="21">
        <v>0</v>
      </c>
      <c r="I299" s="27"/>
    </row>
    <row r="300" ht="42" spans="1:9">
      <c r="A300" s="21" t="s">
        <v>1731</v>
      </c>
      <c r="B300" s="22">
        <v>310</v>
      </c>
      <c r="C300" s="23" t="s">
        <v>2597</v>
      </c>
      <c r="D300" s="23" t="s">
        <v>2598</v>
      </c>
      <c r="E300" s="21">
        <v>0</v>
      </c>
      <c r="F300" s="27"/>
      <c r="G300" s="27"/>
      <c r="H300" s="10"/>
      <c r="I300" s="27"/>
    </row>
    <row r="301" ht="42" spans="1:9">
      <c r="A301" s="21" t="s">
        <v>1731</v>
      </c>
      <c r="B301" s="22">
        <v>310</v>
      </c>
      <c r="C301" s="23" t="s">
        <v>2599</v>
      </c>
      <c r="D301" s="23" t="s">
        <v>2600</v>
      </c>
      <c r="E301" s="21" t="s">
        <v>1798</v>
      </c>
      <c r="F301" s="27"/>
      <c r="G301" s="27"/>
      <c r="H301" s="10"/>
      <c r="I301" s="27"/>
    </row>
    <row r="302" spans="1:9">
      <c r="A302" s="21" t="s">
        <v>1931</v>
      </c>
      <c r="B302" s="22">
        <v>310</v>
      </c>
      <c r="C302" s="24" t="s">
        <v>2601</v>
      </c>
      <c r="D302" s="24" t="s">
        <v>2602</v>
      </c>
      <c r="E302" s="21">
        <v>0</v>
      </c>
      <c r="F302" s="24" t="s">
        <v>2603</v>
      </c>
      <c r="G302" s="24" t="s">
        <v>2604</v>
      </c>
      <c r="H302" s="21">
        <v>0</v>
      </c>
      <c r="I302" s="27"/>
    </row>
    <row r="303" spans="1:9">
      <c r="A303" s="21" t="s">
        <v>1931</v>
      </c>
      <c r="B303" s="22">
        <v>310</v>
      </c>
      <c r="C303" s="23"/>
      <c r="D303" s="23"/>
      <c r="E303" s="21"/>
      <c r="F303" s="24" t="s">
        <v>2605</v>
      </c>
      <c r="G303" s="24" t="s">
        <v>2606</v>
      </c>
      <c r="H303" s="21">
        <v>0</v>
      </c>
      <c r="I303" s="27"/>
    </row>
    <row r="304" spans="1:9">
      <c r="A304" s="21" t="s">
        <v>1931</v>
      </c>
      <c r="B304" s="22">
        <v>310</v>
      </c>
      <c r="C304" s="23"/>
      <c r="D304" s="23"/>
      <c r="E304" s="21"/>
      <c r="F304" s="24" t="s">
        <v>2607</v>
      </c>
      <c r="G304" s="24" t="s">
        <v>2608</v>
      </c>
      <c r="H304" s="21">
        <v>0</v>
      </c>
      <c r="I304" s="27"/>
    </row>
    <row r="305" spans="1:9">
      <c r="A305" s="21" t="s">
        <v>1931</v>
      </c>
      <c r="B305" s="22">
        <v>310</v>
      </c>
      <c r="C305" s="23"/>
      <c r="D305" s="23"/>
      <c r="E305" s="21"/>
      <c r="F305" s="24" t="s">
        <v>2609</v>
      </c>
      <c r="G305" s="24" t="s">
        <v>2610</v>
      </c>
      <c r="H305" s="21">
        <v>0</v>
      </c>
      <c r="I305" s="27"/>
    </row>
    <row r="306" spans="1:9">
      <c r="A306" s="21" t="s">
        <v>1931</v>
      </c>
      <c r="B306" s="22">
        <v>310</v>
      </c>
      <c r="C306" s="23"/>
      <c r="D306" s="23"/>
      <c r="E306" s="21"/>
      <c r="F306" s="24" t="s">
        <v>2611</v>
      </c>
      <c r="G306" s="24" t="s">
        <v>2612</v>
      </c>
      <c r="H306" s="21">
        <v>0</v>
      </c>
      <c r="I306" s="27"/>
    </row>
    <row r="307" spans="1:9">
      <c r="A307" s="21" t="s">
        <v>1931</v>
      </c>
      <c r="B307" s="22">
        <v>310</v>
      </c>
      <c r="C307" s="23"/>
      <c r="D307" s="23"/>
      <c r="E307" s="21"/>
      <c r="F307" s="24" t="s">
        <v>2613</v>
      </c>
      <c r="G307" s="24" t="s">
        <v>2614</v>
      </c>
      <c r="H307" s="21">
        <v>0</v>
      </c>
      <c r="I307" s="27"/>
    </row>
    <row r="308" spans="1:9">
      <c r="A308" s="21" t="s">
        <v>1931</v>
      </c>
      <c r="B308" s="22">
        <v>310</v>
      </c>
      <c r="C308" s="23"/>
      <c r="D308" s="23"/>
      <c r="E308" s="21"/>
      <c r="F308" s="24" t="s">
        <v>2615</v>
      </c>
      <c r="G308" s="24" t="s">
        <v>2616</v>
      </c>
      <c r="H308" s="21">
        <v>0</v>
      </c>
      <c r="I308" s="27"/>
    </row>
    <row r="309" spans="1:9">
      <c r="A309" s="21" t="s">
        <v>1931</v>
      </c>
      <c r="B309" s="22">
        <v>310</v>
      </c>
      <c r="C309" s="23"/>
      <c r="D309" s="23"/>
      <c r="E309" s="21"/>
      <c r="F309" s="24" t="s">
        <v>2617</v>
      </c>
      <c r="G309" s="24" t="s">
        <v>2618</v>
      </c>
      <c r="H309" s="21">
        <v>0</v>
      </c>
      <c r="I309" s="27"/>
    </row>
    <row r="310" spans="1:9">
      <c r="A310" s="21" t="s">
        <v>1931</v>
      </c>
      <c r="B310" s="22">
        <v>310</v>
      </c>
      <c r="C310" s="23"/>
      <c r="D310" s="23"/>
      <c r="E310" s="21"/>
      <c r="F310" s="24" t="s">
        <v>2619</v>
      </c>
      <c r="G310" s="24" t="s">
        <v>2620</v>
      </c>
      <c r="H310" s="21">
        <v>0</v>
      </c>
      <c r="I310" s="27"/>
    </row>
    <row r="311" spans="1:9">
      <c r="A311" s="21" t="s">
        <v>1931</v>
      </c>
      <c r="B311" s="22">
        <v>310</v>
      </c>
      <c r="C311" s="23"/>
      <c r="D311" s="23"/>
      <c r="E311" s="21"/>
      <c r="F311" s="24" t="s">
        <v>2621</v>
      </c>
      <c r="G311" s="24" t="s">
        <v>2622</v>
      </c>
      <c r="H311" s="21">
        <v>0</v>
      </c>
      <c r="I311" s="27"/>
    </row>
    <row r="312" spans="1:9">
      <c r="A312" s="21" t="s">
        <v>1931</v>
      </c>
      <c r="B312" s="22">
        <v>310</v>
      </c>
      <c r="C312" s="23"/>
      <c r="D312" s="23"/>
      <c r="E312" s="21"/>
      <c r="F312" s="24" t="s">
        <v>2623</v>
      </c>
      <c r="G312" s="24" t="s">
        <v>2624</v>
      </c>
      <c r="H312" s="21">
        <v>0</v>
      </c>
      <c r="I312" s="27"/>
    </row>
    <row r="313" spans="1:9">
      <c r="A313" s="21" t="s">
        <v>1931</v>
      </c>
      <c r="B313" s="22">
        <v>310</v>
      </c>
      <c r="C313" s="23"/>
      <c r="D313" s="23"/>
      <c r="E313" s="21"/>
      <c r="F313" s="24" t="s">
        <v>2625</v>
      </c>
      <c r="G313" s="24" t="s">
        <v>2626</v>
      </c>
      <c r="H313" s="21">
        <v>0</v>
      </c>
      <c r="I313" s="27"/>
    </row>
    <row r="314" spans="1:9">
      <c r="A314" s="21" t="s">
        <v>1931</v>
      </c>
      <c r="B314" s="22">
        <v>310</v>
      </c>
      <c r="C314" s="23"/>
      <c r="D314" s="23"/>
      <c r="E314" s="21"/>
      <c r="F314" s="24" t="s">
        <v>2627</v>
      </c>
      <c r="G314" s="24" t="s">
        <v>2628</v>
      </c>
      <c r="H314" s="21">
        <v>0</v>
      </c>
      <c r="I314" s="27"/>
    </row>
    <row r="315" spans="1:9">
      <c r="A315" s="21" t="s">
        <v>1931</v>
      </c>
      <c r="B315" s="22">
        <v>310</v>
      </c>
      <c r="C315" s="23"/>
      <c r="D315" s="23"/>
      <c r="E315" s="21"/>
      <c r="F315" s="24" t="s">
        <v>2629</v>
      </c>
      <c r="G315" s="24" t="s">
        <v>2630</v>
      </c>
      <c r="H315" s="21">
        <v>0</v>
      </c>
      <c r="I315" s="27"/>
    </row>
    <row r="316" spans="1:9">
      <c r="A316" s="21" t="s">
        <v>1931</v>
      </c>
      <c r="B316" s="22">
        <v>310</v>
      </c>
      <c r="C316" s="23"/>
      <c r="D316" s="23"/>
      <c r="E316" s="21"/>
      <c r="F316" s="24" t="s">
        <v>2631</v>
      </c>
      <c r="G316" s="24" t="s">
        <v>2632</v>
      </c>
      <c r="H316" s="21">
        <v>0</v>
      </c>
      <c r="I316" s="27"/>
    </row>
    <row r="317" spans="1:9">
      <c r="A317" s="21" t="s">
        <v>1931</v>
      </c>
      <c r="B317" s="22">
        <v>310</v>
      </c>
      <c r="C317" s="23"/>
      <c r="D317" s="23"/>
      <c r="E317" s="21"/>
      <c r="F317" s="24" t="s">
        <v>2633</v>
      </c>
      <c r="G317" s="24" t="s">
        <v>2634</v>
      </c>
      <c r="H317" s="21">
        <v>0</v>
      </c>
      <c r="I317" s="27"/>
    </row>
    <row r="318" spans="1:9">
      <c r="A318" s="21" t="s">
        <v>1931</v>
      </c>
      <c r="B318" s="22">
        <v>310</v>
      </c>
      <c r="C318" s="23"/>
      <c r="D318" s="23"/>
      <c r="E318" s="21"/>
      <c r="F318" s="24" t="s">
        <v>2635</v>
      </c>
      <c r="G318" s="24" t="s">
        <v>2636</v>
      </c>
      <c r="H318" s="21">
        <v>0</v>
      </c>
      <c r="I318" s="27"/>
    </row>
    <row r="319" spans="1:9">
      <c r="A319" s="21" t="s">
        <v>1931</v>
      </c>
      <c r="B319" s="22">
        <v>310</v>
      </c>
      <c r="C319" s="23"/>
      <c r="D319" s="23"/>
      <c r="E319" s="21"/>
      <c r="F319" s="24" t="s">
        <v>2637</v>
      </c>
      <c r="G319" s="24" t="s">
        <v>2638</v>
      </c>
      <c r="H319" s="21">
        <v>0</v>
      </c>
      <c r="I319" s="27"/>
    </row>
    <row r="320" ht="56" spans="1:9">
      <c r="A320" s="21" t="s">
        <v>1731</v>
      </c>
      <c r="B320" s="22">
        <v>320</v>
      </c>
      <c r="C320" s="23" t="s">
        <v>2639</v>
      </c>
      <c r="D320" s="23" t="s">
        <v>2640</v>
      </c>
      <c r="E320" s="21">
        <v>0</v>
      </c>
      <c r="F320" s="24" t="s">
        <v>2641</v>
      </c>
      <c r="G320" s="24" t="s">
        <v>2642</v>
      </c>
      <c r="H320" s="21">
        <v>1</v>
      </c>
      <c r="I320" s="27"/>
    </row>
    <row r="321" ht="28" spans="1:9">
      <c r="A321" s="21" t="s">
        <v>1731</v>
      </c>
      <c r="B321" s="22">
        <v>320</v>
      </c>
      <c r="C321" s="23" t="s">
        <v>2643</v>
      </c>
      <c r="D321" s="23" t="s">
        <v>2644</v>
      </c>
      <c r="E321" s="21">
        <v>0</v>
      </c>
      <c r="F321" s="24" t="s">
        <v>2645</v>
      </c>
      <c r="G321" s="24" t="s">
        <v>2646</v>
      </c>
      <c r="H321" s="21">
        <v>0</v>
      </c>
      <c r="I321" s="27"/>
    </row>
    <row r="322" ht="56" spans="1:9">
      <c r="A322" s="21" t="s">
        <v>1731</v>
      </c>
      <c r="B322" s="22">
        <v>320</v>
      </c>
      <c r="C322" s="23" t="s">
        <v>2647</v>
      </c>
      <c r="D322" s="23" t="s">
        <v>2648</v>
      </c>
      <c r="E322" s="21">
        <v>0</v>
      </c>
      <c r="F322" s="24" t="s">
        <v>2649</v>
      </c>
      <c r="G322" s="24" t="s">
        <v>2650</v>
      </c>
      <c r="H322" s="21">
        <v>0</v>
      </c>
      <c r="I322" s="27"/>
    </row>
    <row r="323" ht="28" spans="1:9">
      <c r="A323" s="21" t="s">
        <v>1731</v>
      </c>
      <c r="B323" s="22">
        <v>320</v>
      </c>
      <c r="C323" s="23" t="s">
        <v>2651</v>
      </c>
      <c r="D323" s="23" t="s">
        <v>2652</v>
      </c>
      <c r="E323" s="21">
        <v>0</v>
      </c>
      <c r="F323" s="27"/>
      <c r="G323" s="27"/>
      <c r="H323" s="10"/>
      <c r="I323" s="27"/>
    </row>
    <row r="324" spans="1:9">
      <c r="A324" s="21" t="s">
        <v>1731</v>
      </c>
      <c r="B324" s="22">
        <v>320</v>
      </c>
      <c r="C324" s="23" t="s">
        <v>2653</v>
      </c>
      <c r="D324" s="23" t="s">
        <v>2654</v>
      </c>
      <c r="E324" s="21">
        <v>0</v>
      </c>
      <c r="F324" s="27"/>
      <c r="G324" s="27"/>
      <c r="H324" s="10"/>
      <c r="I324" s="27"/>
    </row>
    <row r="325" spans="1:9">
      <c r="A325" s="21" t="s">
        <v>1931</v>
      </c>
      <c r="B325" s="22">
        <v>320</v>
      </c>
      <c r="C325" s="24" t="s">
        <v>2655</v>
      </c>
      <c r="D325" s="24" t="s">
        <v>2656</v>
      </c>
      <c r="E325" s="21">
        <v>0</v>
      </c>
      <c r="F325" s="24" t="s">
        <v>2657</v>
      </c>
      <c r="G325" s="24" t="s">
        <v>2658</v>
      </c>
      <c r="H325" s="21">
        <v>0</v>
      </c>
      <c r="I325" s="27"/>
    </row>
    <row r="326" spans="1:9">
      <c r="A326" s="21" t="s">
        <v>1931</v>
      </c>
      <c r="B326" s="22">
        <v>320</v>
      </c>
      <c r="C326" s="23"/>
      <c r="D326" s="23"/>
      <c r="E326" s="21"/>
      <c r="F326" s="24" t="s">
        <v>2659</v>
      </c>
      <c r="G326" s="24" t="s">
        <v>2571</v>
      </c>
      <c r="H326" s="21">
        <v>0</v>
      </c>
      <c r="I326" s="27"/>
    </row>
    <row r="327" spans="1:9">
      <c r="A327" s="21" t="s">
        <v>1931</v>
      </c>
      <c r="B327" s="22">
        <v>320</v>
      </c>
      <c r="C327" s="23"/>
      <c r="D327" s="23"/>
      <c r="E327" s="21"/>
      <c r="F327" s="24" t="s">
        <v>2660</v>
      </c>
      <c r="G327" s="24" t="s">
        <v>2610</v>
      </c>
      <c r="H327" s="21">
        <v>0</v>
      </c>
      <c r="I327" s="27"/>
    </row>
    <row r="328" spans="1:9">
      <c r="A328" s="21" t="s">
        <v>1931</v>
      </c>
      <c r="B328" s="22">
        <v>320</v>
      </c>
      <c r="C328" s="23"/>
      <c r="D328" s="23"/>
      <c r="E328" s="21"/>
      <c r="F328" s="24" t="s">
        <v>2661</v>
      </c>
      <c r="G328" s="24" t="s">
        <v>2612</v>
      </c>
      <c r="H328" s="21">
        <v>0</v>
      </c>
      <c r="I328" s="27"/>
    </row>
    <row r="329" spans="1:9">
      <c r="A329" s="21" t="s">
        <v>1931</v>
      </c>
      <c r="B329" s="22">
        <v>320</v>
      </c>
      <c r="C329" s="23"/>
      <c r="D329" s="23"/>
      <c r="E329" s="21"/>
      <c r="F329" s="24" t="s">
        <v>2662</v>
      </c>
      <c r="G329" s="24" t="s">
        <v>2614</v>
      </c>
      <c r="H329" s="21">
        <v>0</v>
      </c>
      <c r="I329" s="27"/>
    </row>
    <row r="330" spans="1:9">
      <c r="A330" s="21" t="s">
        <v>1931</v>
      </c>
      <c r="B330" s="22">
        <v>320</v>
      </c>
      <c r="C330" s="23"/>
      <c r="D330" s="23"/>
      <c r="E330" s="21"/>
      <c r="F330" s="24" t="s">
        <v>2663</v>
      </c>
      <c r="G330" s="24" t="s">
        <v>2664</v>
      </c>
      <c r="H330" s="21">
        <v>0</v>
      </c>
      <c r="I330" s="27"/>
    </row>
    <row r="331" spans="1:9">
      <c r="A331" s="21" t="s">
        <v>1931</v>
      </c>
      <c r="B331" s="22">
        <v>320</v>
      </c>
      <c r="C331" s="23"/>
      <c r="D331" s="23"/>
      <c r="E331" s="21"/>
      <c r="F331" s="24" t="s">
        <v>2665</v>
      </c>
      <c r="G331" s="24" t="s">
        <v>2620</v>
      </c>
      <c r="H331" s="21">
        <v>0</v>
      </c>
      <c r="I331" s="27"/>
    </row>
    <row r="332" spans="1:9">
      <c r="A332" s="21" t="s">
        <v>1931</v>
      </c>
      <c r="B332" s="22">
        <v>320</v>
      </c>
      <c r="C332" s="23"/>
      <c r="D332" s="23"/>
      <c r="E332" s="21"/>
      <c r="F332" s="24" t="s">
        <v>2666</v>
      </c>
      <c r="G332" s="24" t="s">
        <v>2622</v>
      </c>
      <c r="H332" s="21">
        <v>0</v>
      </c>
      <c r="I332" s="27"/>
    </row>
    <row r="333" spans="1:9">
      <c r="A333" s="21" t="s">
        <v>1931</v>
      </c>
      <c r="B333" s="22">
        <v>320</v>
      </c>
      <c r="C333" s="23"/>
      <c r="D333" s="23"/>
      <c r="E333" s="21"/>
      <c r="F333" s="24" t="s">
        <v>2667</v>
      </c>
      <c r="G333" s="24" t="s">
        <v>2624</v>
      </c>
      <c r="H333" s="21">
        <v>0</v>
      </c>
      <c r="I333" s="27"/>
    </row>
    <row r="334" spans="1:9">
      <c r="A334" s="21" t="s">
        <v>1931</v>
      </c>
      <c r="B334" s="22">
        <v>320</v>
      </c>
      <c r="C334" s="23"/>
      <c r="D334" s="23"/>
      <c r="E334" s="21"/>
      <c r="F334" s="24" t="s">
        <v>2668</v>
      </c>
      <c r="G334" s="24" t="s">
        <v>2669</v>
      </c>
      <c r="H334" s="21">
        <v>0</v>
      </c>
      <c r="I334" s="27"/>
    </row>
    <row r="335" spans="1:9">
      <c r="A335" s="21" t="s">
        <v>1931</v>
      </c>
      <c r="B335" s="22">
        <v>320</v>
      </c>
      <c r="C335" s="23"/>
      <c r="D335" s="23"/>
      <c r="E335" s="21"/>
      <c r="F335" s="24" t="s">
        <v>2670</v>
      </c>
      <c r="G335" s="24" t="s">
        <v>2671</v>
      </c>
      <c r="H335" s="21">
        <v>0</v>
      </c>
      <c r="I335" s="27"/>
    </row>
    <row r="336" spans="1:9">
      <c r="A336" s="21" t="s">
        <v>1931</v>
      </c>
      <c r="B336" s="22">
        <v>320</v>
      </c>
      <c r="C336" s="23"/>
      <c r="D336" s="23"/>
      <c r="E336" s="21"/>
      <c r="F336" s="24" t="s">
        <v>2672</v>
      </c>
      <c r="G336" s="24" t="s">
        <v>2673</v>
      </c>
      <c r="H336" s="21">
        <v>0</v>
      </c>
      <c r="I336" s="27"/>
    </row>
    <row r="337" spans="1:9">
      <c r="A337" s="21" t="s">
        <v>1931</v>
      </c>
      <c r="B337" s="22">
        <v>320</v>
      </c>
      <c r="C337" s="23"/>
      <c r="D337" s="23"/>
      <c r="E337" s="21"/>
      <c r="F337" s="24" t="s">
        <v>2674</v>
      </c>
      <c r="G337" s="24" t="s">
        <v>2630</v>
      </c>
      <c r="H337" s="21">
        <v>0</v>
      </c>
      <c r="I337" s="27"/>
    </row>
    <row r="338" spans="1:9">
      <c r="A338" s="21" t="s">
        <v>1931</v>
      </c>
      <c r="B338" s="22">
        <v>320</v>
      </c>
      <c r="C338" s="23"/>
      <c r="D338" s="23"/>
      <c r="E338" s="21"/>
      <c r="F338" s="24" t="s">
        <v>2675</v>
      </c>
      <c r="G338" s="24" t="s">
        <v>2632</v>
      </c>
      <c r="H338" s="21">
        <v>0</v>
      </c>
      <c r="I338" s="27"/>
    </row>
    <row r="339" spans="1:9">
      <c r="A339" s="21" t="s">
        <v>1931</v>
      </c>
      <c r="B339" s="22">
        <v>320</v>
      </c>
      <c r="C339" s="23"/>
      <c r="D339" s="23"/>
      <c r="E339" s="21"/>
      <c r="F339" s="24" t="s">
        <v>2676</v>
      </c>
      <c r="G339" s="24" t="s">
        <v>2634</v>
      </c>
      <c r="H339" s="21">
        <v>0</v>
      </c>
      <c r="I339" s="27"/>
    </row>
    <row r="340" spans="1:9">
      <c r="A340" s="21" t="s">
        <v>1931</v>
      </c>
      <c r="B340" s="22">
        <v>320</v>
      </c>
      <c r="C340" s="23"/>
      <c r="D340" s="23"/>
      <c r="E340" s="21"/>
      <c r="F340" s="24" t="s">
        <v>2677</v>
      </c>
      <c r="G340" s="24" t="s">
        <v>2638</v>
      </c>
      <c r="H340" s="21">
        <v>0</v>
      </c>
      <c r="I340" s="27"/>
    </row>
    <row r="341" spans="1:9">
      <c r="A341" s="21" t="s">
        <v>1931</v>
      </c>
      <c r="B341" s="22">
        <v>320</v>
      </c>
      <c r="C341" s="23"/>
      <c r="D341" s="23"/>
      <c r="E341" s="21"/>
      <c r="F341" s="24" t="s">
        <v>2678</v>
      </c>
      <c r="G341" s="24" t="s">
        <v>2636</v>
      </c>
      <c r="H341" s="21">
        <v>0</v>
      </c>
      <c r="I341" s="27"/>
    </row>
    <row r="342" ht="42" spans="1:9">
      <c r="A342" s="21" t="s">
        <v>1731</v>
      </c>
      <c r="B342" s="22">
        <v>330</v>
      </c>
      <c r="C342" s="23" t="s">
        <v>2679</v>
      </c>
      <c r="D342" s="23" t="s">
        <v>2680</v>
      </c>
      <c r="E342" s="21">
        <v>0</v>
      </c>
      <c r="F342" s="24" t="s">
        <v>2681</v>
      </c>
      <c r="G342" s="24" t="s">
        <v>2682</v>
      </c>
      <c r="H342" s="21">
        <v>0</v>
      </c>
      <c r="I342" s="27"/>
    </row>
    <row r="343" ht="28" spans="1:9">
      <c r="A343" s="21" t="s">
        <v>1731</v>
      </c>
      <c r="B343" s="22">
        <v>330</v>
      </c>
      <c r="C343" s="23" t="s">
        <v>2683</v>
      </c>
      <c r="D343" s="23" t="s">
        <v>2684</v>
      </c>
      <c r="E343" s="21">
        <v>0</v>
      </c>
      <c r="F343" s="24" t="s">
        <v>2685</v>
      </c>
      <c r="G343" s="24" t="s">
        <v>2686</v>
      </c>
      <c r="H343" s="21">
        <v>0</v>
      </c>
      <c r="I343" s="27"/>
    </row>
    <row r="344" spans="1:9">
      <c r="A344" s="21" t="s">
        <v>1931</v>
      </c>
      <c r="B344" s="22">
        <v>330</v>
      </c>
      <c r="C344" s="24" t="s">
        <v>2687</v>
      </c>
      <c r="D344" s="24" t="s">
        <v>2688</v>
      </c>
      <c r="E344" s="21">
        <v>0</v>
      </c>
      <c r="F344" s="24" t="s">
        <v>2689</v>
      </c>
      <c r="G344" s="24" t="s">
        <v>2571</v>
      </c>
      <c r="H344" s="21">
        <v>0</v>
      </c>
      <c r="I344" s="27"/>
    </row>
    <row r="345" spans="1:9">
      <c r="A345" s="21" t="s">
        <v>1931</v>
      </c>
      <c r="B345" s="22">
        <v>330</v>
      </c>
      <c r="C345" s="23"/>
      <c r="D345" s="23"/>
      <c r="E345" s="21"/>
      <c r="F345" s="24" t="s">
        <v>2690</v>
      </c>
      <c r="G345" s="24" t="s">
        <v>2658</v>
      </c>
      <c r="H345" s="21">
        <v>0</v>
      </c>
      <c r="I345" s="27"/>
    </row>
    <row r="346" spans="1:9">
      <c r="A346" s="21" t="s">
        <v>1931</v>
      </c>
      <c r="B346" s="22">
        <v>330</v>
      </c>
      <c r="C346" s="23"/>
      <c r="D346" s="23"/>
      <c r="E346" s="21"/>
      <c r="F346" s="24" t="s">
        <v>2691</v>
      </c>
      <c r="G346" s="24" t="s">
        <v>2610</v>
      </c>
      <c r="H346" s="21">
        <v>0</v>
      </c>
      <c r="I346" s="27"/>
    </row>
    <row r="347" spans="1:9">
      <c r="A347" s="21" t="s">
        <v>1931</v>
      </c>
      <c r="B347" s="22">
        <v>330</v>
      </c>
      <c r="C347" s="23"/>
      <c r="D347" s="23"/>
      <c r="E347" s="21"/>
      <c r="F347" s="24" t="s">
        <v>2692</v>
      </c>
      <c r="G347" s="24" t="s">
        <v>2612</v>
      </c>
      <c r="H347" s="21">
        <v>0</v>
      </c>
      <c r="I347" s="27"/>
    </row>
    <row r="348" spans="1:9">
      <c r="A348" s="21" t="s">
        <v>1931</v>
      </c>
      <c r="B348" s="22">
        <v>330</v>
      </c>
      <c r="C348" s="23"/>
      <c r="D348" s="23"/>
      <c r="E348" s="21"/>
      <c r="F348" s="24" t="s">
        <v>2693</v>
      </c>
      <c r="G348" s="24" t="s">
        <v>2614</v>
      </c>
      <c r="H348" s="21">
        <v>0</v>
      </c>
      <c r="I348" s="27"/>
    </row>
    <row r="349" spans="1:9">
      <c r="A349" s="21" t="s">
        <v>1931</v>
      </c>
      <c r="B349" s="22">
        <v>330</v>
      </c>
      <c r="C349" s="23"/>
      <c r="D349" s="23"/>
      <c r="E349" s="21"/>
      <c r="F349" s="24" t="s">
        <v>2694</v>
      </c>
      <c r="G349" s="24" t="s">
        <v>2630</v>
      </c>
      <c r="H349" s="21">
        <v>0</v>
      </c>
      <c r="I349" s="27"/>
    </row>
    <row r="350" spans="1:9">
      <c r="A350" s="21" t="s">
        <v>1931</v>
      </c>
      <c r="B350" s="22">
        <v>330</v>
      </c>
      <c r="C350" s="23"/>
      <c r="D350" s="23"/>
      <c r="E350" s="21"/>
      <c r="F350" s="24" t="s">
        <v>2695</v>
      </c>
      <c r="G350" s="24" t="s">
        <v>2632</v>
      </c>
      <c r="H350" s="21">
        <v>0</v>
      </c>
      <c r="I350" s="27"/>
    </row>
    <row r="351" spans="1:9">
      <c r="A351" s="21" t="s">
        <v>1931</v>
      </c>
      <c r="B351" s="22">
        <v>330</v>
      </c>
      <c r="C351" s="23"/>
      <c r="D351" s="23"/>
      <c r="E351" s="21"/>
      <c r="F351" s="24" t="s">
        <v>2696</v>
      </c>
      <c r="G351" s="24" t="s">
        <v>2638</v>
      </c>
      <c r="H351" s="21">
        <v>0</v>
      </c>
      <c r="I351" s="27"/>
    </row>
    <row r="352" ht="56" spans="1:9">
      <c r="A352" s="21" t="s">
        <v>1731</v>
      </c>
      <c r="B352" s="22">
        <v>340</v>
      </c>
      <c r="C352" s="23" t="s">
        <v>2697</v>
      </c>
      <c r="D352" s="23" t="s">
        <v>2698</v>
      </c>
      <c r="E352" s="21">
        <v>0</v>
      </c>
      <c r="F352" s="24" t="s">
        <v>2699</v>
      </c>
      <c r="G352" s="24" t="s">
        <v>2700</v>
      </c>
      <c r="H352" s="21">
        <v>1</v>
      </c>
      <c r="I352" s="27"/>
    </row>
    <row r="353" ht="28" spans="1:9">
      <c r="A353" s="21" t="s">
        <v>1731</v>
      </c>
      <c r="B353" s="22">
        <v>340</v>
      </c>
      <c r="C353" s="23" t="s">
        <v>2701</v>
      </c>
      <c r="D353" s="23" t="s">
        <v>2702</v>
      </c>
      <c r="E353" s="21">
        <v>0</v>
      </c>
      <c r="F353" s="24" t="s">
        <v>2703</v>
      </c>
      <c r="G353" s="24" t="s">
        <v>2704</v>
      </c>
      <c r="H353" s="21">
        <v>0</v>
      </c>
      <c r="I353" s="27"/>
    </row>
    <row r="354" ht="28" spans="1:9">
      <c r="A354" s="21" t="s">
        <v>1731</v>
      </c>
      <c r="B354" s="22">
        <v>340</v>
      </c>
      <c r="C354" s="23" t="s">
        <v>2705</v>
      </c>
      <c r="D354" s="23" t="s">
        <v>2706</v>
      </c>
      <c r="E354" s="21">
        <v>0</v>
      </c>
      <c r="F354" s="24" t="s">
        <v>2707</v>
      </c>
      <c r="G354" s="24" t="s">
        <v>2704</v>
      </c>
      <c r="H354" s="21">
        <v>0</v>
      </c>
      <c r="I354" s="27"/>
    </row>
    <row r="355" spans="1:9">
      <c r="A355" s="21" t="s">
        <v>1731</v>
      </c>
      <c r="B355" s="22">
        <v>340</v>
      </c>
      <c r="C355" s="23" t="s">
        <v>2708</v>
      </c>
      <c r="D355" s="23" t="s">
        <v>2709</v>
      </c>
      <c r="E355" s="21">
        <v>0</v>
      </c>
      <c r="F355" s="27"/>
      <c r="G355" s="27"/>
      <c r="H355" s="10"/>
      <c r="I355" s="27"/>
    </row>
    <row r="356" spans="1:9">
      <c r="A356" s="21" t="s">
        <v>1931</v>
      </c>
      <c r="B356" s="22">
        <v>340</v>
      </c>
      <c r="C356" s="24" t="s">
        <v>2710</v>
      </c>
      <c r="D356" s="24" t="s">
        <v>2711</v>
      </c>
      <c r="E356" s="21">
        <v>0</v>
      </c>
      <c r="F356" s="24" t="s">
        <v>2712</v>
      </c>
      <c r="G356" s="24" t="s">
        <v>2658</v>
      </c>
      <c r="H356" s="21">
        <v>0</v>
      </c>
      <c r="I356" s="27"/>
    </row>
    <row r="357" spans="1:9">
      <c r="A357" s="21" t="s">
        <v>1931</v>
      </c>
      <c r="B357" s="22">
        <v>340</v>
      </c>
      <c r="C357" s="24"/>
      <c r="D357" s="24"/>
      <c r="E357" s="21"/>
      <c r="F357" s="24" t="s">
        <v>2713</v>
      </c>
      <c r="G357" s="24" t="s">
        <v>2571</v>
      </c>
      <c r="H357" s="21">
        <v>0</v>
      </c>
      <c r="I357" s="27"/>
    </row>
    <row r="358" spans="1:9">
      <c r="A358" s="21" t="s">
        <v>1931</v>
      </c>
      <c r="B358" s="22">
        <v>340</v>
      </c>
      <c r="C358" s="24"/>
      <c r="D358" s="24"/>
      <c r="E358" s="21"/>
      <c r="F358" s="24" t="s">
        <v>2714</v>
      </c>
      <c r="G358" s="24" t="s">
        <v>2610</v>
      </c>
      <c r="H358" s="21">
        <v>0</v>
      </c>
      <c r="I358" s="27"/>
    </row>
    <row r="359" spans="1:9">
      <c r="A359" s="21" t="s">
        <v>1931</v>
      </c>
      <c r="B359" s="22">
        <v>340</v>
      </c>
      <c r="C359" s="24"/>
      <c r="D359" s="24"/>
      <c r="E359" s="21"/>
      <c r="F359" s="24" t="s">
        <v>2715</v>
      </c>
      <c r="G359" s="24" t="s">
        <v>2612</v>
      </c>
      <c r="H359" s="21">
        <v>0</v>
      </c>
      <c r="I359" s="27"/>
    </row>
    <row r="360" spans="1:9">
      <c r="A360" s="21" t="s">
        <v>1931</v>
      </c>
      <c r="B360" s="22">
        <v>340</v>
      </c>
      <c r="C360" s="24"/>
      <c r="D360" s="24"/>
      <c r="E360" s="21"/>
      <c r="F360" s="24" t="s">
        <v>2716</v>
      </c>
      <c r="G360" s="24" t="s">
        <v>2614</v>
      </c>
      <c r="H360" s="21">
        <v>0</v>
      </c>
      <c r="I360" s="27"/>
    </row>
    <row r="361" spans="1:9">
      <c r="A361" s="21" t="s">
        <v>1931</v>
      </c>
      <c r="B361" s="22">
        <v>340</v>
      </c>
      <c r="C361" s="24"/>
      <c r="D361" s="24"/>
      <c r="E361" s="21"/>
      <c r="F361" s="24" t="s">
        <v>2717</v>
      </c>
      <c r="G361" s="24" t="s">
        <v>2620</v>
      </c>
      <c r="H361" s="21">
        <v>0</v>
      </c>
      <c r="I361" s="27"/>
    </row>
    <row r="362" spans="1:9">
      <c r="A362" s="21" t="s">
        <v>1931</v>
      </c>
      <c r="B362" s="22">
        <v>340</v>
      </c>
      <c r="C362" s="24"/>
      <c r="D362" s="24"/>
      <c r="E362" s="21"/>
      <c r="F362" s="24" t="s">
        <v>2718</v>
      </c>
      <c r="G362" s="24" t="s">
        <v>2622</v>
      </c>
      <c r="H362" s="21">
        <v>0</v>
      </c>
      <c r="I362" s="27"/>
    </row>
    <row r="363" spans="1:9">
      <c r="A363" s="21" t="s">
        <v>1931</v>
      </c>
      <c r="B363" s="22">
        <v>340</v>
      </c>
      <c r="C363" s="24"/>
      <c r="D363" s="24"/>
      <c r="E363" s="21"/>
      <c r="F363" s="24" t="s">
        <v>2719</v>
      </c>
      <c r="G363" s="24" t="s">
        <v>2624</v>
      </c>
      <c r="H363" s="21">
        <v>0</v>
      </c>
      <c r="I363" s="27"/>
    </row>
    <row r="364" spans="1:9">
      <c r="A364" s="21" t="s">
        <v>1931</v>
      </c>
      <c r="B364" s="22">
        <v>340</v>
      </c>
      <c r="C364" s="24"/>
      <c r="D364" s="24"/>
      <c r="E364" s="21"/>
      <c r="F364" s="24" t="s">
        <v>2720</v>
      </c>
      <c r="G364" s="24" t="s">
        <v>2669</v>
      </c>
      <c r="H364" s="21">
        <v>0</v>
      </c>
      <c r="I364" s="27"/>
    </row>
    <row r="365" spans="1:9">
      <c r="A365" s="21" t="s">
        <v>1931</v>
      </c>
      <c r="B365" s="22">
        <v>340</v>
      </c>
      <c r="C365" s="24"/>
      <c r="D365" s="24"/>
      <c r="E365" s="21"/>
      <c r="F365" s="24" t="s">
        <v>2721</v>
      </c>
      <c r="G365" s="24" t="s">
        <v>2671</v>
      </c>
      <c r="H365" s="21">
        <v>0</v>
      </c>
      <c r="I365" s="27"/>
    </row>
    <row r="366" spans="1:9">
      <c r="A366" s="21" t="s">
        <v>1931</v>
      </c>
      <c r="B366" s="22">
        <v>340</v>
      </c>
      <c r="C366" s="24"/>
      <c r="D366" s="24"/>
      <c r="E366" s="21"/>
      <c r="F366" s="24" t="s">
        <v>2722</v>
      </c>
      <c r="G366" s="24" t="s">
        <v>2723</v>
      </c>
      <c r="H366" s="21">
        <v>0</v>
      </c>
      <c r="I366" s="27"/>
    </row>
    <row r="367" spans="1:9">
      <c r="A367" s="21" t="s">
        <v>1931</v>
      </c>
      <c r="B367" s="22">
        <v>340</v>
      </c>
      <c r="C367" s="24"/>
      <c r="D367" s="24"/>
      <c r="E367" s="21"/>
      <c r="F367" s="24" t="s">
        <v>2724</v>
      </c>
      <c r="G367" s="24" t="s">
        <v>2725</v>
      </c>
      <c r="H367" s="21">
        <v>0</v>
      </c>
      <c r="I367" s="27"/>
    </row>
    <row r="368" spans="1:9">
      <c r="A368" s="21" t="s">
        <v>1931</v>
      </c>
      <c r="B368" s="22">
        <v>340</v>
      </c>
      <c r="C368" s="24"/>
      <c r="D368" s="24"/>
      <c r="E368" s="21"/>
      <c r="F368" s="24" t="s">
        <v>2726</v>
      </c>
      <c r="G368" s="24" t="s">
        <v>2630</v>
      </c>
      <c r="H368" s="21">
        <v>0</v>
      </c>
      <c r="I368" s="27"/>
    </row>
    <row r="369" spans="1:9">
      <c r="A369" s="21" t="s">
        <v>1931</v>
      </c>
      <c r="B369" s="22">
        <v>340</v>
      </c>
      <c r="C369" s="24"/>
      <c r="D369" s="24"/>
      <c r="E369" s="21"/>
      <c r="F369" s="24" t="s">
        <v>2727</v>
      </c>
      <c r="G369" s="24" t="s">
        <v>2632</v>
      </c>
      <c r="H369" s="21">
        <v>0</v>
      </c>
      <c r="I369" s="27"/>
    </row>
    <row r="370" spans="1:9">
      <c r="A370" s="21" t="s">
        <v>1931</v>
      </c>
      <c r="B370" s="22">
        <v>340</v>
      </c>
      <c r="C370" s="24"/>
      <c r="D370" s="24"/>
      <c r="E370" s="21"/>
      <c r="F370" s="24" t="s">
        <v>2728</v>
      </c>
      <c r="G370" s="24" t="s">
        <v>2729</v>
      </c>
      <c r="H370" s="21">
        <v>0</v>
      </c>
      <c r="I370" s="27"/>
    </row>
    <row r="371" spans="1:9">
      <c r="A371" s="21" t="s">
        <v>1931</v>
      </c>
      <c r="B371" s="22">
        <v>340</v>
      </c>
      <c r="C371" s="24"/>
      <c r="D371" s="24"/>
      <c r="E371" s="21"/>
      <c r="F371" s="24" t="s">
        <v>2730</v>
      </c>
      <c r="G371" s="24" t="s">
        <v>2638</v>
      </c>
      <c r="H371" s="21">
        <v>0</v>
      </c>
      <c r="I371" s="27"/>
    </row>
    <row r="372" spans="1:9">
      <c r="A372" s="21" t="s">
        <v>1931</v>
      </c>
      <c r="B372" s="22">
        <v>340</v>
      </c>
      <c r="C372" s="24"/>
      <c r="D372" s="24"/>
      <c r="E372" s="21"/>
      <c r="F372" s="24" t="s">
        <v>2731</v>
      </c>
      <c r="G372" s="24" t="s">
        <v>2636</v>
      </c>
      <c r="H372" s="21">
        <v>0</v>
      </c>
      <c r="I372" s="27"/>
    </row>
    <row r="373" spans="1:9">
      <c r="A373" s="21" t="s">
        <v>1931</v>
      </c>
      <c r="B373" s="22">
        <v>350</v>
      </c>
      <c r="C373" s="24" t="s">
        <v>2732</v>
      </c>
      <c r="D373" s="24" t="s">
        <v>2658</v>
      </c>
      <c r="E373" s="21">
        <v>0</v>
      </c>
      <c r="F373" s="24" t="s">
        <v>2733</v>
      </c>
      <c r="G373" s="24" t="s">
        <v>2658</v>
      </c>
      <c r="H373" s="21">
        <v>0</v>
      </c>
      <c r="I373" s="27"/>
    </row>
    <row r="374" spans="1:9">
      <c r="A374" s="21" t="s">
        <v>1931</v>
      </c>
      <c r="B374" s="22">
        <v>350</v>
      </c>
      <c r="C374" s="23"/>
      <c r="D374" s="23"/>
      <c r="E374" s="21"/>
      <c r="F374" s="24" t="s">
        <v>2734</v>
      </c>
      <c r="G374" s="24" t="s">
        <v>2571</v>
      </c>
      <c r="H374" s="21">
        <v>0</v>
      </c>
      <c r="I374" s="27"/>
    </row>
    <row r="375" spans="1:9">
      <c r="A375" s="21" t="s">
        <v>1931</v>
      </c>
      <c r="B375" s="22">
        <v>350</v>
      </c>
      <c r="C375" s="23"/>
      <c r="D375" s="23"/>
      <c r="E375" s="21"/>
      <c r="F375" s="24" t="s">
        <v>2735</v>
      </c>
      <c r="G375" s="24" t="s">
        <v>2610</v>
      </c>
      <c r="H375" s="21">
        <v>0</v>
      </c>
      <c r="I375" s="27"/>
    </row>
    <row r="376" spans="1:9">
      <c r="A376" s="21" t="s">
        <v>1931</v>
      </c>
      <c r="B376" s="22">
        <v>350</v>
      </c>
      <c r="C376" s="23"/>
      <c r="D376" s="23"/>
      <c r="E376" s="21"/>
      <c r="F376" s="24" t="s">
        <v>2736</v>
      </c>
      <c r="G376" s="24" t="s">
        <v>2612</v>
      </c>
      <c r="H376" s="21">
        <v>0</v>
      </c>
      <c r="I376" s="27"/>
    </row>
    <row r="377" spans="1:9">
      <c r="A377" s="21" t="s">
        <v>1931</v>
      </c>
      <c r="B377" s="22">
        <v>350</v>
      </c>
      <c r="C377" s="23"/>
      <c r="D377" s="23"/>
      <c r="E377" s="21"/>
      <c r="F377" s="24" t="s">
        <v>2737</v>
      </c>
      <c r="G377" s="24" t="s">
        <v>2614</v>
      </c>
      <c r="H377" s="21">
        <v>0</v>
      </c>
      <c r="I377" s="27"/>
    </row>
    <row r="378" spans="1:9">
      <c r="A378" s="21" t="s">
        <v>1931</v>
      </c>
      <c r="B378" s="22">
        <v>350</v>
      </c>
      <c r="C378" s="23"/>
      <c r="D378" s="23"/>
      <c r="E378" s="21"/>
      <c r="F378" s="24" t="s">
        <v>2738</v>
      </c>
      <c r="G378" s="24" t="s">
        <v>2739</v>
      </c>
      <c r="H378" s="21">
        <v>0</v>
      </c>
      <c r="I378" s="27"/>
    </row>
    <row r="379" spans="1:9">
      <c r="A379" s="21" t="s">
        <v>1931</v>
      </c>
      <c r="B379" s="22">
        <v>350</v>
      </c>
      <c r="C379" s="23"/>
      <c r="D379" s="23"/>
      <c r="E379" s="21"/>
      <c r="F379" s="24" t="s">
        <v>2740</v>
      </c>
      <c r="G379" s="24" t="s">
        <v>2622</v>
      </c>
      <c r="H379" s="21">
        <v>0</v>
      </c>
      <c r="I379" s="27"/>
    </row>
    <row r="380" spans="1:9">
      <c r="A380" s="21" t="s">
        <v>1931</v>
      </c>
      <c r="B380" s="22">
        <v>350</v>
      </c>
      <c r="C380" s="23"/>
      <c r="D380" s="23"/>
      <c r="E380" s="21"/>
      <c r="F380" s="24" t="s">
        <v>2741</v>
      </c>
      <c r="G380" s="24" t="s">
        <v>2669</v>
      </c>
      <c r="H380" s="21">
        <v>0</v>
      </c>
      <c r="I380" s="27"/>
    </row>
    <row r="381" spans="1:9">
      <c r="A381" s="21" t="s">
        <v>1931</v>
      </c>
      <c r="B381" s="22">
        <v>350</v>
      </c>
      <c r="C381" s="23"/>
      <c r="D381" s="23"/>
      <c r="E381" s="21"/>
      <c r="F381" s="24" t="s">
        <v>2742</v>
      </c>
      <c r="G381" s="24" t="s">
        <v>2630</v>
      </c>
      <c r="H381" s="21">
        <v>0</v>
      </c>
      <c r="I381" s="27"/>
    </row>
    <row r="382" spans="1:9">
      <c r="A382" s="21" t="s">
        <v>1931</v>
      </c>
      <c r="B382" s="22">
        <v>350</v>
      </c>
      <c r="C382" s="23"/>
      <c r="D382" s="23"/>
      <c r="E382" s="21"/>
      <c r="F382" s="24" t="s">
        <v>2743</v>
      </c>
      <c r="G382" s="24" t="s">
        <v>2632</v>
      </c>
      <c r="H382" s="21">
        <v>0</v>
      </c>
      <c r="I382" s="27"/>
    </row>
    <row r="383" spans="1:9">
      <c r="A383" s="21" t="s">
        <v>1931</v>
      </c>
      <c r="B383" s="22">
        <v>350</v>
      </c>
      <c r="C383" s="23"/>
      <c r="D383" s="23"/>
      <c r="E383" s="21"/>
      <c r="F383" s="24" t="s">
        <v>2744</v>
      </c>
      <c r="G383" s="24" t="s">
        <v>2729</v>
      </c>
      <c r="H383" s="21">
        <v>0</v>
      </c>
      <c r="I383" s="27"/>
    </row>
    <row r="384" spans="1:9">
      <c r="A384" s="21" t="s">
        <v>1931</v>
      </c>
      <c r="B384" s="22">
        <v>350</v>
      </c>
      <c r="C384" s="23"/>
      <c r="D384" s="23"/>
      <c r="E384" s="21"/>
      <c r="F384" s="24" t="s">
        <v>2745</v>
      </c>
      <c r="G384" s="24" t="s">
        <v>2638</v>
      </c>
      <c r="H384" s="21">
        <v>0</v>
      </c>
      <c r="I384" s="27"/>
    </row>
    <row r="385" spans="1:9">
      <c r="A385" s="21" t="s">
        <v>1931</v>
      </c>
      <c r="B385" s="22">
        <v>350</v>
      </c>
      <c r="C385" s="23"/>
      <c r="D385" s="23"/>
      <c r="E385" s="21"/>
      <c r="F385" s="24" t="s">
        <v>2746</v>
      </c>
      <c r="G385" s="24" t="s">
        <v>2636</v>
      </c>
      <c r="H385" s="21">
        <v>0</v>
      </c>
      <c r="I385" s="27"/>
    </row>
    <row r="386" ht="42" spans="1:9">
      <c r="A386" s="21" t="s">
        <v>1731</v>
      </c>
      <c r="B386" s="22">
        <v>360</v>
      </c>
      <c r="C386" s="23" t="s">
        <v>2747</v>
      </c>
      <c r="D386" s="23" t="s">
        <v>2748</v>
      </c>
      <c r="E386" s="21">
        <v>0</v>
      </c>
      <c r="F386" s="24" t="s">
        <v>2749</v>
      </c>
      <c r="G386" s="24" t="s">
        <v>2750</v>
      </c>
      <c r="H386" s="21" t="s">
        <v>2751</v>
      </c>
      <c r="I386" s="27"/>
    </row>
    <row r="387" ht="28" spans="1:9">
      <c r="A387" s="21" t="s">
        <v>1731</v>
      </c>
      <c r="B387" s="22">
        <v>360</v>
      </c>
      <c r="C387" s="23" t="s">
        <v>2752</v>
      </c>
      <c r="D387" s="23" t="s">
        <v>2753</v>
      </c>
      <c r="E387" s="21">
        <v>0</v>
      </c>
      <c r="F387" s="24" t="s">
        <v>2754</v>
      </c>
      <c r="G387" s="24" t="s">
        <v>2755</v>
      </c>
      <c r="H387" s="21" t="s">
        <v>2751</v>
      </c>
      <c r="I387" s="27"/>
    </row>
    <row r="388" spans="1:9">
      <c r="A388" s="21" t="s">
        <v>1731</v>
      </c>
      <c r="B388" s="22">
        <v>360</v>
      </c>
      <c r="C388" s="23" t="s">
        <v>2756</v>
      </c>
      <c r="D388" s="23" t="s">
        <v>2757</v>
      </c>
      <c r="E388" s="21">
        <v>0</v>
      </c>
      <c r="F388" s="27"/>
      <c r="G388" s="27"/>
      <c r="H388" s="10"/>
      <c r="I388" s="27"/>
    </row>
    <row r="389" ht="28" spans="1:9">
      <c r="A389" s="21" t="s">
        <v>1731</v>
      </c>
      <c r="B389" s="22">
        <v>360</v>
      </c>
      <c r="C389" s="23" t="s">
        <v>2758</v>
      </c>
      <c r="D389" s="23" t="s">
        <v>2759</v>
      </c>
      <c r="E389" s="21">
        <v>0</v>
      </c>
      <c r="F389" s="27"/>
      <c r="G389" s="27"/>
      <c r="H389" s="10"/>
      <c r="I389" s="27"/>
    </row>
    <row r="390" ht="56" spans="1:9">
      <c r="A390" s="21" t="s">
        <v>1731</v>
      </c>
      <c r="B390" s="22">
        <v>380</v>
      </c>
      <c r="C390" s="23" t="s">
        <v>2760</v>
      </c>
      <c r="D390" s="23" t="s">
        <v>2761</v>
      </c>
      <c r="E390" s="21">
        <v>0</v>
      </c>
      <c r="F390" s="24" t="s">
        <v>2762</v>
      </c>
      <c r="G390" s="24" t="s">
        <v>2763</v>
      </c>
      <c r="H390" s="21">
        <v>1</v>
      </c>
      <c r="I390" s="27"/>
    </row>
    <row r="391" ht="28" spans="1:9">
      <c r="A391" s="21" t="s">
        <v>1731</v>
      </c>
      <c r="B391" s="22">
        <v>380</v>
      </c>
      <c r="C391" s="23" t="s">
        <v>2764</v>
      </c>
      <c r="D391" s="23" t="s">
        <v>2765</v>
      </c>
      <c r="E391" s="21">
        <v>0</v>
      </c>
      <c r="F391" s="24" t="s">
        <v>2766</v>
      </c>
      <c r="G391" s="24" t="s">
        <v>2767</v>
      </c>
      <c r="H391" s="21">
        <v>0</v>
      </c>
      <c r="I391" s="27"/>
    </row>
    <row r="392" ht="28" spans="1:9">
      <c r="A392" s="21" t="s">
        <v>1731</v>
      </c>
      <c r="B392" s="22">
        <v>380</v>
      </c>
      <c r="C392" s="23" t="s">
        <v>2768</v>
      </c>
      <c r="D392" s="23" t="s">
        <v>2769</v>
      </c>
      <c r="E392" s="21">
        <v>0</v>
      </c>
      <c r="F392" s="27"/>
      <c r="G392" s="27"/>
      <c r="H392" s="10"/>
      <c r="I392" s="27"/>
    </row>
    <row r="393" spans="1:9">
      <c r="A393" s="21" t="s">
        <v>1731</v>
      </c>
      <c r="B393" s="22">
        <v>380</v>
      </c>
      <c r="C393" s="23" t="s">
        <v>2770</v>
      </c>
      <c r="D393" s="23" t="s">
        <v>2771</v>
      </c>
      <c r="E393" s="21">
        <v>0</v>
      </c>
      <c r="F393" s="27"/>
      <c r="G393" s="27"/>
      <c r="H393" s="10"/>
      <c r="I393" s="27"/>
    </row>
    <row r="394" spans="1:9">
      <c r="A394" s="21" t="s">
        <v>1931</v>
      </c>
      <c r="B394" s="22">
        <v>380</v>
      </c>
      <c r="C394" s="28" t="s">
        <v>2772</v>
      </c>
      <c r="D394" s="24" t="s">
        <v>2773</v>
      </c>
      <c r="E394" s="21">
        <v>0</v>
      </c>
      <c r="F394" s="24" t="s">
        <v>2774</v>
      </c>
      <c r="G394" s="24" t="s">
        <v>2658</v>
      </c>
      <c r="H394" s="21">
        <v>0</v>
      </c>
      <c r="I394" s="27"/>
    </row>
    <row r="395" spans="1:9">
      <c r="A395" s="21"/>
      <c r="B395" s="22"/>
      <c r="C395" s="23"/>
      <c r="D395" s="23"/>
      <c r="E395" s="21"/>
      <c r="F395" s="24" t="s">
        <v>2775</v>
      </c>
      <c r="G395" s="24" t="s">
        <v>2571</v>
      </c>
      <c r="H395" s="21">
        <v>0</v>
      </c>
      <c r="I395" s="27"/>
    </row>
    <row r="396" spans="1:9">
      <c r="A396" s="21"/>
      <c r="B396" s="22"/>
      <c r="C396" s="23"/>
      <c r="D396" s="23"/>
      <c r="E396" s="21"/>
      <c r="F396" s="24" t="s">
        <v>2776</v>
      </c>
      <c r="G396" s="24" t="s">
        <v>2610</v>
      </c>
      <c r="H396" s="21">
        <v>0</v>
      </c>
      <c r="I396" s="27"/>
    </row>
    <row r="397" spans="1:9">
      <c r="A397" s="21"/>
      <c r="B397" s="22"/>
      <c r="C397" s="23"/>
      <c r="D397" s="23"/>
      <c r="E397" s="21"/>
      <c r="F397" s="24" t="s">
        <v>2777</v>
      </c>
      <c r="G397" s="24" t="s">
        <v>2612</v>
      </c>
      <c r="H397" s="21">
        <v>0</v>
      </c>
      <c r="I397" s="27"/>
    </row>
    <row r="398" spans="1:9">
      <c r="A398" s="21"/>
      <c r="B398" s="22"/>
      <c r="C398" s="23"/>
      <c r="D398" s="23"/>
      <c r="E398" s="21"/>
      <c r="F398" s="24" t="s">
        <v>2778</v>
      </c>
      <c r="G398" s="24" t="s">
        <v>2614</v>
      </c>
      <c r="H398" s="21">
        <v>0</v>
      </c>
      <c r="I398" s="27"/>
    </row>
    <row r="399" spans="1:9">
      <c r="A399" s="21"/>
      <c r="B399" s="22"/>
      <c r="C399" s="23"/>
      <c r="D399" s="23"/>
      <c r="E399" s="21"/>
      <c r="F399" s="24" t="s">
        <v>2779</v>
      </c>
      <c r="G399" s="24" t="s">
        <v>2616</v>
      </c>
      <c r="H399" s="21">
        <v>0</v>
      </c>
      <c r="I399" s="27"/>
    </row>
    <row r="400" spans="1:9">
      <c r="A400" s="21"/>
      <c r="B400" s="22"/>
      <c r="C400" s="23"/>
      <c r="D400" s="23"/>
      <c r="E400" s="21"/>
      <c r="F400" s="24" t="s">
        <v>2780</v>
      </c>
      <c r="G400" s="24" t="s">
        <v>2781</v>
      </c>
      <c r="H400" s="21">
        <v>0</v>
      </c>
      <c r="I400" s="27"/>
    </row>
    <row r="401" spans="1:9">
      <c r="A401" s="21"/>
      <c r="B401" s="22"/>
      <c r="C401" s="23"/>
      <c r="D401" s="23"/>
      <c r="E401" s="21"/>
      <c r="F401" s="24" t="s">
        <v>2782</v>
      </c>
      <c r="G401" s="24" t="s">
        <v>2739</v>
      </c>
      <c r="H401" s="21">
        <v>0</v>
      </c>
      <c r="I401" s="27"/>
    </row>
    <row r="402" spans="1:9">
      <c r="A402" s="21"/>
      <c r="B402" s="22"/>
      <c r="C402" s="23"/>
      <c r="D402" s="23"/>
      <c r="E402" s="21"/>
      <c r="F402" s="24" t="s">
        <v>2783</v>
      </c>
      <c r="G402" s="24" t="s">
        <v>2622</v>
      </c>
      <c r="H402" s="21">
        <v>0</v>
      </c>
      <c r="I402" s="27"/>
    </row>
    <row r="403" spans="1:9">
      <c r="A403" s="21"/>
      <c r="B403" s="22"/>
      <c r="C403" s="23"/>
      <c r="D403" s="23"/>
      <c r="E403" s="21"/>
      <c r="F403" s="24" t="s">
        <v>2784</v>
      </c>
      <c r="G403" s="24" t="s">
        <v>2785</v>
      </c>
      <c r="H403" s="21">
        <v>0</v>
      </c>
      <c r="I403" s="27"/>
    </row>
    <row r="404" spans="1:9">
      <c r="A404" s="21"/>
      <c r="B404" s="22"/>
      <c r="C404" s="23"/>
      <c r="D404" s="23"/>
      <c r="E404" s="21"/>
      <c r="F404" s="24" t="s">
        <v>2786</v>
      </c>
      <c r="G404" s="24" t="s">
        <v>2632</v>
      </c>
      <c r="H404" s="21">
        <v>0</v>
      </c>
      <c r="I404" s="27"/>
    </row>
    <row r="405" spans="1:9">
      <c r="A405" s="21"/>
      <c r="B405" s="22"/>
      <c r="C405" s="23"/>
      <c r="D405" s="23"/>
      <c r="E405" s="21"/>
      <c r="F405" s="24" t="s">
        <v>2787</v>
      </c>
      <c r="G405" s="24" t="s">
        <v>2788</v>
      </c>
      <c r="H405" s="21">
        <v>0</v>
      </c>
      <c r="I405" s="27"/>
    </row>
    <row r="406" spans="1:9">
      <c r="A406" s="21"/>
      <c r="B406" s="22"/>
      <c r="C406" s="23"/>
      <c r="D406" s="23"/>
      <c r="E406" s="21"/>
      <c r="F406" s="24" t="s">
        <v>2789</v>
      </c>
      <c r="G406" s="24" t="s">
        <v>2636</v>
      </c>
      <c r="H406" s="21">
        <v>0</v>
      </c>
      <c r="I406" s="27"/>
    </row>
    <row r="407" spans="1:9">
      <c r="A407" s="21"/>
      <c r="B407" s="22"/>
      <c r="C407" s="23"/>
      <c r="D407" s="23"/>
      <c r="E407" s="21"/>
      <c r="F407" s="24" t="s">
        <v>2790</v>
      </c>
      <c r="G407" s="24" t="s">
        <v>2638</v>
      </c>
      <c r="H407" s="21">
        <v>0</v>
      </c>
      <c r="I407" s="27"/>
    </row>
    <row r="408" ht="42" spans="1:9">
      <c r="A408" s="21" t="s">
        <v>1731</v>
      </c>
      <c r="B408" s="22">
        <v>390</v>
      </c>
      <c r="C408" s="23" t="s">
        <v>2791</v>
      </c>
      <c r="D408" s="23" t="s">
        <v>2792</v>
      </c>
      <c r="E408" s="21">
        <v>0</v>
      </c>
      <c r="F408" s="24" t="s">
        <v>2793</v>
      </c>
      <c r="G408" s="24" t="s">
        <v>2794</v>
      </c>
      <c r="H408" s="21">
        <v>0</v>
      </c>
      <c r="I408" s="27"/>
    </row>
    <row r="409" ht="42" spans="1:9">
      <c r="A409" s="21" t="s">
        <v>1731</v>
      </c>
      <c r="B409" s="22">
        <v>390</v>
      </c>
      <c r="C409" s="23" t="s">
        <v>2795</v>
      </c>
      <c r="D409" s="23" t="s">
        <v>2796</v>
      </c>
      <c r="E409" s="21">
        <v>0</v>
      </c>
      <c r="F409" s="24" t="s">
        <v>2797</v>
      </c>
      <c r="G409" s="24" t="s">
        <v>2798</v>
      </c>
      <c r="H409" s="21">
        <v>1</v>
      </c>
      <c r="I409" s="27"/>
    </row>
    <row r="410" ht="56" spans="1:9">
      <c r="A410" s="21" t="s">
        <v>1731</v>
      </c>
      <c r="B410" s="22">
        <v>390</v>
      </c>
      <c r="C410" s="23" t="s">
        <v>2799</v>
      </c>
      <c r="D410" s="23" t="s">
        <v>2800</v>
      </c>
      <c r="E410" s="21">
        <v>0</v>
      </c>
      <c r="F410" s="24" t="s">
        <v>2801</v>
      </c>
      <c r="G410" s="24" t="s">
        <v>2802</v>
      </c>
      <c r="H410" s="21">
        <v>0</v>
      </c>
      <c r="I410" s="27"/>
    </row>
    <row r="411" ht="28" spans="1:9">
      <c r="A411" s="21" t="s">
        <v>1731</v>
      </c>
      <c r="B411" s="22">
        <v>390</v>
      </c>
      <c r="C411" s="23" t="s">
        <v>2803</v>
      </c>
      <c r="D411" s="23" t="s">
        <v>2804</v>
      </c>
      <c r="E411" s="21">
        <v>0</v>
      </c>
      <c r="F411" s="27"/>
      <c r="G411" s="27"/>
      <c r="H411" s="10"/>
      <c r="I411" s="27"/>
    </row>
    <row r="412" ht="28" spans="1:9">
      <c r="A412" s="21" t="s">
        <v>1731</v>
      </c>
      <c r="B412" s="22">
        <v>390</v>
      </c>
      <c r="C412" s="23" t="s">
        <v>2805</v>
      </c>
      <c r="D412" s="23" t="s">
        <v>2806</v>
      </c>
      <c r="E412" s="21">
        <v>0</v>
      </c>
      <c r="F412" s="27"/>
      <c r="G412" s="27"/>
      <c r="H412" s="10"/>
      <c r="I412" s="27"/>
    </row>
    <row r="413" spans="1:9">
      <c r="A413" s="21" t="s">
        <v>1731</v>
      </c>
      <c r="B413" s="22">
        <v>390</v>
      </c>
      <c r="C413" s="23" t="s">
        <v>2807</v>
      </c>
      <c r="D413" s="23" t="s">
        <v>2808</v>
      </c>
      <c r="E413" s="21">
        <v>0</v>
      </c>
      <c r="F413" s="27"/>
      <c r="G413" s="27"/>
      <c r="H413" s="10"/>
      <c r="I413" s="27"/>
    </row>
    <row r="414" spans="1:9">
      <c r="A414" s="21" t="s">
        <v>1931</v>
      </c>
      <c r="B414" s="22">
        <v>390</v>
      </c>
      <c r="C414" s="24" t="s">
        <v>2809</v>
      </c>
      <c r="D414" s="24" t="s">
        <v>2810</v>
      </c>
      <c r="E414" s="21">
        <v>0</v>
      </c>
      <c r="F414" s="27"/>
      <c r="G414" s="27"/>
      <c r="H414" s="10"/>
      <c r="I414" s="27"/>
    </row>
    <row r="415" ht="28" spans="1:9">
      <c r="A415" s="21" t="s">
        <v>1731</v>
      </c>
      <c r="B415" s="22">
        <v>400</v>
      </c>
      <c r="C415" s="23" t="s">
        <v>2811</v>
      </c>
      <c r="D415" s="23" t="s">
        <v>2812</v>
      </c>
      <c r="E415" s="21">
        <v>0</v>
      </c>
      <c r="F415" s="24" t="s">
        <v>2813</v>
      </c>
      <c r="G415" s="24" t="s">
        <v>2814</v>
      </c>
      <c r="H415" s="21">
        <v>0</v>
      </c>
      <c r="I415" s="27"/>
    </row>
    <row r="416" ht="84" spans="1:9">
      <c r="A416" s="21" t="s">
        <v>1731</v>
      </c>
      <c r="B416" s="22">
        <v>400</v>
      </c>
      <c r="C416" s="23" t="s">
        <v>2815</v>
      </c>
      <c r="D416" s="23" t="s">
        <v>2816</v>
      </c>
      <c r="E416" s="21" t="s">
        <v>1798</v>
      </c>
      <c r="F416" s="24" t="s">
        <v>2817</v>
      </c>
      <c r="G416" s="24" t="s">
        <v>2818</v>
      </c>
      <c r="H416" s="21">
        <v>2</v>
      </c>
      <c r="I416" s="27"/>
    </row>
    <row r="417" ht="28" spans="1:9">
      <c r="A417" s="21" t="s">
        <v>1731</v>
      </c>
      <c r="B417" s="22">
        <v>400</v>
      </c>
      <c r="C417" s="23" t="s">
        <v>2819</v>
      </c>
      <c r="D417" s="23" t="s">
        <v>2820</v>
      </c>
      <c r="E417" s="21" t="s">
        <v>1798</v>
      </c>
      <c r="F417" s="24" t="s">
        <v>2821</v>
      </c>
      <c r="G417" s="24" t="s">
        <v>2822</v>
      </c>
      <c r="H417" s="21">
        <v>0</v>
      </c>
      <c r="I417" s="27"/>
    </row>
    <row r="418" ht="42" spans="1:9">
      <c r="A418" s="21" t="s">
        <v>1731</v>
      </c>
      <c r="B418" s="22">
        <v>400</v>
      </c>
      <c r="C418" s="23" t="s">
        <v>2823</v>
      </c>
      <c r="D418" s="23" t="s">
        <v>2824</v>
      </c>
      <c r="E418" s="21" t="s">
        <v>1798</v>
      </c>
      <c r="F418" s="24" t="s">
        <v>2825</v>
      </c>
      <c r="G418" s="24" t="s">
        <v>2826</v>
      </c>
      <c r="H418" s="21">
        <v>0</v>
      </c>
      <c r="I418" s="27"/>
    </row>
    <row r="419" ht="42" spans="1:9">
      <c r="A419" s="21" t="s">
        <v>1731</v>
      </c>
      <c r="B419" s="22">
        <v>400</v>
      </c>
      <c r="C419" s="23" t="s">
        <v>2827</v>
      </c>
      <c r="D419" s="23" t="s">
        <v>2828</v>
      </c>
      <c r="E419" s="21">
        <v>0</v>
      </c>
      <c r="F419" s="24" t="s">
        <v>2829</v>
      </c>
      <c r="G419" s="24" t="s">
        <v>2830</v>
      </c>
      <c r="H419" s="21">
        <v>0</v>
      </c>
      <c r="I419" s="27"/>
    </row>
    <row r="420" ht="56" spans="1:9">
      <c r="A420" s="21" t="s">
        <v>1731</v>
      </c>
      <c r="B420" s="22">
        <v>400</v>
      </c>
      <c r="C420" s="23" t="s">
        <v>2831</v>
      </c>
      <c r="D420" s="23" t="s">
        <v>2832</v>
      </c>
      <c r="E420" s="21">
        <v>0</v>
      </c>
      <c r="F420" s="24" t="s">
        <v>2833</v>
      </c>
      <c r="G420" s="24" t="s">
        <v>2834</v>
      </c>
      <c r="H420" s="21">
        <v>0</v>
      </c>
      <c r="I420" s="27"/>
    </row>
    <row r="421" ht="42" spans="1:9">
      <c r="A421" s="21" t="s">
        <v>1731</v>
      </c>
      <c r="B421" s="22">
        <v>400</v>
      </c>
      <c r="C421" s="23" t="s">
        <v>2835</v>
      </c>
      <c r="D421" s="23" t="s">
        <v>2836</v>
      </c>
      <c r="E421" s="21">
        <v>0</v>
      </c>
      <c r="F421" s="24" t="s">
        <v>2837</v>
      </c>
      <c r="G421" s="24" t="s">
        <v>2838</v>
      </c>
      <c r="H421" s="21">
        <v>1</v>
      </c>
      <c r="I421" s="27"/>
    </row>
    <row r="422" ht="56" spans="1:9">
      <c r="A422" s="21" t="s">
        <v>1731</v>
      </c>
      <c r="B422" s="22">
        <v>400</v>
      </c>
      <c r="C422" s="23" t="s">
        <v>2839</v>
      </c>
      <c r="D422" s="23" t="s">
        <v>2840</v>
      </c>
      <c r="E422" s="21" t="s">
        <v>1798</v>
      </c>
      <c r="F422" s="24" t="s">
        <v>2841</v>
      </c>
      <c r="G422" s="24" t="s">
        <v>2842</v>
      </c>
      <c r="H422" s="21">
        <v>0</v>
      </c>
      <c r="I422" s="27"/>
    </row>
    <row r="423" ht="42" spans="1:9">
      <c r="A423" s="21" t="s">
        <v>1731</v>
      </c>
      <c r="B423" s="22">
        <v>400</v>
      </c>
      <c r="C423" s="23" t="s">
        <v>2843</v>
      </c>
      <c r="D423" s="23" t="s">
        <v>2844</v>
      </c>
      <c r="E423" s="21">
        <v>0</v>
      </c>
      <c r="F423" s="24" t="s">
        <v>2845</v>
      </c>
      <c r="G423" s="24" t="s">
        <v>2846</v>
      </c>
      <c r="H423" s="21">
        <v>1</v>
      </c>
      <c r="I423" s="27"/>
    </row>
    <row r="424" ht="56" spans="1:9">
      <c r="A424" s="21" t="s">
        <v>1731</v>
      </c>
      <c r="B424" s="22">
        <v>400</v>
      </c>
      <c r="C424" s="23" t="s">
        <v>2847</v>
      </c>
      <c r="D424" s="23" t="s">
        <v>2848</v>
      </c>
      <c r="E424" s="21" t="s">
        <v>1798</v>
      </c>
      <c r="F424" s="24" t="s">
        <v>2849</v>
      </c>
      <c r="G424" s="24" t="s">
        <v>2850</v>
      </c>
      <c r="H424" s="21">
        <v>0</v>
      </c>
      <c r="I424" s="27"/>
    </row>
    <row r="425" ht="42" spans="1:9">
      <c r="A425" s="21" t="s">
        <v>1731</v>
      </c>
      <c r="B425" s="22">
        <v>400</v>
      </c>
      <c r="C425" s="23" t="s">
        <v>2851</v>
      </c>
      <c r="D425" s="23" t="s">
        <v>2852</v>
      </c>
      <c r="E425" s="21" t="s">
        <v>1798</v>
      </c>
      <c r="F425" s="24" t="s">
        <v>2853</v>
      </c>
      <c r="G425" s="24" t="s">
        <v>2854</v>
      </c>
      <c r="H425" s="21">
        <v>1</v>
      </c>
      <c r="I425" s="27"/>
    </row>
    <row r="426" ht="42" spans="1:9">
      <c r="A426" s="21" t="s">
        <v>1731</v>
      </c>
      <c r="B426" s="22">
        <v>400</v>
      </c>
      <c r="C426" s="23" t="s">
        <v>2855</v>
      </c>
      <c r="D426" s="23" t="s">
        <v>2856</v>
      </c>
      <c r="E426" s="21" t="s">
        <v>1798</v>
      </c>
      <c r="F426" s="24" t="s">
        <v>2857</v>
      </c>
      <c r="G426" s="24" t="s">
        <v>2858</v>
      </c>
      <c r="H426" s="21">
        <v>0</v>
      </c>
      <c r="I426" s="27"/>
    </row>
    <row r="427" ht="56" spans="1:9">
      <c r="A427" s="21" t="s">
        <v>1731</v>
      </c>
      <c r="B427" s="22">
        <v>400</v>
      </c>
      <c r="C427" s="23" t="s">
        <v>2859</v>
      </c>
      <c r="D427" s="23" t="s">
        <v>2860</v>
      </c>
      <c r="E427" s="21" t="s">
        <v>1798</v>
      </c>
      <c r="F427" s="24" t="s">
        <v>2861</v>
      </c>
      <c r="G427" s="24" t="s">
        <v>2862</v>
      </c>
      <c r="H427" s="21">
        <v>0</v>
      </c>
      <c r="I427" s="27"/>
    </row>
    <row r="428" ht="42" spans="1:9">
      <c r="A428" s="21" t="s">
        <v>1731</v>
      </c>
      <c r="B428" s="22">
        <v>400</v>
      </c>
      <c r="C428" s="23" t="s">
        <v>2863</v>
      </c>
      <c r="D428" s="23" t="s">
        <v>2864</v>
      </c>
      <c r="E428" s="21">
        <v>0</v>
      </c>
      <c r="F428" s="24" t="s">
        <v>2865</v>
      </c>
      <c r="G428" s="24" t="s">
        <v>2866</v>
      </c>
      <c r="H428" s="21">
        <v>1</v>
      </c>
      <c r="I428" s="27"/>
    </row>
    <row r="429" ht="42" spans="1:9">
      <c r="A429" s="21" t="s">
        <v>1731</v>
      </c>
      <c r="B429" s="22">
        <v>400</v>
      </c>
      <c r="C429" s="23" t="s">
        <v>2867</v>
      </c>
      <c r="D429" s="23" t="s">
        <v>2868</v>
      </c>
      <c r="E429" s="21" t="s">
        <v>1798</v>
      </c>
      <c r="F429" s="24" t="s">
        <v>2869</v>
      </c>
      <c r="G429" s="24" t="s">
        <v>2870</v>
      </c>
      <c r="H429" s="21">
        <v>0</v>
      </c>
      <c r="I429" s="27"/>
    </row>
    <row r="430" ht="42" spans="1:9">
      <c r="A430" s="21" t="s">
        <v>1731</v>
      </c>
      <c r="B430" s="22">
        <v>400</v>
      </c>
      <c r="C430" s="23" t="s">
        <v>2871</v>
      </c>
      <c r="D430" s="23" t="s">
        <v>2872</v>
      </c>
      <c r="E430" s="21" t="s">
        <v>1798</v>
      </c>
      <c r="F430" s="24" t="s">
        <v>2873</v>
      </c>
      <c r="G430" s="24" t="s">
        <v>2874</v>
      </c>
      <c r="H430" s="21">
        <v>0</v>
      </c>
      <c r="I430" s="27"/>
    </row>
    <row r="431" ht="42" spans="1:9">
      <c r="A431" s="21" t="s">
        <v>1731</v>
      </c>
      <c r="B431" s="22">
        <v>400</v>
      </c>
      <c r="C431" s="23" t="s">
        <v>2875</v>
      </c>
      <c r="D431" s="23" t="s">
        <v>2876</v>
      </c>
      <c r="E431" s="21" t="s">
        <v>1798</v>
      </c>
      <c r="F431" s="24" t="s">
        <v>2877</v>
      </c>
      <c r="G431" s="24" t="s">
        <v>2878</v>
      </c>
      <c r="H431" s="21">
        <v>0</v>
      </c>
      <c r="I431" s="27"/>
    </row>
    <row r="432" ht="28" spans="1:9">
      <c r="A432" s="21" t="s">
        <v>1731</v>
      </c>
      <c r="B432" s="22">
        <v>400</v>
      </c>
      <c r="C432" s="23" t="s">
        <v>2879</v>
      </c>
      <c r="D432" s="23" t="s">
        <v>2880</v>
      </c>
      <c r="E432" s="21">
        <v>0</v>
      </c>
      <c r="F432" s="24" t="s">
        <v>2881</v>
      </c>
      <c r="G432" s="24" t="s">
        <v>2882</v>
      </c>
      <c r="H432" s="21">
        <v>1</v>
      </c>
      <c r="I432" s="27"/>
    </row>
    <row r="433" spans="1:9">
      <c r="A433" s="21" t="s">
        <v>1731</v>
      </c>
      <c r="B433" s="22">
        <v>400</v>
      </c>
      <c r="C433" s="23" t="s">
        <v>2883</v>
      </c>
      <c r="D433" s="23" t="s">
        <v>2884</v>
      </c>
      <c r="E433" s="21" t="s">
        <v>1798</v>
      </c>
      <c r="F433" s="27"/>
      <c r="G433" s="27"/>
      <c r="H433" s="10"/>
      <c r="I433" s="27"/>
    </row>
    <row r="434" ht="28" spans="1:9">
      <c r="A434" s="21" t="s">
        <v>1731</v>
      </c>
      <c r="B434" s="22">
        <v>400</v>
      </c>
      <c r="C434" s="23" t="s">
        <v>2885</v>
      </c>
      <c r="D434" s="23" t="s">
        <v>2886</v>
      </c>
      <c r="E434" s="21" t="s">
        <v>1798</v>
      </c>
      <c r="F434" s="27"/>
      <c r="G434" s="27"/>
      <c r="H434" s="10"/>
      <c r="I434" s="27"/>
    </row>
    <row r="435" spans="1:9">
      <c r="A435" s="21" t="s">
        <v>1731</v>
      </c>
      <c r="B435" s="22">
        <v>400</v>
      </c>
      <c r="C435" s="23" t="s">
        <v>2887</v>
      </c>
      <c r="D435" s="23" t="s">
        <v>2888</v>
      </c>
      <c r="E435" s="21">
        <v>0</v>
      </c>
      <c r="F435" s="27"/>
      <c r="G435" s="27"/>
      <c r="H435" s="10"/>
      <c r="I435" s="27"/>
    </row>
    <row r="436" spans="1:9">
      <c r="A436" s="21" t="s">
        <v>1731</v>
      </c>
      <c r="B436" s="22">
        <v>400</v>
      </c>
      <c r="C436" s="23" t="s">
        <v>2889</v>
      </c>
      <c r="D436" s="23" t="s">
        <v>2890</v>
      </c>
      <c r="E436" s="21" t="s">
        <v>1798</v>
      </c>
      <c r="F436" s="27"/>
      <c r="G436" s="27"/>
      <c r="H436" s="10"/>
      <c r="I436" s="27"/>
    </row>
    <row r="437" ht="28" spans="1:9">
      <c r="A437" s="21" t="s">
        <v>1731</v>
      </c>
      <c r="B437" s="22">
        <v>400</v>
      </c>
      <c r="C437" s="23" t="s">
        <v>2891</v>
      </c>
      <c r="D437" s="23" t="s">
        <v>2892</v>
      </c>
      <c r="E437" s="21" t="s">
        <v>1798</v>
      </c>
      <c r="F437" s="27"/>
      <c r="G437" s="27"/>
      <c r="H437" s="10"/>
      <c r="I437" s="27"/>
    </row>
    <row r="438" spans="1:9">
      <c r="A438" s="21" t="s">
        <v>1731</v>
      </c>
      <c r="B438" s="22">
        <v>400</v>
      </c>
      <c r="C438" s="23" t="s">
        <v>2893</v>
      </c>
      <c r="D438" s="23" t="s">
        <v>2894</v>
      </c>
      <c r="E438" s="21">
        <v>0</v>
      </c>
      <c r="F438" s="27"/>
      <c r="G438" s="27"/>
      <c r="H438" s="10"/>
      <c r="I438" s="27"/>
    </row>
    <row r="439" ht="28" spans="1:9">
      <c r="A439" s="21" t="s">
        <v>1731</v>
      </c>
      <c r="B439" s="22">
        <v>400</v>
      </c>
      <c r="C439" s="23" t="s">
        <v>2895</v>
      </c>
      <c r="D439" s="23" t="s">
        <v>2896</v>
      </c>
      <c r="E439" s="21" t="s">
        <v>1798</v>
      </c>
      <c r="F439" s="27"/>
      <c r="G439" s="27"/>
      <c r="H439" s="10"/>
      <c r="I439" s="27"/>
    </row>
    <row r="440" ht="28" spans="1:9">
      <c r="A440" s="21" t="s">
        <v>1731</v>
      </c>
      <c r="B440" s="22">
        <v>400</v>
      </c>
      <c r="C440" s="23" t="s">
        <v>2897</v>
      </c>
      <c r="D440" s="23" t="s">
        <v>2898</v>
      </c>
      <c r="E440" s="21" t="s">
        <v>1798</v>
      </c>
      <c r="F440" s="27"/>
      <c r="G440" s="27"/>
      <c r="H440" s="10"/>
      <c r="I440" s="27"/>
    </row>
    <row r="441" ht="28" spans="1:9">
      <c r="A441" s="21" t="s">
        <v>1731</v>
      </c>
      <c r="B441" s="22">
        <v>400</v>
      </c>
      <c r="C441" s="23" t="s">
        <v>2899</v>
      </c>
      <c r="D441" s="23" t="s">
        <v>2900</v>
      </c>
      <c r="E441" s="21" t="s">
        <v>1798</v>
      </c>
      <c r="F441" s="27"/>
      <c r="G441" s="27"/>
      <c r="H441" s="10"/>
      <c r="I441" s="27"/>
    </row>
    <row r="442" ht="28" spans="1:9">
      <c r="A442" s="21" t="s">
        <v>1731</v>
      </c>
      <c r="B442" s="22">
        <v>400</v>
      </c>
      <c r="C442" s="23" t="s">
        <v>2901</v>
      </c>
      <c r="D442" s="23" t="s">
        <v>2902</v>
      </c>
      <c r="E442" s="21" t="s">
        <v>1798</v>
      </c>
      <c r="F442" s="27"/>
      <c r="G442" s="27"/>
      <c r="H442" s="10"/>
      <c r="I442" s="27"/>
    </row>
    <row r="443" ht="28" spans="1:9">
      <c r="A443" s="21" t="s">
        <v>1731</v>
      </c>
      <c r="B443" s="22">
        <v>400</v>
      </c>
      <c r="C443" s="23" t="s">
        <v>2903</v>
      </c>
      <c r="D443" s="23" t="s">
        <v>2904</v>
      </c>
      <c r="E443" s="21" t="s">
        <v>1798</v>
      </c>
      <c r="F443" s="27"/>
      <c r="G443" s="27"/>
      <c r="H443" s="10"/>
      <c r="I443" s="27"/>
    </row>
    <row r="444" ht="28" spans="1:9">
      <c r="A444" s="21" t="s">
        <v>1731</v>
      </c>
      <c r="B444" s="22">
        <v>400</v>
      </c>
      <c r="C444" s="23" t="s">
        <v>2905</v>
      </c>
      <c r="D444" s="23" t="s">
        <v>2906</v>
      </c>
      <c r="E444" s="21">
        <v>0</v>
      </c>
      <c r="F444" s="27"/>
      <c r="G444" s="27"/>
      <c r="H444" s="10"/>
      <c r="I444" s="27"/>
    </row>
    <row r="445" ht="28" spans="1:9">
      <c r="A445" s="21" t="s">
        <v>1731</v>
      </c>
      <c r="B445" s="22">
        <v>400</v>
      </c>
      <c r="C445" s="23" t="s">
        <v>2907</v>
      </c>
      <c r="D445" s="23" t="s">
        <v>2908</v>
      </c>
      <c r="E445" s="21" t="s">
        <v>1798</v>
      </c>
      <c r="F445" s="27"/>
      <c r="G445" s="27"/>
      <c r="H445" s="10"/>
      <c r="I445" s="27"/>
    </row>
    <row r="446" ht="70" spans="1:9">
      <c r="A446" s="21" t="s">
        <v>1731</v>
      </c>
      <c r="B446" s="22">
        <v>510</v>
      </c>
      <c r="C446" s="23" t="s">
        <v>2909</v>
      </c>
      <c r="D446" s="23" t="s">
        <v>2910</v>
      </c>
      <c r="E446" s="21">
        <v>0</v>
      </c>
      <c r="F446" s="24" t="s">
        <v>2911</v>
      </c>
      <c r="G446" s="24" t="s">
        <v>2912</v>
      </c>
      <c r="H446" s="21">
        <v>3</v>
      </c>
      <c r="I446" s="27"/>
    </row>
    <row r="447" ht="42" spans="1:9">
      <c r="A447" s="21" t="s">
        <v>1731</v>
      </c>
      <c r="B447" s="22">
        <v>510</v>
      </c>
      <c r="C447" s="23" t="s">
        <v>2913</v>
      </c>
      <c r="D447" s="23" t="s">
        <v>2914</v>
      </c>
      <c r="E447" s="21">
        <v>0</v>
      </c>
      <c r="F447" s="24" t="s">
        <v>2915</v>
      </c>
      <c r="G447" s="24" t="s">
        <v>2916</v>
      </c>
      <c r="H447" s="21">
        <v>2</v>
      </c>
      <c r="I447" s="27"/>
    </row>
    <row r="448" ht="28" spans="1:9">
      <c r="A448" s="21" t="s">
        <v>1731</v>
      </c>
      <c r="B448" s="22">
        <v>510</v>
      </c>
      <c r="C448" s="29"/>
      <c r="D448" s="30"/>
      <c r="E448" s="21"/>
      <c r="F448" s="24" t="s">
        <v>2917</v>
      </c>
      <c r="G448" s="24" t="s">
        <v>2918</v>
      </c>
      <c r="H448" s="21">
        <v>1</v>
      </c>
      <c r="I448" s="27"/>
    </row>
    <row r="449" ht="28" spans="1:9">
      <c r="A449" s="21" t="s">
        <v>1731</v>
      </c>
      <c r="B449" s="22">
        <v>510</v>
      </c>
      <c r="C449" s="29"/>
      <c r="D449" s="30"/>
      <c r="E449" s="21"/>
      <c r="F449" s="24" t="s">
        <v>2919</v>
      </c>
      <c r="G449" s="24" t="s">
        <v>2920</v>
      </c>
      <c r="H449" s="21">
        <v>2</v>
      </c>
      <c r="I449" s="27"/>
    </row>
    <row r="450" ht="28" spans="1:9">
      <c r="A450" s="21" t="s">
        <v>1731</v>
      </c>
      <c r="B450" s="22">
        <v>510</v>
      </c>
      <c r="C450" s="29"/>
      <c r="D450" s="30"/>
      <c r="E450" s="21"/>
      <c r="F450" s="24" t="s">
        <v>2921</v>
      </c>
      <c r="G450" s="24" t="s">
        <v>2922</v>
      </c>
      <c r="H450" s="21">
        <v>0</v>
      </c>
      <c r="I450" s="27"/>
    </row>
    <row r="451" ht="28" spans="1:9">
      <c r="A451" s="21" t="s">
        <v>1731</v>
      </c>
      <c r="B451" s="22">
        <v>510</v>
      </c>
      <c r="C451" s="29"/>
      <c r="D451" s="30"/>
      <c r="E451" s="21"/>
      <c r="F451" s="24" t="s">
        <v>2923</v>
      </c>
      <c r="G451" s="24" t="s">
        <v>2924</v>
      </c>
      <c r="H451" s="21">
        <v>2</v>
      </c>
      <c r="I451" s="27"/>
    </row>
    <row r="452" ht="28" spans="1:9">
      <c r="A452" s="21" t="s">
        <v>1731</v>
      </c>
      <c r="B452" s="22">
        <v>510</v>
      </c>
      <c r="C452" s="29"/>
      <c r="D452" s="30"/>
      <c r="E452" s="21"/>
      <c r="F452" s="24" t="s">
        <v>2925</v>
      </c>
      <c r="G452" s="24" t="s">
        <v>2924</v>
      </c>
      <c r="H452" s="21">
        <v>1</v>
      </c>
      <c r="I452" s="27"/>
    </row>
    <row r="453" ht="28" spans="1:9">
      <c r="A453" s="21" t="s">
        <v>1731</v>
      </c>
      <c r="B453" s="22">
        <v>510</v>
      </c>
      <c r="C453" s="29"/>
      <c r="D453" s="30"/>
      <c r="E453" s="21"/>
      <c r="F453" s="24" t="s">
        <v>2926</v>
      </c>
      <c r="G453" s="24" t="s">
        <v>2924</v>
      </c>
      <c r="H453" s="21">
        <v>1</v>
      </c>
      <c r="I453" s="27"/>
    </row>
    <row r="454" ht="28" spans="1:9">
      <c r="A454" s="21" t="s">
        <v>1731</v>
      </c>
      <c r="B454" s="22">
        <v>510</v>
      </c>
      <c r="C454" s="29"/>
      <c r="D454" s="30"/>
      <c r="E454" s="21"/>
      <c r="F454" s="24" t="s">
        <v>2927</v>
      </c>
      <c r="G454" s="24" t="s">
        <v>2928</v>
      </c>
      <c r="H454" s="21">
        <v>0</v>
      </c>
      <c r="I454" s="27"/>
    </row>
    <row r="455" ht="28" spans="1:9">
      <c r="A455" s="21" t="s">
        <v>1731</v>
      </c>
      <c r="B455" s="22">
        <v>510</v>
      </c>
      <c r="C455" s="29"/>
      <c r="D455" s="30"/>
      <c r="E455" s="21"/>
      <c r="F455" s="24" t="s">
        <v>2929</v>
      </c>
      <c r="G455" s="24" t="s">
        <v>2928</v>
      </c>
      <c r="H455" s="21">
        <v>0</v>
      </c>
      <c r="I455" s="27"/>
    </row>
    <row r="456" ht="28" spans="1:9">
      <c r="A456" s="21" t="s">
        <v>1731</v>
      </c>
      <c r="B456" s="22">
        <v>510</v>
      </c>
      <c r="C456" s="29"/>
      <c r="D456" s="30"/>
      <c r="E456" s="21"/>
      <c r="F456" s="24" t="s">
        <v>2930</v>
      </c>
      <c r="G456" s="24" t="s">
        <v>2928</v>
      </c>
      <c r="H456" s="21">
        <v>0</v>
      </c>
      <c r="I456" s="27"/>
    </row>
    <row r="457" spans="1:9">
      <c r="A457" s="21" t="s">
        <v>1731</v>
      </c>
      <c r="B457" s="22">
        <v>510</v>
      </c>
      <c r="C457" s="29"/>
      <c r="D457" s="30"/>
      <c r="E457" s="21"/>
      <c r="F457" s="24" t="s">
        <v>2931</v>
      </c>
      <c r="G457" s="24" t="s">
        <v>2932</v>
      </c>
      <c r="H457" s="21">
        <v>0</v>
      </c>
      <c r="I457" s="27"/>
    </row>
    <row r="458" ht="42" spans="1:9">
      <c r="A458" s="21" t="s">
        <v>1908</v>
      </c>
      <c r="B458" s="22">
        <v>510</v>
      </c>
      <c r="C458" s="24" t="s">
        <v>2933</v>
      </c>
      <c r="D458" s="24" t="s">
        <v>2934</v>
      </c>
      <c r="E458" s="21">
        <v>0</v>
      </c>
      <c r="F458" s="24" t="s">
        <v>2935</v>
      </c>
      <c r="G458" s="24" t="s">
        <v>2936</v>
      </c>
      <c r="H458" s="21">
        <v>1</v>
      </c>
      <c r="I458" s="27"/>
    </row>
    <row r="459" ht="42" spans="1:9">
      <c r="A459" s="21"/>
      <c r="B459" s="22"/>
      <c r="C459" s="23"/>
      <c r="D459" s="23"/>
      <c r="E459" s="21"/>
      <c r="F459" s="24" t="s">
        <v>2937</v>
      </c>
      <c r="G459" s="24" t="s">
        <v>2938</v>
      </c>
      <c r="H459" s="21">
        <v>1</v>
      </c>
      <c r="I459" s="27"/>
    </row>
    <row r="460" ht="42" spans="1:9">
      <c r="A460" s="21"/>
      <c r="B460" s="22"/>
      <c r="C460" s="23"/>
      <c r="D460" s="23"/>
      <c r="E460" s="21"/>
      <c r="F460" s="24" t="s">
        <v>2939</v>
      </c>
      <c r="G460" s="24" t="s">
        <v>2940</v>
      </c>
      <c r="H460" s="21">
        <v>0</v>
      </c>
      <c r="I460" s="27"/>
    </row>
    <row r="461" ht="56" spans="1:9">
      <c r="A461" s="21"/>
      <c r="B461" s="22"/>
      <c r="C461" s="23"/>
      <c r="D461" s="23"/>
      <c r="E461" s="21"/>
      <c r="F461" s="24" t="s">
        <v>2941</v>
      </c>
      <c r="G461" s="24" t="s">
        <v>2942</v>
      </c>
      <c r="H461" s="21">
        <v>3</v>
      </c>
      <c r="I461" s="27"/>
    </row>
    <row r="462" ht="70" spans="1:9">
      <c r="A462" s="21"/>
      <c r="B462" s="22"/>
      <c r="C462" s="23"/>
      <c r="D462" s="23"/>
      <c r="E462" s="21"/>
      <c r="F462" s="24" t="s">
        <v>2943</v>
      </c>
      <c r="G462" s="24" t="s">
        <v>2944</v>
      </c>
      <c r="H462" s="21">
        <v>1</v>
      </c>
      <c r="I462" s="27"/>
    </row>
    <row r="463" ht="42" spans="1:9">
      <c r="A463" s="21" t="s">
        <v>1731</v>
      </c>
      <c r="B463" s="22">
        <v>620</v>
      </c>
      <c r="C463" s="23" t="s">
        <v>2945</v>
      </c>
      <c r="D463" s="23" t="s">
        <v>2946</v>
      </c>
      <c r="E463" s="21" t="s">
        <v>1798</v>
      </c>
      <c r="F463" s="24" t="s">
        <v>2947</v>
      </c>
      <c r="G463" s="24" t="s">
        <v>2948</v>
      </c>
      <c r="H463" s="21">
        <v>2</v>
      </c>
      <c r="I463" s="27"/>
    </row>
    <row r="464" ht="42" spans="1:9">
      <c r="A464" s="21" t="s">
        <v>1731</v>
      </c>
      <c r="B464" s="22">
        <v>620</v>
      </c>
      <c r="C464" s="23" t="s">
        <v>2949</v>
      </c>
      <c r="D464" s="23" t="s">
        <v>2950</v>
      </c>
      <c r="E464" s="21" t="s">
        <v>1798</v>
      </c>
      <c r="F464" s="24" t="s">
        <v>2951</v>
      </c>
      <c r="G464" s="24" t="s">
        <v>2952</v>
      </c>
      <c r="H464" s="21">
        <v>2</v>
      </c>
      <c r="I464" s="27"/>
    </row>
    <row r="465" ht="42" spans="1:9">
      <c r="A465" s="21" t="s">
        <v>1731</v>
      </c>
      <c r="B465" s="22">
        <v>620</v>
      </c>
      <c r="C465" s="23" t="s">
        <v>2953</v>
      </c>
      <c r="D465" s="23" t="s">
        <v>2954</v>
      </c>
      <c r="E465" s="21" t="s">
        <v>1798</v>
      </c>
      <c r="F465" s="24" t="s">
        <v>2955</v>
      </c>
      <c r="G465" s="24" t="s">
        <v>2956</v>
      </c>
      <c r="H465" s="21">
        <v>0</v>
      </c>
      <c r="I465" s="27"/>
    </row>
    <row r="466" ht="42" spans="1:9">
      <c r="A466" s="21" t="s">
        <v>1731</v>
      </c>
      <c r="B466" s="22">
        <v>620</v>
      </c>
      <c r="C466" s="23" t="s">
        <v>2957</v>
      </c>
      <c r="D466" s="23" t="s">
        <v>2958</v>
      </c>
      <c r="E466" s="21">
        <v>0</v>
      </c>
      <c r="F466" s="24" t="s">
        <v>2959</v>
      </c>
      <c r="G466" s="24" t="s">
        <v>2960</v>
      </c>
      <c r="H466" s="21">
        <v>0</v>
      </c>
      <c r="I466" s="27"/>
    </row>
    <row r="467" ht="70" spans="1:9">
      <c r="A467" s="21" t="s">
        <v>1731</v>
      </c>
      <c r="B467" s="22">
        <v>620</v>
      </c>
      <c r="C467" s="23" t="s">
        <v>2961</v>
      </c>
      <c r="D467" s="23" t="s">
        <v>2962</v>
      </c>
      <c r="E467" s="21">
        <v>0</v>
      </c>
      <c r="F467" s="24" t="s">
        <v>2963</v>
      </c>
      <c r="G467" s="24" t="s">
        <v>2964</v>
      </c>
      <c r="H467" s="21">
        <v>0</v>
      </c>
      <c r="I467" s="27"/>
    </row>
    <row r="468" ht="28" spans="1:9">
      <c r="A468" s="21" t="s">
        <v>1731</v>
      </c>
      <c r="B468" s="22">
        <v>620</v>
      </c>
      <c r="C468" s="23" t="s">
        <v>2965</v>
      </c>
      <c r="D468" s="23" t="s">
        <v>2966</v>
      </c>
      <c r="E468" s="21" t="s">
        <v>1798</v>
      </c>
      <c r="F468" s="24" t="s">
        <v>2967</v>
      </c>
      <c r="G468" s="24" t="s">
        <v>2968</v>
      </c>
      <c r="H468" s="21">
        <v>0</v>
      </c>
      <c r="I468" s="27"/>
    </row>
    <row r="469" ht="42" spans="1:9">
      <c r="A469" s="21" t="s">
        <v>1731</v>
      </c>
      <c r="B469" s="22">
        <v>620</v>
      </c>
      <c r="C469" s="23" t="s">
        <v>2969</v>
      </c>
      <c r="D469" s="23" t="s">
        <v>2970</v>
      </c>
      <c r="E469" s="21">
        <v>0</v>
      </c>
      <c r="F469" s="24" t="s">
        <v>2971</v>
      </c>
      <c r="G469" s="24" t="s">
        <v>2972</v>
      </c>
      <c r="H469" s="21">
        <v>0</v>
      </c>
      <c r="I469" s="27"/>
    </row>
    <row r="470" ht="70" spans="1:9">
      <c r="A470" s="21" t="s">
        <v>1731</v>
      </c>
      <c r="B470" s="22">
        <v>620</v>
      </c>
      <c r="C470" s="23" t="s">
        <v>2973</v>
      </c>
      <c r="D470" s="23" t="s">
        <v>2974</v>
      </c>
      <c r="E470" s="21">
        <v>0</v>
      </c>
      <c r="F470" s="24" t="s">
        <v>2975</v>
      </c>
      <c r="G470" s="24" t="s">
        <v>2976</v>
      </c>
      <c r="H470" s="21">
        <v>1</v>
      </c>
      <c r="I470" s="27"/>
    </row>
    <row r="471" ht="56" spans="1:9">
      <c r="A471" s="21" t="s">
        <v>1731</v>
      </c>
      <c r="B471" s="22">
        <v>620</v>
      </c>
      <c r="C471" s="23" t="s">
        <v>2977</v>
      </c>
      <c r="D471" s="23" t="s">
        <v>2978</v>
      </c>
      <c r="E471" s="21" t="s">
        <v>1798</v>
      </c>
      <c r="F471" s="24" t="s">
        <v>2979</v>
      </c>
      <c r="G471" s="24" t="s">
        <v>2980</v>
      </c>
      <c r="H471" s="21">
        <v>1</v>
      </c>
      <c r="I471" s="27"/>
    </row>
    <row r="472" spans="1:9">
      <c r="A472" s="21" t="s">
        <v>1731</v>
      </c>
      <c r="B472" s="22">
        <v>620</v>
      </c>
      <c r="C472" s="23" t="s">
        <v>2981</v>
      </c>
      <c r="D472" s="23" t="s">
        <v>2982</v>
      </c>
      <c r="E472" s="21">
        <v>0</v>
      </c>
      <c r="F472" s="27"/>
      <c r="G472" s="27"/>
      <c r="H472" s="10"/>
      <c r="I472" s="27"/>
    </row>
    <row r="473" spans="1:9">
      <c r="A473" s="21" t="s">
        <v>1731</v>
      </c>
      <c r="B473" s="22">
        <v>620</v>
      </c>
      <c r="C473" s="23" t="s">
        <v>2983</v>
      </c>
      <c r="D473" s="23" t="s">
        <v>2984</v>
      </c>
      <c r="E473" s="21">
        <v>0</v>
      </c>
      <c r="F473" s="27"/>
      <c r="G473" s="27"/>
      <c r="H473" s="10"/>
      <c r="I473" s="27"/>
    </row>
    <row r="474" ht="42" spans="1:9">
      <c r="A474" s="21" t="s">
        <v>1731</v>
      </c>
      <c r="B474" s="22">
        <v>620</v>
      </c>
      <c r="C474" s="23" t="s">
        <v>2985</v>
      </c>
      <c r="D474" s="23" t="s">
        <v>2986</v>
      </c>
      <c r="E474" s="21" t="s">
        <v>1798</v>
      </c>
      <c r="F474" s="27"/>
      <c r="G474" s="27"/>
      <c r="H474" s="10"/>
      <c r="I474" s="27"/>
    </row>
    <row r="475" spans="1:9">
      <c r="A475" s="21" t="s">
        <v>1731</v>
      </c>
      <c r="B475" s="22">
        <v>620</v>
      </c>
      <c r="C475" s="23" t="s">
        <v>2987</v>
      </c>
      <c r="D475" s="23" t="s">
        <v>2988</v>
      </c>
      <c r="E475" s="21">
        <v>0</v>
      </c>
      <c r="F475" s="27"/>
      <c r="G475" s="27"/>
      <c r="H475" s="10"/>
      <c r="I475" s="27"/>
    </row>
    <row r="476" ht="28" spans="1:9">
      <c r="A476" s="21" t="s">
        <v>1731</v>
      </c>
      <c r="B476" s="22">
        <v>620</v>
      </c>
      <c r="C476" s="23" t="s">
        <v>2989</v>
      </c>
      <c r="D476" s="23" t="s">
        <v>2990</v>
      </c>
      <c r="E476" s="21">
        <v>0</v>
      </c>
      <c r="F476" s="27"/>
      <c r="G476" s="27"/>
      <c r="H476" s="10"/>
      <c r="I476" s="27"/>
    </row>
    <row r="477" ht="28" spans="1:9">
      <c r="A477" s="21" t="s">
        <v>764</v>
      </c>
      <c r="B477" s="22">
        <v>620</v>
      </c>
      <c r="C477" s="23" t="s">
        <v>2991</v>
      </c>
      <c r="D477" s="23" t="s">
        <v>2019</v>
      </c>
      <c r="E477" s="21">
        <v>0</v>
      </c>
      <c r="F477" s="24" t="s">
        <v>2992</v>
      </c>
      <c r="G477" s="24" t="s">
        <v>2993</v>
      </c>
      <c r="H477" s="21">
        <v>0</v>
      </c>
      <c r="I477" s="27"/>
    </row>
    <row r="478" ht="28" spans="1:9">
      <c r="A478" s="21" t="s">
        <v>764</v>
      </c>
      <c r="B478" s="22">
        <v>620</v>
      </c>
      <c r="C478" s="23" t="s">
        <v>2994</v>
      </c>
      <c r="D478" s="23" t="s">
        <v>2019</v>
      </c>
      <c r="E478" s="21">
        <v>0</v>
      </c>
      <c r="F478" s="24" t="s">
        <v>2995</v>
      </c>
      <c r="G478" s="24" t="s">
        <v>2996</v>
      </c>
      <c r="H478" s="21">
        <v>0</v>
      </c>
      <c r="I478" s="27"/>
    </row>
    <row r="479" ht="28" spans="1:9">
      <c r="A479" s="21" t="s">
        <v>764</v>
      </c>
      <c r="B479" s="22">
        <v>620</v>
      </c>
      <c r="C479" s="23" t="s">
        <v>2997</v>
      </c>
      <c r="D479" s="23" t="s">
        <v>2023</v>
      </c>
      <c r="E479" s="21">
        <v>0</v>
      </c>
      <c r="F479" s="24" t="s">
        <v>2998</v>
      </c>
      <c r="G479" s="24" t="s">
        <v>2999</v>
      </c>
      <c r="H479" s="21">
        <v>0</v>
      </c>
      <c r="I479" s="27"/>
    </row>
    <row r="480" ht="28" spans="1:9">
      <c r="A480" s="21" t="s">
        <v>764</v>
      </c>
      <c r="B480" s="22">
        <v>620</v>
      </c>
      <c r="C480" s="23" t="s">
        <v>3000</v>
      </c>
      <c r="D480" s="23" t="s">
        <v>2023</v>
      </c>
      <c r="E480" s="21">
        <v>0</v>
      </c>
      <c r="F480" s="24" t="s">
        <v>3001</v>
      </c>
      <c r="G480" s="24" t="s">
        <v>3002</v>
      </c>
      <c r="H480" s="21">
        <v>0</v>
      </c>
      <c r="I480" s="27"/>
    </row>
    <row r="481" ht="28" spans="1:9">
      <c r="A481" s="21" t="s">
        <v>764</v>
      </c>
      <c r="B481" s="22">
        <v>620</v>
      </c>
      <c r="C481" s="23" t="s">
        <v>3003</v>
      </c>
      <c r="D481" s="23" t="s">
        <v>3004</v>
      </c>
      <c r="E481" s="21">
        <v>1</v>
      </c>
      <c r="F481" s="24" t="s">
        <v>3005</v>
      </c>
      <c r="G481" s="24" t="s">
        <v>3006</v>
      </c>
      <c r="H481" s="21">
        <v>1</v>
      </c>
      <c r="I481" s="27"/>
    </row>
    <row r="482" ht="28" spans="1:9">
      <c r="A482" s="21" t="s">
        <v>764</v>
      </c>
      <c r="B482" s="22">
        <v>620</v>
      </c>
      <c r="C482" s="23" t="s">
        <v>3007</v>
      </c>
      <c r="D482" s="23" t="s">
        <v>3008</v>
      </c>
      <c r="E482" s="21">
        <v>1</v>
      </c>
      <c r="F482" s="24" t="s">
        <v>3009</v>
      </c>
      <c r="G482" s="24" t="s">
        <v>3010</v>
      </c>
      <c r="H482" s="21">
        <v>1</v>
      </c>
      <c r="I482" s="27"/>
    </row>
    <row r="483" ht="28" spans="1:9">
      <c r="A483" s="21" t="s">
        <v>764</v>
      </c>
      <c r="B483" s="22">
        <v>620</v>
      </c>
      <c r="C483" s="23" t="s">
        <v>3011</v>
      </c>
      <c r="D483" s="23" t="s">
        <v>2041</v>
      </c>
      <c r="E483" s="21">
        <v>0</v>
      </c>
      <c r="F483" s="24" t="s">
        <v>3012</v>
      </c>
      <c r="G483" s="24" t="s">
        <v>3013</v>
      </c>
      <c r="H483" s="21">
        <v>0</v>
      </c>
      <c r="I483" s="27"/>
    </row>
    <row r="484" ht="28" spans="1:9">
      <c r="A484" s="21" t="s">
        <v>764</v>
      </c>
      <c r="B484" s="22">
        <v>620</v>
      </c>
      <c r="C484" s="23" t="s">
        <v>3014</v>
      </c>
      <c r="D484" s="23" t="s">
        <v>2043</v>
      </c>
      <c r="E484" s="21">
        <v>0</v>
      </c>
      <c r="F484" s="24" t="s">
        <v>3015</v>
      </c>
      <c r="G484" s="24" t="s">
        <v>3016</v>
      </c>
      <c r="H484" s="21">
        <v>0</v>
      </c>
      <c r="I484" s="27"/>
    </row>
    <row r="485" ht="28" spans="1:9">
      <c r="A485" s="21" t="s">
        <v>764</v>
      </c>
      <c r="B485" s="22">
        <v>620</v>
      </c>
      <c r="C485" s="23" t="s">
        <v>3017</v>
      </c>
      <c r="D485" s="23" t="s">
        <v>2045</v>
      </c>
      <c r="E485" s="21">
        <v>0</v>
      </c>
      <c r="F485" s="24" t="s">
        <v>3018</v>
      </c>
      <c r="G485" s="24" t="s">
        <v>3019</v>
      </c>
      <c r="H485" s="21">
        <v>2</v>
      </c>
      <c r="I485" s="27"/>
    </row>
    <row r="486" ht="28" spans="1:9">
      <c r="A486" s="21" t="s">
        <v>764</v>
      </c>
      <c r="B486" s="22">
        <v>620</v>
      </c>
      <c r="C486" s="23" t="s">
        <v>3020</v>
      </c>
      <c r="D486" s="23" t="s">
        <v>3021</v>
      </c>
      <c r="E486" s="21">
        <v>0</v>
      </c>
      <c r="F486" s="24" t="s">
        <v>3022</v>
      </c>
      <c r="G486" s="24" t="s">
        <v>3023</v>
      </c>
      <c r="H486" s="21">
        <v>1</v>
      </c>
      <c r="I486" s="27"/>
    </row>
    <row r="487" spans="1:9">
      <c r="A487" s="21" t="s">
        <v>764</v>
      </c>
      <c r="B487" s="22">
        <v>620</v>
      </c>
      <c r="C487" s="23" t="s">
        <v>3024</v>
      </c>
      <c r="D487" s="23" t="s">
        <v>3025</v>
      </c>
      <c r="E487" s="21">
        <v>0</v>
      </c>
      <c r="F487" s="24" t="s">
        <v>3026</v>
      </c>
      <c r="G487" s="24" t="s">
        <v>3027</v>
      </c>
      <c r="H487" s="21">
        <v>2</v>
      </c>
      <c r="I487" s="27"/>
    </row>
    <row r="488" spans="1:9">
      <c r="A488" s="21" t="s">
        <v>764</v>
      </c>
      <c r="B488" s="22">
        <v>620</v>
      </c>
      <c r="C488" s="23" t="s">
        <v>3028</v>
      </c>
      <c r="D488" s="23" t="s">
        <v>3029</v>
      </c>
      <c r="E488" s="21">
        <v>0</v>
      </c>
      <c r="F488" s="24" t="s">
        <v>3030</v>
      </c>
      <c r="G488" s="24" t="s">
        <v>2083</v>
      </c>
      <c r="H488" s="21">
        <v>0</v>
      </c>
      <c r="I488" s="27"/>
    </row>
    <row r="489" spans="1:9">
      <c r="A489" s="21" t="s">
        <v>764</v>
      </c>
      <c r="B489" s="22">
        <v>620</v>
      </c>
      <c r="C489" s="23" t="s">
        <v>3031</v>
      </c>
      <c r="D489" s="23" t="s">
        <v>3032</v>
      </c>
      <c r="E489" s="21">
        <v>1</v>
      </c>
      <c r="F489" s="24" t="s">
        <v>3033</v>
      </c>
      <c r="G489" s="24" t="s">
        <v>3034</v>
      </c>
      <c r="H489" s="21">
        <v>1</v>
      </c>
      <c r="I489" s="27"/>
    </row>
    <row r="490" spans="1:9">
      <c r="A490" s="21" t="s">
        <v>764</v>
      </c>
      <c r="B490" s="22">
        <v>620</v>
      </c>
      <c r="C490" s="23" t="s">
        <v>3035</v>
      </c>
      <c r="D490" s="23" t="s">
        <v>1967</v>
      </c>
      <c r="E490" s="21">
        <v>0</v>
      </c>
      <c r="F490" s="24" t="s">
        <v>3036</v>
      </c>
      <c r="G490" s="24" t="s">
        <v>3037</v>
      </c>
      <c r="H490" s="21">
        <v>1</v>
      </c>
      <c r="I490" s="27"/>
    </row>
    <row r="491" spans="1:9">
      <c r="A491" s="21" t="s">
        <v>764</v>
      </c>
      <c r="B491" s="22">
        <v>620</v>
      </c>
      <c r="C491" s="23" t="s">
        <v>3038</v>
      </c>
      <c r="D491" s="23" t="s">
        <v>2270</v>
      </c>
      <c r="E491" s="21">
        <v>0</v>
      </c>
      <c r="F491" s="27"/>
      <c r="G491" s="27"/>
      <c r="H491" s="10"/>
      <c r="I491" s="27"/>
    </row>
    <row r="492" spans="1:9">
      <c r="A492" s="21" t="s">
        <v>764</v>
      </c>
      <c r="B492" s="22">
        <v>620</v>
      </c>
      <c r="C492" s="23" t="s">
        <v>3039</v>
      </c>
      <c r="D492" s="23" t="s">
        <v>2274</v>
      </c>
      <c r="E492" s="21">
        <v>0</v>
      </c>
      <c r="F492" s="27"/>
      <c r="G492" s="27"/>
      <c r="H492" s="10"/>
      <c r="I492" s="27"/>
    </row>
    <row r="493" spans="1:9">
      <c r="A493" s="21" t="s">
        <v>764</v>
      </c>
      <c r="B493" s="22">
        <v>620</v>
      </c>
      <c r="C493" s="23" t="s">
        <v>3040</v>
      </c>
      <c r="D493" s="23" t="s">
        <v>3041</v>
      </c>
      <c r="E493" s="21">
        <v>0</v>
      </c>
      <c r="F493" s="27"/>
      <c r="G493" s="27"/>
      <c r="H493" s="10"/>
      <c r="I493" s="27"/>
    </row>
    <row r="494" spans="1:9">
      <c r="A494" s="21" t="s">
        <v>764</v>
      </c>
      <c r="B494" s="22">
        <v>620</v>
      </c>
      <c r="C494" s="23" t="s">
        <v>3042</v>
      </c>
      <c r="D494" s="23" t="s">
        <v>3043</v>
      </c>
      <c r="E494" s="21">
        <v>0</v>
      </c>
      <c r="F494" s="27"/>
      <c r="G494" s="27"/>
      <c r="H494" s="10"/>
      <c r="I494" s="27"/>
    </row>
    <row r="495" spans="1:9">
      <c r="A495" s="21" t="s">
        <v>764</v>
      </c>
      <c r="B495" s="22">
        <v>620</v>
      </c>
      <c r="C495" s="23" t="s">
        <v>3044</v>
      </c>
      <c r="D495" s="23" t="s">
        <v>3045</v>
      </c>
      <c r="E495" s="21">
        <v>0</v>
      </c>
      <c r="F495" s="27"/>
      <c r="G495" s="27"/>
      <c r="H495" s="10"/>
      <c r="I495" s="27"/>
    </row>
    <row r="496" spans="1:9">
      <c r="A496" s="21" t="s">
        <v>764</v>
      </c>
      <c r="B496" s="22">
        <v>620</v>
      </c>
      <c r="C496" s="23" t="s">
        <v>3046</v>
      </c>
      <c r="D496" s="23" t="s">
        <v>2297</v>
      </c>
      <c r="E496" s="21">
        <v>0</v>
      </c>
      <c r="F496" s="27"/>
      <c r="G496" s="27"/>
      <c r="H496" s="10"/>
      <c r="I496" s="27"/>
    </row>
    <row r="497" spans="1:9">
      <c r="A497" s="21" t="s">
        <v>764</v>
      </c>
      <c r="B497" s="22">
        <v>620</v>
      </c>
      <c r="C497" s="23" t="s">
        <v>3047</v>
      </c>
      <c r="D497" s="23" t="s">
        <v>2301</v>
      </c>
      <c r="E497" s="21">
        <v>0</v>
      </c>
      <c r="F497" s="27"/>
      <c r="G497" s="27"/>
      <c r="H497" s="10"/>
      <c r="I497" s="27"/>
    </row>
    <row r="498" spans="1:9">
      <c r="A498" s="21" t="s">
        <v>764</v>
      </c>
      <c r="B498" s="22">
        <v>620</v>
      </c>
      <c r="C498" s="23" t="s">
        <v>3048</v>
      </c>
      <c r="D498" s="23" t="s">
        <v>2077</v>
      </c>
      <c r="E498" s="21">
        <v>0</v>
      </c>
      <c r="F498" s="27"/>
      <c r="G498" s="27"/>
      <c r="H498" s="10"/>
      <c r="I498" s="27"/>
    </row>
    <row r="499" spans="1:9">
      <c r="A499" s="21" t="s">
        <v>764</v>
      </c>
      <c r="B499" s="22">
        <v>620</v>
      </c>
      <c r="C499" s="23" t="s">
        <v>3049</v>
      </c>
      <c r="D499" s="23" t="s">
        <v>2308</v>
      </c>
      <c r="E499" s="21">
        <v>0</v>
      </c>
      <c r="F499" s="27"/>
      <c r="G499" s="27"/>
      <c r="H499" s="10"/>
      <c r="I499" s="27"/>
    </row>
    <row r="500" spans="1:9">
      <c r="A500" s="21" t="s">
        <v>764</v>
      </c>
      <c r="B500" s="22">
        <v>620</v>
      </c>
      <c r="C500" s="23" t="s">
        <v>3050</v>
      </c>
      <c r="D500" s="23" t="s">
        <v>3051</v>
      </c>
      <c r="E500" s="21">
        <v>0</v>
      </c>
      <c r="F500" s="27"/>
      <c r="G500" s="27"/>
      <c r="H500" s="10"/>
      <c r="I500" s="27"/>
    </row>
    <row r="501" spans="1:9">
      <c r="A501" s="21" t="s">
        <v>764</v>
      </c>
      <c r="B501" s="22">
        <v>620</v>
      </c>
      <c r="C501" s="23" t="s">
        <v>3052</v>
      </c>
      <c r="D501" s="23" t="s">
        <v>3053</v>
      </c>
      <c r="E501" s="21">
        <v>0</v>
      </c>
      <c r="F501" s="27"/>
      <c r="G501" s="27"/>
      <c r="H501" s="10"/>
      <c r="I501" s="27"/>
    </row>
    <row r="502" spans="1:9">
      <c r="A502" s="21" t="s">
        <v>764</v>
      </c>
      <c r="B502" s="22">
        <v>620</v>
      </c>
      <c r="C502" s="23" t="s">
        <v>3054</v>
      </c>
      <c r="D502" s="23" t="s">
        <v>3055</v>
      </c>
      <c r="E502" s="21">
        <v>1</v>
      </c>
      <c r="F502" s="27"/>
      <c r="G502" s="27"/>
      <c r="H502" s="10"/>
      <c r="I502" s="27"/>
    </row>
    <row r="503" spans="1:9">
      <c r="A503" s="21" t="s">
        <v>1908</v>
      </c>
      <c r="B503" s="22">
        <v>620</v>
      </c>
      <c r="C503" s="24" t="s">
        <v>3056</v>
      </c>
      <c r="D503" s="24" t="s">
        <v>3057</v>
      </c>
      <c r="E503" s="21">
        <v>0</v>
      </c>
      <c r="F503" s="24" t="s">
        <v>3058</v>
      </c>
      <c r="G503" s="24" t="s">
        <v>3059</v>
      </c>
      <c r="H503" s="21">
        <v>1</v>
      </c>
      <c r="I503" s="27"/>
    </row>
    <row r="504" spans="1:9">
      <c r="A504" s="21" t="s">
        <v>1908</v>
      </c>
      <c r="B504" s="22">
        <v>620</v>
      </c>
      <c r="C504" s="24" t="s">
        <v>3060</v>
      </c>
      <c r="D504" s="24" t="s">
        <v>3061</v>
      </c>
      <c r="E504" s="21">
        <v>0</v>
      </c>
      <c r="F504" s="24" t="s">
        <v>3062</v>
      </c>
      <c r="G504" s="24" t="s">
        <v>3063</v>
      </c>
      <c r="H504" s="21">
        <v>1</v>
      </c>
      <c r="I504" s="27"/>
    </row>
    <row r="505" spans="1:9">
      <c r="A505" s="21" t="s">
        <v>1908</v>
      </c>
      <c r="B505" s="22">
        <v>620</v>
      </c>
      <c r="C505" s="24" t="s">
        <v>3064</v>
      </c>
      <c r="D505" s="24" t="s">
        <v>3065</v>
      </c>
      <c r="E505" s="21">
        <v>0</v>
      </c>
      <c r="F505" s="24" t="s">
        <v>3066</v>
      </c>
      <c r="G505" s="24" t="s">
        <v>3067</v>
      </c>
      <c r="H505" s="21">
        <v>1</v>
      </c>
      <c r="I505" s="27"/>
    </row>
    <row r="506" spans="1:9">
      <c r="A506" s="21" t="s">
        <v>1908</v>
      </c>
      <c r="B506" s="22">
        <v>620</v>
      </c>
      <c r="C506" s="24" t="s">
        <v>3068</v>
      </c>
      <c r="D506" s="24" t="s">
        <v>3069</v>
      </c>
      <c r="E506" s="21">
        <v>0</v>
      </c>
      <c r="F506" s="24" t="s">
        <v>3070</v>
      </c>
      <c r="G506" s="24" t="s">
        <v>3071</v>
      </c>
      <c r="H506" s="21">
        <v>1</v>
      </c>
      <c r="I506" s="27"/>
    </row>
    <row r="507" spans="1:9">
      <c r="A507" s="21" t="s">
        <v>1908</v>
      </c>
      <c r="B507" s="22">
        <v>620</v>
      </c>
      <c r="C507" s="24" t="s">
        <v>3072</v>
      </c>
      <c r="D507" s="24" t="s">
        <v>3073</v>
      </c>
      <c r="E507" s="21">
        <v>0</v>
      </c>
      <c r="F507" s="24" t="s">
        <v>3074</v>
      </c>
      <c r="G507" s="24" t="s">
        <v>3075</v>
      </c>
      <c r="H507" s="21">
        <v>1</v>
      </c>
      <c r="I507" s="27"/>
    </row>
    <row r="508" ht="28" spans="1:9">
      <c r="A508" s="21" t="s">
        <v>1908</v>
      </c>
      <c r="B508" s="22">
        <v>620</v>
      </c>
      <c r="C508" s="24" t="s">
        <v>3076</v>
      </c>
      <c r="D508" s="24" t="s">
        <v>3077</v>
      </c>
      <c r="E508" s="21">
        <v>0</v>
      </c>
      <c r="F508" s="24" t="s">
        <v>3078</v>
      </c>
      <c r="G508" s="24" t="s">
        <v>3079</v>
      </c>
      <c r="H508" s="21">
        <v>1</v>
      </c>
      <c r="I508" s="27"/>
    </row>
    <row r="509" ht="28" spans="1:9">
      <c r="A509" s="21" t="s">
        <v>1908</v>
      </c>
      <c r="B509" s="22">
        <v>620</v>
      </c>
      <c r="C509" s="24" t="s">
        <v>3080</v>
      </c>
      <c r="D509" s="24" t="s">
        <v>3081</v>
      </c>
      <c r="E509" s="21">
        <v>0</v>
      </c>
      <c r="F509" s="24" t="s">
        <v>3082</v>
      </c>
      <c r="G509" s="24" t="s">
        <v>3083</v>
      </c>
      <c r="H509" s="21">
        <v>1</v>
      </c>
      <c r="I509" s="27"/>
    </row>
    <row r="510" spans="1:9">
      <c r="A510" s="21" t="s">
        <v>1908</v>
      </c>
      <c r="B510" s="22">
        <v>620</v>
      </c>
      <c r="C510" s="23"/>
      <c r="D510" s="23"/>
      <c r="E510" s="21"/>
      <c r="F510" s="24" t="s">
        <v>3084</v>
      </c>
      <c r="G510" s="24" t="s">
        <v>3085</v>
      </c>
      <c r="H510" s="21">
        <v>1</v>
      </c>
      <c r="I510" s="27"/>
    </row>
    <row r="511" spans="1:9">
      <c r="A511" s="21" t="s">
        <v>1908</v>
      </c>
      <c r="B511" s="22">
        <v>620</v>
      </c>
      <c r="C511" s="23"/>
      <c r="D511" s="23"/>
      <c r="E511" s="21"/>
      <c r="F511" s="24" t="s">
        <v>3086</v>
      </c>
      <c r="G511" s="24" t="s">
        <v>3087</v>
      </c>
      <c r="H511" s="21">
        <v>1</v>
      </c>
      <c r="I511" s="27"/>
    </row>
    <row r="512" spans="1:9">
      <c r="A512" s="21" t="s">
        <v>1908</v>
      </c>
      <c r="B512" s="22">
        <v>620</v>
      </c>
      <c r="C512" s="23"/>
      <c r="D512" s="23"/>
      <c r="E512" s="21"/>
      <c r="F512" s="24" t="s">
        <v>3088</v>
      </c>
      <c r="G512" s="24" t="s">
        <v>3089</v>
      </c>
      <c r="H512" s="21">
        <v>1</v>
      </c>
      <c r="I512" s="27"/>
    </row>
    <row r="513" spans="1:9">
      <c r="A513" s="21" t="s">
        <v>1908</v>
      </c>
      <c r="B513" s="22">
        <v>620</v>
      </c>
      <c r="C513" s="23"/>
      <c r="D513" s="23"/>
      <c r="E513" s="21"/>
      <c r="F513" s="24" t="s">
        <v>3090</v>
      </c>
      <c r="G513" s="24" t="s">
        <v>3091</v>
      </c>
      <c r="H513" s="21">
        <v>1</v>
      </c>
      <c r="I513" s="27"/>
    </row>
    <row r="514" spans="1:9">
      <c r="A514" s="21" t="s">
        <v>1908</v>
      </c>
      <c r="B514" s="22">
        <v>620</v>
      </c>
      <c r="C514" s="23"/>
      <c r="D514" s="23"/>
      <c r="E514" s="21"/>
      <c r="F514" s="24" t="s">
        <v>3092</v>
      </c>
      <c r="G514" s="24" t="s">
        <v>3093</v>
      </c>
      <c r="H514" s="21">
        <v>1</v>
      </c>
      <c r="I514" s="27"/>
    </row>
    <row r="515" spans="1:9">
      <c r="A515" s="21" t="s">
        <v>1908</v>
      </c>
      <c r="B515" s="22">
        <v>620</v>
      </c>
      <c r="C515" s="23"/>
      <c r="D515" s="23"/>
      <c r="E515" s="21"/>
      <c r="F515" s="24" t="s">
        <v>3094</v>
      </c>
      <c r="G515" s="24" t="s">
        <v>3095</v>
      </c>
      <c r="H515" s="21">
        <v>1</v>
      </c>
      <c r="I515" s="27"/>
    </row>
    <row r="516" spans="1:9">
      <c r="A516" s="21" t="s">
        <v>1908</v>
      </c>
      <c r="B516" s="22">
        <v>620</v>
      </c>
      <c r="C516" s="23"/>
      <c r="D516" s="23"/>
      <c r="E516" s="21"/>
      <c r="F516" s="24" t="s">
        <v>3096</v>
      </c>
      <c r="G516" s="24" t="s">
        <v>3097</v>
      </c>
      <c r="H516" s="21">
        <v>1</v>
      </c>
      <c r="I516" s="27"/>
    </row>
    <row r="517" spans="1:9">
      <c r="A517" s="21" t="s">
        <v>1908</v>
      </c>
      <c r="B517" s="22">
        <v>620</v>
      </c>
      <c r="C517" s="23"/>
      <c r="D517" s="23"/>
      <c r="E517" s="21"/>
      <c r="F517" s="24" t="s">
        <v>3098</v>
      </c>
      <c r="G517" s="24" t="s">
        <v>3099</v>
      </c>
      <c r="H517" s="21">
        <v>1</v>
      </c>
      <c r="I517" s="27"/>
    </row>
    <row r="518" spans="1:9">
      <c r="A518" s="21" t="s">
        <v>1908</v>
      </c>
      <c r="B518" s="22">
        <v>620</v>
      </c>
      <c r="C518" s="23"/>
      <c r="D518" s="23"/>
      <c r="E518" s="21"/>
      <c r="F518" s="24" t="s">
        <v>3100</v>
      </c>
      <c r="G518" s="24" t="s">
        <v>3101</v>
      </c>
      <c r="H518" s="21">
        <v>1</v>
      </c>
      <c r="I518" s="27"/>
    </row>
    <row r="519" spans="1:9">
      <c r="A519" s="21" t="s">
        <v>1908</v>
      </c>
      <c r="B519" s="22">
        <v>620</v>
      </c>
      <c r="C519" s="23"/>
      <c r="D519" s="23"/>
      <c r="E519" s="21"/>
      <c r="F519" s="24" t="s">
        <v>3102</v>
      </c>
      <c r="G519" s="24" t="s">
        <v>3103</v>
      </c>
      <c r="H519" s="21">
        <v>1</v>
      </c>
      <c r="I519" s="27"/>
    </row>
    <row r="520" spans="1:9">
      <c r="A520" s="21" t="s">
        <v>1908</v>
      </c>
      <c r="B520" s="22">
        <v>620</v>
      </c>
      <c r="C520" s="23"/>
      <c r="D520" s="23"/>
      <c r="E520" s="21"/>
      <c r="F520" s="24" t="s">
        <v>3104</v>
      </c>
      <c r="G520" s="24" t="s">
        <v>3105</v>
      </c>
      <c r="H520" s="21">
        <v>1</v>
      </c>
      <c r="I520" s="27"/>
    </row>
    <row r="521" spans="1:9">
      <c r="A521" s="21" t="s">
        <v>1908</v>
      </c>
      <c r="B521" s="22">
        <v>620</v>
      </c>
      <c r="C521" s="23"/>
      <c r="D521" s="23"/>
      <c r="E521" s="21"/>
      <c r="F521" s="24" t="s">
        <v>3106</v>
      </c>
      <c r="G521" s="24" t="s">
        <v>3107</v>
      </c>
      <c r="H521" s="21">
        <v>1</v>
      </c>
      <c r="I521" s="27"/>
    </row>
    <row r="522" spans="1:9">
      <c r="A522" s="21" t="s">
        <v>1908</v>
      </c>
      <c r="B522" s="22">
        <v>620</v>
      </c>
      <c r="C522" s="23"/>
      <c r="D522" s="23"/>
      <c r="E522" s="21"/>
      <c r="F522" s="24" t="s">
        <v>3108</v>
      </c>
      <c r="G522" s="24" t="s">
        <v>3109</v>
      </c>
      <c r="H522" s="21">
        <v>1</v>
      </c>
      <c r="I522" s="27"/>
    </row>
    <row r="523" spans="1:9">
      <c r="A523" s="21" t="s">
        <v>1908</v>
      </c>
      <c r="B523" s="22">
        <v>620</v>
      </c>
      <c r="C523" s="23"/>
      <c r="D523" s="23"/>
      <c r="E523" s="21"/>
      <c r="F523" s="24" t="s">
        <v>3110</v>
      </c>
      <c r="G523" s="24" t="s">
        <v>3111</v>
      </c>
      <c r="H523" s="21">
        <v>1</v>
      </c>
      <c r="I523" s="27"/>
    </row>
    <row r="524" spans="1:9">
      <c r="A524" s="21" t="s">
        <v>1908</v>
      </c>
      <c r="B524" s="22">
        <v>620</v>
      </c>
      <c r="C524" s="23"/>
      <c r="D524" s="23"/>
      <c r="E524" s="21"/>
      <c r="F524" s="24" t="s">
        <v>3112</v>
      </c>
      <c r="G524" s="24" t="s">
        <v>3113</v>
      </c>
      <c r="H524" s="21">
        <v>1</v>
      </c>
      <c r="I524" s="27"/>
    </row>
    <row r="525" spans="1:9">
      <c r="A525" s="21" t="s">
        <v>1908</v>
      </c>
      <c r="B525" s="22">
        <v>620</v>
      </c>
      <c r="C525" s="23"/>
      <c r="D525" s="23"/>
      <c r="E525" s="21"/>
      <c r="F525" s="24" t="s">
        <v>3114</v>
      </c>
      <c r="G525" s="24" t="s">
        <v>3115</v>
      </c>
      <c r="H525" s="21">
        <v>1</v>
      </c>
      <c r="I525" s="27"/>
    </row>
    <row r="526" spans="1:9">
      <c r="A526" s="21" t="s">
        <v>1908</v>
      </c>
      <c r="B526" s="22">
        <v>620</v>
      </c>
      <c r="C526" s="23"/>
      <c r="D526" s="23"/>
      <c r="E526" s="21"/>
      <c r="F526" s="24" t="s">
        <v>3116</v>
      </c>
      <c r="G526" s="24" t="s">
        <v>3117</v>
      </c>
      <c r="H526" s="21">
        <v>1</v>
      </c>
      <c r="I526" s="27"/>
    </row>
    <row r="527" spans="1:9">
      <c r="A527" s="21" t="s">
        <v>1908</v>
      </c>
      <c r="B527" s="22">
        <v>620</v>
      </c>
      <c r="C527" s="23"/>
      <c r="D527" s="23"/>
      <c r="E527" s="21"/>
      <c r="F527" s="24" t="s">
        <v>3118</v>
      </c>
      <c r="G527" s="24" t="s">
        <v>3119</v>
      </c>
      <c r="H527" s="21">
        <v>1</v>
      </c>
      <c r="I527" s="27"/>
    </row>
    <row r="528" spans="1:9">
      <c r="A528" s="21" t="s">
        <v>1908</v>
      </c>
      <c r="B528" s="22">
        <v>620</v>
      </c>
      <c r="C528" s="23"/>
      <c r="D528" s="23"/>
      <c r="E528" s="21"/>
      <c r="F528" s="24" t="s">
        <v>3120</v>
      </c>
      <c r="G528" s="24" t="s">
        <v>3121</v>
      </c>
      <c r="H528" s="21">
        <v>1</v>
      </c>
      <c r="I528" s="27"/>
    </row>
    <row r="529" spans="1:9">
      <c r="A529" s="21" t="s">
        <v>1908</v>
      </c>
      <c r="B529" s="22">
        <v>620</v>
      </c>
      <c r="C529" s="23"/>
      <c r="D529" s="23"/>
      <c r="E529" s="21"/>
      <c r="F529" s="24" t="s">
        <v>3122</v>
      </c>
      <c r="G529" s="24" t="s">
        <v>3123</v>
      </c>
      <c r="H529" s="21">
        <v>1</v>
      </c>
      <c r="I529" s="27"/>
    </row>
    <row r="530" spans="1:9">
      <c r="A530" s="21" t="s">
        <v>1908</v>
      </c>
      <c r="B530" s="22">
        <v>620</v>
      </c>
      <c r="C530" s="23"/>
      <c r="D530" s="23"/>
      <c r="E530" s="21"/>
      <c r="F530" s="24" t="s">
        <v>3124</v>
      </c>
      <c r="G530" s="24" t="s">
        <v>3125</v>
      </c>
      <c r="H530" s="21">
        <v>1</v>
      </c>
      <c r="I530" s="27"/>
    </row>
    <row r="531" spans="1:9">
      <c r="A531" s="21" t="s">
        <v>1908</v>
      </c>
      <c r="B531" s="22">
        <v>620</v>
      </c>
      <c r="C531" s="23"/>
      <c r="D531" s="23"/>
      <c r="E531" s="21"/>
      <c r="F531" s="24" t="s">
        <v>3126</v>
      </c>
      <c r="G531" s="24" t="s">
        <v>3127</v>
      </c>
      <c r="H531" s="21">
        <v>1</v>
      </c>
      <c r="I531" s="27"/>
    </row>
    <row r="532" spans="1:9">
      <c r="A532" s="21" t="s">
        <v>1908</v>
      </c>
      <c r="B532" s="22">
        <v>620</v>
      </c>
      <c r="C532" s="23"/>
      <c r="D532" s="23"/>
      <c r="E532" s="21"/>
      <c r="F532" s="24" t="s">
        <v>3128</v>
      </c>
      <c r="G532" s="24" t="s">
        <v>3129</v>
      </c>
      <c r="H532" s="21">
        <v>1</v>
      </c>
      <c r="I532" s="27"/>
    </row>
    <row r="533" spans="1:9">
      <c r="A533" s="21" t="s">
        <v>1908</v>
      </c>
      <c r="B533" s="22">
        <v>620</v>
      </c>
      <c r="C533" s="23"/>
      <c r="D533" s="23"/>
      <c r="E533" s="21"/>
      <c r="F533" s="24" t="s">
        <v>3130</v>
      </c>
      <c r="G533" s="24" t="s">
        <v>3131</v>
      </c>
      <c r="H533" s="21">
        <v>1</v>
      </c>
      <c r="I533" s="27"/>
    </row>
    <row r="534" spans="1:9">
      <c r="A534" s="21" t="s">
        <v>1908</v>
      </c>
      <c r="B534" s="22">
        <v>620</v>
      </c>
      <c r="C534" s="23"/>
      <c r="D534" s="23"/>
      <c r="E534" s="21"/>
      <c r="F534" s="24" t="s">
        <v>3132</v>
      </c>
      <c r="G534" s="24" t="s">
        <v>3133</v>
      </c>
      <c r="H534" s="21">
        <v>1</v>
      </c>
      <c r="I534" s="27"/>
    </row>
    <row r="535" spans="1:9">
      <c r="A535" s="21" t="s">
        <v>1908</v>
      </c>
      <c r="B535" s="22">
        <v>620</v>
      </c>
      <c r="C535" s="23"/>
      <c r="D535" s="23"/>
      <c r="E535" s="21"/>
      <c r="F535" s="24" t="s">
        <v>3134</v>
      </c>
      <c r="G535" s="24" t="s">
        <v>3135</v>
      </c>
      <c r="H535" s="21">
        <v>1</v>
      </c>
      <c r="I535" s="27"/>
    </row>
    <row r="536" spans="1:9">
      <c r="A536" s="21" t="s">
        <v>1908</v>
      </c>
      <c r="B536" s="22">
        <v>620</v>
      </c>
      <c r="C536" s="23"/>
      <c r="D536" s="23"/>
      <c r="E536" s="21"/>
      <c r="F536" s="24" t="s">
        <v>3136</v>
      </c>
      <c r="G536" s="24" t="s">
        <v>3137</v>
      </c>
      <c r="H536" s="21">
        <v>1</v>
      </c>
      <c r="I536" s="27"/>
    </row>
    <row r="537" spans="1:9">
      <c r="A537" s="21" t="s">
        <v>1908</v>
      </c>
      <c r="B537" s="22">
        <v>620</v>
      </c>
      <c r="C537" s="23"/>
      <c r="D537" s="23"/>
      <c r="E537" s="21"/>
      <c r="F537" s="24" t="s">
        <v>3138</v>
      </c>
      <c r="G537" s="24" t="s">
        <v>3139</v>
      </c>
      <c r="H537" s="21">
        <v>1</v>
      </c>
      <c r="I537" s="27"/>
    </row>
    <row r="538" spans="1:9">
      <c r="A538" s="21" t="s">
        <v>1908</v>
      </c>
      <c r="B538" s="22">
        <v>620</v>
      </c>
      <c r="C538" s="23"/>
      <c r="D538" s="23"/>
      <c r="E538" s="21"/>
      <c r="F538" s="24" t="s">
        <v>3140</v>
      </c>
      <c r="G538" s="24" t="s">
        <v>3141</v>
      </c>
      <c r="H538" s="21">
        <v>1</v>
      </c>
      <c r="I538" s="27"/>
    </row>
    <row r="539" spans="1:9">
      <c r="A539" s="21" t="s">
        <v>1908</v>
      </c>
      <c r="B539" s="22">
        <v>620</v>
      </c>
      <c r="C539" s="23"/>
      <c r="D539" s="23"/>
      <c r="E539" s="21"/>
      <c r="F539" s="24" t="s">
        <v>3142</v>
      </c>
      <c r="G539" s="24" t="s">
        <v>3143</v>
      </c>
      <c r="H539" s="21">
        <v>1</v>
      </c>
      <c r="I539" s="27"/>
    </row>
    <row r="540" spans="1:9">
      <c r="A540" s="21" t="s">
        <v>1908</v>
      </c>
      <c r="B540" s="22">
        <v>620</v>
      </c>
      <c r="C540" s="23"/>
      <c r="D540" s="23"/>
      <c r="E540" s="21"/>
      <c r="F540" s="24" t="s">
        <v>3144</v>
      </c>
      <c r="G540" s="24" t="s">
        <v>3145</v>
      </c>
      <c r="H540" s="21">
        <v>1</v>
      </c>
      <c r="I540" s="27"/>
    </row>
    <row r="541" ht="42" spans="1:9">
      <c r="A541" s="21" t="s">
        <v>1908</v>
      </c>
      <c r="B541" s="22">
        <v>620</v>
      </c>
      <c r="C541" s="23"/>
      <c r="D541" s="23"/>
      <c r="E541" s="21"/>
      <c r="F541" s="24" t="s">
        <v>3146</v>
      </c>
      <c r="G541" s="24" t="s">
        <v>3147</v>
      </c>
      <c r="H541" s="21">
        <v>0</v>
      </c>
      <c r="I541" s="27"/>
    </row>
    <row r="542" ht="42" spans="1:9">
      <c r="A542" s="21" t="s">
        <v>1908</v>
      </c>
      <c r="B542" s="22">
        <v>620</v>
      </c>
      <c r="C542" s="23"/>
      <c r="D542" s="23"/>
      <c r="E542" s="21"/>
      <c r="F542" s="24" t="s">
        <v>3148</v>
      </c>
      <c r="G542" s="24" t="s">
        <v>3149</v>
      </c>
      <c r="H542" s="21">
        <v>0</v>
      </c>
      <c r="I542" s="27"/>
    </row>
    <row r="543" ht="42" spans="1:9">
      <c r="A543" s="21" t="s">
        <v>1908</v>
      </c>
      <c r="B543" s="22">
        <v>620</v>
      </c>
      <c r="C543" s="23"/>
      <c r="D543" s="23"/>
      <c r="E543" s="21"/>
      <c r="F543" s="24" t="s">
        <v>3150</v>
      </c>
      <c r="G543" s="24" t="s">
        <v>3151</v>
      </c>
      <c r="H543" s="21">
        <v>0</v>
      </c>
      <c r="I543" s="27"/>
    </row>
    <row r="544" ht="42" spans="1:9">
      <c r="A544" s="21" t="s">
        <v>1908</v>
      </c>
      <c r="B544" s="22">
        <v>620</v>
      </c>
      <c r="C544" s="23"/>
      <c r="D544" s="23"/>
      <c r="E544" s="21"/>
      <c r="F544" s="24" t="s">
        <v>3152</v>
      </c>
      <c r="G544" s="24" t="s">
        <v>3153</v>
      </c>
      <c r="H544" s="21">
        <v>0</v>
      </c>
      <c r="I544" s="27"/>
    </row>
    <row r="545" ht="42" spans="1:9">
      <c r="A545" s="21" t="s">
        <v>1908</v>
      </c>
      <c r="B545" s="22">
        <v>620</v>
      </c>
      <c r="C545" s="23"/>
      <c r="D545" s="23"/>
      <c r="E545" s="21"/>
      <c r="F545" s="24" t="s">
        <v>3154</v>
      </c>
      <c r="G545" s="24" t="s">
        <v>3155</v>
      </c>
      <c r="H545" s="21">
        <v>2</v>
      </c>
      <c r="I545" s="27"/>
    </row>
    <row r="546" ht="42" spans="1:9">
      <c r="A546" s="21" t="s">
        <v>1908</v>
      </c>
      <c r="B546" s="22">
        <v>620</v>
      </c>
      <c r="C546" s="23"/>
      <c r="D546" s="23"/>
      <c r="E546" s="21"/>
      <c r="F546" s="24" t="s">
        <v>3156</v>
      </c>
      <c r="G546" s="24" t="s">
        <v>3157</v>
      </c>
      <c r="H546" s="21">
        <v>0</v>
      </c>
      <c r="I546" s="27"/>
    </row>
    <row r="547" ht="42" spans="1:9">
      <c r="A547" s="21" t="s">
        <v>1908</v>
      </c>
      <c r="B547" s="22">
        <v>620</v>
      </c>
      <c r="C547" s="23"/>
      <c r="D547" s="23"/>
      <c r="E547" s="21"/>
      <c r="F547" s="24" t="s">
        <v>3158</v>
      </c>
      <c r="G547" s="24" t="s">
        <v>3159</v>
      </c>
      <c r="H547" s="21">
        <v>2</v>
      </c>
      <c r="I547" s="27"/>
    </row>
    <row r="548" ht="42" spans="1:9">
      <c r="A548" s="21" t="s">
        <v>1908</v>
      </c>
      <c r="B548" s="22">
        <v>620</v>
      </c>
      <c r="C548" s="23"/>
      <c r="D548" s="23"/>
      <c r="E548" s="21"/>
      <c r="F548" s="24" t="s">
        <v>3160</v>
      </c>
      <c r="G548" s="24" t="s">
        <v>3161</v>
      </c>
      <c r="H548" s="21">
        <v>0</v>
      </c>
      <c r="I548" s="27"/>
    </row>
    <row r="549" ht="42" spans="1:9">
      <c r="A549" s="21" t="s">
        <v>1908</v>
      </c>
      <c r="B549" s="22">
        <v>620</v>
      </c>
      <c r="C549" s="23"/>
      <c r="D549" s="23"/>
      <c r="E549" s="21"/>
      <c r="F549" s="24" t="s">
        <v>3162</v>
      </c>
      <c r="G549" s="24" t="s">
        <v>3163</v>
      </c>
      <c r="H549" s="21">
        <v>0</v>
      </c>
      <c r="I549" s="27"/>
    </row>
    <row r="550" ht="56" spans="1:9">
      <c r="A550" s="21" t="s">
        <v>1908</v>
      </c>
      <c r="B550" s="22">
        <v>620</v>
      </c>
      <c r="C550" s="23"/>
      <c r="D550" s="23"/>
      <c r="E550" s="21"/>
      <c r="F550" s="24" t="s">
        <v>3164</v>
      </c>
      <c r="G550" s="24" t="s">
        <v>3165</v>
      </c>
      <c r="H550" s="21">
        <v>1</v>
      </c>
      <c r="I550" s="27"/>
    </row>
    <row r="551" ht="56" spans="1:9">
      <c r="A551" s="21" t="s">
        <v>1908</v>
      </c>
      <c r="B551" s="22">
        <v>620</v>
      </c>
      <c r="C551" s="23"/>
      <c r="D551" s="23"/>
      <c r="E551" s="21"/>
      <c r="F551" s="24" t="s">
        <v>3166</v>
      </c>
      <c r="G551" s="24" t="s">
        <v>3167</v>
      </c>
      <c r="H551" s="21">
        <v>1</v>
      </c>
      <c r="I551" s="27"/>
    </row>
    <row r="552" ht="42" spans="1:9">
      <c r="A552" s="21" t="s">
        <v>1908</v>
      </c>
      <c r="B552" s="22">
        <v>620</v>
      </c>
      <c r="C552" s="23"/>
      <c r="D552" s="23"/>
      <c r="E552" s="21"/>
      <c r="F552" s="24" t="s">
        <v>3168</v>
      </c>
      <c r="G552" s="24" t="s">
        <v>3169</v>
      </c>
      <c r="H552" s="21">
        <v>0</v>
      </c>
      <c r="I552" s="27"/>
    </row>
    <row r="553" ht="56" spans="1:9">
      <c r="A553" s="21" t="s">
        <v>1908</v>
      </c>
      <c r="B553" s="22">
        <v>620</v>
      </c>
      <c r="C553" s="23"/>
      <c r="D553" s="23"/>
      <c r="E553" s="21"/>
      <c r="F553" s="24" t="s">
        <v>3170</v>
      </c>
      <c r="G553" s="24" t="s">
        <v>3171</v>
      </c>
      <c r="H553" s="21">
        <v>0</v>
      </c>
      <c r="I553" s="27"/>
    </row>
    <row r="554" ht="42" spans="1:9">
      <c r="A554" s="21" t="s">
        <v>1908</v>
      </c>
      <c r="B554" s="22">
        <v>620</v>
      </c>
      <c r="C554" s="23"/>
      <c r="D554" s="23"/>
      <c r="E554" s="21"/>
      <c r="F554" s="24" t="s">
        <v>3172</v>
      </c>
      <c r="G554" s="24" t="s">
        <v>3173</v>
      </c>
      <c r="H554" s="21">
        <v>0</v>
      </c>
      <c r="I554" s="27"/>
    </row>
    <row r="555" ht="42" spans="1:9">
      <c r="A555" s="21" t="s">
        <v>1908</v>
      </c>
      <c r="B555" s="22">
        <v>620</v>
      </c>
      <c r="C555" s="23"/>
      <c r="D555" s="23"/>
      <c r="E555" s="21"/>
      <c r="F555" s="24" t="s">
        <v>3174</v>
      </c>
      <c r="G555" s="24" t="s">
        <v>3175</v>
      </c>
      <c r="H555" s="21">
        <v>0</v>
      </c>
      <c r="I555" s="27"/>
    </row>
    <row r="556" ht="42" spans="1:9">
      <c r="A556" s="21" t="s">
        <v>1908</v>
      </c>
      <c r="B556" s="22">
        <v>620</v>
      </c>
      <c r="C556" s="23"/>
      <c r="D556" s="23"/>
      <c r="E556" s="21"/>
      <c r="F556" s="24" t="s">
        <v>3176</v>
      </c>
      <c r="G556" s="24" t="s">
        <v>3177</v>
      </c>
      <c r="H556" s="21">
        <v>0</v>
      </c>
      <c r="I556" s="27"/>
    </row>
    <row r="557" ht="28" spans="1:9">
      <c r="A557" s="21" t="s">
        <v>1908</v>
      </c>
      <c r="B557" s="22">
        <v>620</v>
      </c>
      <c r="C557" s="23"/>
      <c r="D557" s="23"/>
      <c r="E557" s="21"/>
      <c r="F557" s="24" t="s">
        <v>3178</v>
      </c>
      <c r="G557" s="24" t="s">
        <v>3179</v>
      </c>
      <c r="H557" s="21">
        <v>2</v>
      </c>
      <c r="I557" s="27"/>
    </row>
    <row r="558" spans="1:9">
      <c r="A558" s="21" t="s">
        <v>1908</v>
      </c>
      <c r="B558" s="22">
        <v>620</v>
      </c>
      <c r="C558" s="23"/>
      <c r="D558" s="23"/>
      <c r="E558" s="21"/>
      <c r="F558" s="24" t="s">
        <v>3180</v>
      </c>
      <c r="G558" s="24" t="s">
        <v>3181</v>
      </c>
      <c r="H558" s="21">
        <v>2</v>
      </c>
      <c r="I558" s="27"/>
    </row>
    <row r="559" spans="1:9">
      <c r="A559" s="21" t="s">
        <v>1908</v>
      </c>
      <c r="B559" s="22">
        <v>620</v>
      </c>
      <c r="C559" s="23"/>
      <c r="D559" s="23"/>
      <c r="E559" s="21"/>
      <c r="F559" s="24" t="s">
        <v>3182</v>
      </c>
      <c r="G559" s="24" t="s">
        <v>3183</v>
      </c>
      <c r="H559" s="21">
        <v>1</v>
      </c>
      <c r="I559" s="27"/>
    </row>
    <row r="560" spans="1:9">
      <c r="A560" s="21" t="s">
        <v>1908</v>
      </c>
      <c r="B560" s="22">
        <v>620</v>
      </c>
      <c r="C560" s="23"/>
      <c r="D560" s="23"/>
      <c r="E560" s="21"/>
      <c r="F560" s="24" t="s">
        <v>3184</v>
      </c>
      <c r="G560" s="24" t="s">
        <v>3185</v>
      </c>
      <c r="H560" s="21">
        <v>0</v>
      </c>
      <c r="I560" s="27"/>
    </row>
    <row r="561" spans="1:9">
      <c r="A561" s="21" t="s">
        <v>1908</v>
      </c>
      <c r="B561" s="22">
        <v>620</v>
      </c>
      <c r="C561" s="23"/>
      <c r="D561" s="23"/>
      <c r="E561" s="21"/>
      <c r="F561" s="24" t="s">
        <v>3186</v>
      </c>
      <c r="G561" s="24" t="s">
        <v>3187</v>
      </c>
      <c r="H561" s="21">
        <v>0</v>
      </c>
      <c r="I561" s="27"/>
    </row>
    <row r="562" spans="1:9">
      <c r="A562" s="21" t="s">
        <v>1908</v>
      </c>
      <c r="B562" s="22">
        <v>620</v>
      </c>
      <c r="C562" s="23"/>
      <c r="D562" s="23"/>
      <c r="E562" s="21"/>
      <c r="F562" s="24" t="s">
        <v>3188</v>
      </c>
      <c r="G562" s="24" t="s">
        <v>3189</v>
      </c>
      <c r="H562" s="21">
        <v>0</v>
      </c>
      <c r="I562" s="27"/>
    </row>
    <row r="563" spans="1:9">
      <c r="A563" s="21" t="s">
        <v>1908</v>
      </c>
      <c r="B563" s="22">
        <v>620</v>
      </c>
      <c r="C563" s="23"/>
      <c r="D563" s="23"/>
      <c r="E563" s="21"/>
      <c r="F563" s="24" t="s">
        <v>3190</v>
      </c>
      <c r="G563" s="24" t="s">
        <v>2610</v>
      </c>
      <c r="H563" s="21">
        <v>0</v>
      </c>
      <c r="I563" s="27"/>
    </row>
    <row r="564" spans="1:9">
      <c r="A564" s="21" t="s">
        <v>1908</v>
      </c>
      <c r="B564" s="22">
        <v>620</v>
      </c>
      <c r="C564" s="23"/>
      <c r="D564" s="23"/>
      <c r="E564" s="21"/>
      <c r="F564" s="24" t="s">
        <v>3191</v>
      </c>
      <c r="G564" s="24" t="s">
        <v>3192</v>
      </c>
      <c r="H564" s="21">
        <v>0</v>
      </c>
      <c r="I564" s="27"/>
    </row>
    <row r="565" spans="1:9">
      <c r="A565" s="21" t="s">
        <v>1908</v>
      </c>
      <c r="B565" s="22">
        <v>620</v>
      </c>
      <c r="C565" s="23"/>
      <c r="D565" s="23"/>
      <c r="E565" s="21"/>
      <c r="F565" s="24" t="s">
        <v>3193</v>
      </c>
      <c r="G565" s="24" t="s">
        <v>3194</v>
      </c>
      <c r="H565" s="21">
        <v>0</v>
      </c>
      <c r="I565" s="27"/>
    </row>
    <row r="566" spans="1:9">
      <c r="A566" s="21" t="s">
        <v>1908</v>
      </c>
      <c r="B566" s="22">
        <v>620</v>
      </c>
      <c r="C566" s="23"/>
      <c r="D566" s="23"/>
      <c r="E566" s="21"/>
      <c r="F566" s="24" t="s">
        <v>3195</v>
      </c>
      <c r="G566" s="24" t="s">
        <v>3196</v>
      </c>
      <c r="H566" s="21" t="s">
        <v>3197</v>
      </c>
      <c r="I566" s="27"/>
    </row>
    <row r="567" spans="1:9">
      <c r="A567" s="21" t="s">
        <v>1908</v>
      </c>
      <c r="B567" s="22">
        <v>620</v>
      </c>
      <c r="C567" s="23"/>
      <c r="D567" s="23"/>
      <c r="E567" s="21"/>
      <c r="F567" s="24" t="s">
        <v>3198</v>
      </c>
      <c r="G567" s="24" t="s">
        <v>3199</v>
      </c>
      <c r="H567" s="21">
        <v>0</v>
      </c>
      <c r="I567" s="27"/>
    </row>
    <row r="568" spans="1:9">
      <c r="A568" s="21" t="s">
        <v>1908</v>
      </c>
      <c r="B568" s="22">
        <v>620</v>
      </c>
      <c r="C568" s="23"/>
      <c r="D568" s="23"/>
      <c r="E568" s="21"/>
      <c r="F568" s="24" t="s">
        <v>3200</v>
      </c>
      <c r="G568" s="24" t="s">
        <v>3201</v>
      </c>
      <c r="H568" s="21">
        <v>0</v>
      </c>
      <c r="I568" s="27"/>
    </row>
    <row r="569" spans="1:9">
      <c r="A569" s="21" t="s">
        <v>1908</v>
      </c>
      <c r="B569" s="22">
        <v>620</v>
      </c>
      <c r="C569" s="23"/>
      <c r="D569" s="23"/>
      <c r="E569" s="21"/>
      <c r="F569" s="24" t="s">
        <v>3202</v>
      </c>
      <c r="G569" s="24" t="s">
        <v>3203</v>
      </c>
      <c r="H569" s="21">
        <v>0</v>
      </c>
      <c r="I569" s="27"/>
    </row>
    <row r="570" spans="1:9">
      <c r="A570" s="21" t="s">
        <v>1908</v>
      </c>
      <c r="B570" s="22">
        <v>620</v>
      </c>
      <c r="C570" s="23"/>
      <c r="D570" s="23"/>
      <c r="E570" s="21"/>
      <c r="F570" s="24" t="s">
        <v>3204</v>
      </c>
      <c r="G570" s="24" t="s">
        <v>3205</v>
      </c>
      <c r="H570" s="21">
        <v>0</v>
      </c>
      <c r="I570" s="27"/>
    </row>
    <row r="571" spans="1:9">
      <c r="A571" s="21" t="s">
        <v>1908</v>
      </c>
      <c r="B571" s="22">
        <v>620</v>
      </c>
      <c r="C571" s="23"/>
      <c r="D571" s="23"/>
      <c r="E571" s="21"/>
      <c r="F571" s="24" t="s">
        <v>3206</v>
      </c>
      <c r="G571" s="24" t="s">
        <v>3207</v>
      </c>
      <c r="H571" s="21">
        <v>0</v>
      </c>
      <c r="I571" s="27"/>
    </row>
    <row r="572" spans="1:9">
      <c r="A572" s="21" t="s">
        <v>1908</v>
      </c>
      <c r="B572" s="22">
        <v>620</v>
      </c>
      <c r="C572" s="23"/>
      <c r="D572" s="23"/>
      <c r="E572" s="21"/>
      <c r="F572" s="24" t="s">
        <v>3208</v>
      </c>
      <c r="G572" s="24" t="s">
        <v>3209</v>
      </c>
      <c r="H572" s="21">
        <v>0</v>
      </c>
      <c r="I572" s="27"/>
    </row>
    <row r="573" spans="1:9">
      <c r="A573" s="21" t="s">
        <v>1908</v>
      </c>
      <c r="B573" s="22">
        <v>620</v>
      </c>
      <c r="C573" s="23"/>
      <c r="D573" s="23"/>
      <c r="E573" s="21"/>
      <c r="F573" s="24" t="s">
        <v>3210</v>
      </c>
      <c r="G573" s="24" t="s">
        <v>3211</v>
      </c>
      <c r="H573" s="21">
        <v>0</v>
      </c>
      <c r="I573" s="27"/>
    </row>
    <row r="574" spans="1:9">
      <c r="A574" s="21" t="s">
        <v>1908</v>
      </c>
      <c r="B574" s="22">
        <v>620</v>
      </c>
      <c r="C574" s="23"/>
      <c r="D574" s="23"/>
      <c r="E574" s="21"/>
      <c r="F574" s="24" t="s">
        <v>3212</v>
      </c>
      <c r="G574" s="24" t="s">
        <v>2630</v>
      </c>
      <c r="H574" s="21">
        <v>0</v>
      </c>
      <c r="I574" s="27"/>
    </row>
    <row r="575" spans="1:9">
      <c r="A575" s="21" t="s">
        <v>1908</v>
      </c>
      <c r="B575" s="22">
        <v>620</v>
      </c>
      <c r="C575" s="23"/>
      <c r="D575" s="23"/>
      <c r="E575" s="21"/>
      <c r="F575" s="24" t="s">
        <v>3213</v>
      </c>
      <c r="G575" s="24" t="s">
        <v>3214</v>
      </c>
      <c r="H575" s="21">
        <v>0</v>
      </c>
      <c r="I575" s="27"/>
    </row>
    <row r="576" spans="1:9">
      <c r="A576" s="21" t="s">
        <v>1908</v>
      </c>
      <c r="B576" s="22">
        <v>620</v>
      </c>
      <c r="C576" s="23"/>
      <c r="D576" s="23"/>
      <c r="E576" s="21"/>
      <c r="F576" s="24" t="s">
        <v>3215</v>
      </c>
      <c r="G576" s="24" t="s">
        <v>2636</v>
      </c>
      <c r="H576" s="21">
        <v>0</v>
      </c>
      <c r="I576" s="27"/>
    </row>
    <row r="577" spans="1:9">
      <c r="A577" s="21" t="s">
        <v>1908</v>
      </c>
      <c r="B577" s="22">
        <v>620</v>
      </c>
      <c r="C577" s="23"/>
      <c r="D577" s="23"/>
      <c r="E577" s="21"/>
      <c r="F577" s="24" t="s">
        <v>3216</v>
      </c>
      <c r="G577" s="24" t="s">
        <v>3067</v>
      </c>
      <c r="H577" s="21">
        <v>0</v>
      </c>
      <c r="I577" s="27"/>
    </row>
    <row r="578" ht="42" spans="1:9">
      <c r="A578" s="21" t="s">
        <v>1731</v>
      </c>
      <c r="B578" s="22">
        <v>630</v>
      </c>
      <c r="C578" s="23" t="s">
        <v>3217</v>
      </c>
      <c r="D578" s="23" t="s">
        <v>3218</v>
      </c>
      <c r="E578" s="21" t="s">
        <v>1798</v>
      </c>
      <c r="F578" s="24" t="s">
        <v>3219</v>
      </c>
      <c r="G578" s="24" t="s">
        <v>3220</v>
      </c>
      <c r="H578" s="21">
        <v>2</v>
      </c>
      <c r="I578" s="27"/>
    </row>
    <row r="579" ht="42" spans="1:9">
      <c r="A579" s="21" t="s">
        <v>1731</v>
      </c>
      <c r="B579" s="22">
        <v>630</v>
      </c>
      <c r="C579" s="23" t="s">
        <v>3221</v>
      </c>
      <c r="D579" s="23" t="s">
        <v>3222</v>
      </c>
      <c r="E579" s="21" t="s">
        <v>1798</v>
      </c>
      <c r="F579" s="24" t="s">
        <v>3223</v>
      </c>
      <c r="G579" s="24" t="s">
        <v>3224</v>
      </c>
      <c r="H579" s="21">
        <v>0</v>
      </c>
      <c r="I579" s="27"/>
    </row>
    <row r="580" ht="56" spans="1:9">
      <c r="A580" s="21" t="s">
        <v>1731</v>
      </c>
      <c r="B580" s="22">
        <v>630</v>
      </c>
      <c r="C580" s="23" t="s">
        <v>3225</v>
      </c>
      <c r="D580" s="23" t="s">
        <v>3226</v>
      </c>
      <c r="E580" s="21" t="s">
        <v>1798</v>
      </c>
      <c r="F580" s="24" t="s">
        <v>3227</v>
      </c>
      <c r="G580" s="24" t="s">
        <v>3228</v>
      </c>
      <c r="H580" s="21">
        <v>0</v>
      </c>
      <c r="I580" s="27"/>
    </row>
    <row r="581" ht="42" spans="1:9">
      <c r="A581" s="21" t="s">
        <v>1731</v>
      </c>
      <c r="B581" s="22">
        <v>630</v>
      </c>
      <c r="C581" s="23" t="s">
        <v>3229</v>
      </c>
      <c r="D581" s="23" t="s">
        <v>3230</v>
      </c>
      <c r="E581" s="21">
        <v>0</v>
      </c>
      <c r="F581" s="24" t="s">
        <v>3231</v>
      </c>
      <c r="G581" s="24" t="s">
        <v>3232</v>
      </c>
      <c r="H581" s="21">
        <v>1</v>
      </c>
      <c r="I581" s="27"/>
    </row>
    <row r="582" ht="56" spans="1:9">
      <c r="A582" s="21" t="s">
        <v>1731</v>
      </c>
      <c r="B582" s="22">
        <v>630</v>
      </c>
      <c r="C582" s="23" t="s">
        <v>3233</v>
      </c>
      <c r="D582" s="23" t="s">
        <v>3234</v>
      </c>
      <c r="E582" s="21">
        <v>0</v>
      </c>
      <c r="F582" s="24" t="s">
        <v>3235</v>
      </c>
      <c r="G582" s="24" t="s">
        <v>3236</v>
      </c>
      <c r="H582" s="21">
        <v>1</v>
      </c>
      <c r="I582" s="27"/>
    </row>
    <row r="583" ht="70" spans="1:9">
      <c r="A583" s="21" t="s">
        <v>1731</v>
      </c>
      <c r="B583" s="22">
        <v>630</v>
      </c>
      <c r="C583" s="23" t="s">
        <v>3237</v>
      </c>
      <c r="D583" s="23" t="s">
        <v>3238</v>
      </c>
      <c r="E583" s="21">
        <v>0</v>
      </c>
      <c r="F583" s="24" t="s">
        <v>3239</v>
      </c>
      <c r="G583" s="24" t="s">
        <v>3240</v>
      </c>
      <c r="H583" s="21">
        <v>1</v>
      </c>
      <c r="I583" s="27"/>
    </row>
    <row r="584" ht="42" spans="1:9">
      <c r="A584" s="21" t="s">
        <v>1731</v>
      </c>
      <c r="B584" s="22">
        <v>630</v>
      </c>
      <c r="C584" s="23" t="s">
        <v>3241</v>
      </c>
      <c r="D584" s="23" t="s">
        <v>3242</v>
      </c>
      <c r="E584" s="21">
        <v>0</v>
      </c>
      <c r="F584" s="27"/>
      <c r="G584" s="27"/>
      <c r="H584" s="10"/>
      <c r="I584" s="27"/>
    </row>
    <row r="585" ht="28" spans="1:9">
      <c r="A585" s="21" t="s">
        <v>1731</v>
      </c>
      <c r="B585" s="22">
        <v>630</v>
      </c>
      <c r="C585" s="23" t="s">
        <v>3243</v>
      </c>
      <c r="D585" s="23" t="s">
        <v>3244</v>
      </c>
      <c r="E585" s="21">
        <v>0</v>
      </c>
      <c r="F585" s="27"/>
      <c r="G585" s="27"/>
      <c r="H585" s="10"/>
      <c r="I585" s="27"/>
    </row>
    <row r="586" ht="28" spans="1:9">
      <c r="A586" s="21" t="s">
        <v>1731</v>
      </c>
      <c r="B586" s="22">
        <v>630</v>
      </c>
      <c r="C586" s="23" t="s">
        <v>3245</v>
      </c>
      <c r="D586" s="23" t="s">
        <v>3246</v>
      </c>
      <c r="E586" s="21" t="s">
        <v>1798</v>
      </c>
      <c r="F586" s="27"/>
      <c r="G586" s="27"/>
      <c r="H586" s="10"/>
      <c r="I586" s="27"/>
    </row>
    <row r="587" spans="1:9">
      <c r="A587" s="21" t="s">
        <v>1731</v>
      </c>
      <c r="B587" s="22">
        <v>630</v>
      </c>
      <c r="C587" s="23" t="s">
        <v>3247</v>
      </c>
      <c r="D587" s="23" t="s">
        <v>3248</v>
      </c>
      <c r="E587" s="21" t="s">
        <v>1798</v>
      </c>
      <c r="F587" s="27"/>
      <c r="G587" s="27"/>
      <c r="H587" s="10"/>
      <c r="I587" s="27"/>
    </row>
    <row r="588" spans="1:9">
      <c r="A588" s="21" t="s">
        <v>1731</v>
      </c>
      <c r="B588" s="22">
        <v>630</v>
      </c>
      <c r="C588" s="23" t="s">
        <v>3249</v>
      </c>
      <c r="D588" s="23" t="s">
        <v>3250</v>
      </c>
      <c r="E588" s="21" t="s">
        <v>1798</v>
      </c>
      <c r="F588" s="27"/>
      <c r="G588" s="27"/>
      <c r="H588" s="10"/>
      <c r="I588" s="27"/>
    </row>
    <row r="589" ht="42" spans="1:9">
      <c r="A589" s="21" t="s">
        <v>1731</v>
      </c>
      <c r="B589" s="22">
        <v>630</v>
      </c>
      <c r="C589" s="23" t="s">
        <v>3251</v>
      </c>
      <c r="D589" s="23" t="s">
        <v>3252</v>
      </c>
      <c r="E589" s="21" t="s">
        <v>1798</v>
      </c>
      <c r="F589" s="27"/>
      <c r="G589" s="27"/>
      <c r="H589" s="10"/>
      <c r="I589" s="27"/>
    </row>
    <row r="590" spans="1:9">
      <c r="A590" s="21" t="s">
        <v>1731</v>
      </c>
      <c r="B590" s="22">
        <v>630</v>
      </c>
      <c r="C590" s="23" t="s">
        <v>3253</v>
      </c>
      <c r="D590" s="23" t="s">
        <v>3254</v>
      </c>
      <c r="E590" s="21">
        <v>0</v>
      </c>
      <c r="F590" s="27"/>
      <c r="G590" s="27"/>
      <c r="H590" s="10"/>
      <c r="I590" s="27"/>
    </row>
    <row r="591" ht="28" spans="1:9">
      <c r="A591" s="21" t="s">
        <v>1731</v>
      </c>
      <c r="B591" s="22">
        <v>630</v>
      </c>
      <c r="C591" s="23" t="s">
        <v>3255</v>
      </c>
      <c r="D591" s="23" t="s">
        <v>3256</v>
      </c>
      <c r="E591" s="21">
        <v>0</v>
      </c>
      <c r="F591" s="27"/>
      <c r="G591" s="27"/>
      <c r="H591" s="10"/>
      <c r="I591" s="27"/>
    </row>
    <row r="592" ht="28" spans="1:9">
      <c r="A592" s="21" t="s">
        <v>764</v>
      </c>
      <c r="B592" s="22">
        <v>630</v>
      </c>
      <c r="C592" s="23" t="s">
        <v>3257</v>
      </c>
      <c r="D592" s="23" t="s">
        <v>2019</v>
      </c>
      <c r="E592" s="21">
        <v>0</v>
      </c>
      <c r="F592" s="24" t="s">
        <v>3258</v>
      </c>
      <c r="G592" s="24" t="s">
        <v>3259</v>
      </c>
      <c r="H592" s="31" t="s">
        <v>2144</v>
      </c>
      <c r="I592" s="27"/>
    </row>
    <row r="593" ht="28" spans="1:9">
      <c r="A593" s="21" t="s">
        <v>764</v>
      </c>
      <c r="B593" s="22">
        <v>630</v>
      </c>
      <c r="C593" s="23" t="s">
        <v>3260</v>
      </c>
      <c r="D593" s="23" t="s">
        <v>2019</v>
      </c>
      <c r="E593" s="21">
        <v>0</v>
      </c>
      <c r="F593" s="24" t="s">
        <v>3261</v>
      </c>
      <c r="G593" s="24" t="s">
        <v>3262</v>
      </c>
      <c r="H593" s="21">
        <v>0</v>
      </c>
      <c r="I593" s="27"/>
    </row>
    <row r="594" ht="28" spans="1:9">
      <c r="A594" s="21" t="s">
        <v>764</v>
      </c>
      <c r="B594" s="22">
        <v>630</v>
      </c>
      <c r="C594" s="23" t="s">
        <v>3263</v>
      </c>
      <c r="D594" s="23" t="s">
        <v>2023</v>
      </c>
      <c r="E594" s="21">
        <v>0</v>
      </c>
      <c r="F594" s="24" t="s">
        <v>3264</v>
      </c>
      <c r="G594" s="24" t="s">
        <v>3265</v>
      </c>
      <c r="H594" s="21">
        <v>1</v>
      </c>
      <c r="I594" s="27"/>
    </row>
    <row r="595" ht="28" spans="1:9">
      <c r="A595" s="21" t="s">
        <v>764</v>
      </c>
      <c r="B595" s="22">
        <v>630</v>
      </c>
      <c r="C595" s="23" t="s">
        <v>3266</v>
      </c>
      <c r="D595" s="23" t="s">
        <v>2023</v>
      </c>
      <c r="E595" s="21">
        <v>0</v>
      </c>
      <c r="F595" s="24" t="s">
        <v>3267</v>
      </c>
      <c r="G595" s="24" t="s">
        <v>3268</v>
      </c>
      <c r="H595" s="21">
        <v>0</v>
      </c>
      <c r="I595" s="27"/>
    </row>
    <row r="596" ht="28" spans="1:9">
      <c r="A596" s="21" t="s">
        <v>764</v>
      </c>
      <c r="B596" s="22">
        <v>630</v>
      </c>
      <c r="C596" s="23" t="s">
        <v>3269</v>
      </c>
      <c r="D596" s="23" t="s">
        <v>3270</v>
      </c>
      <c r="E596" s="21">
        <v>1</v>
      </c>
      <c r="F596" s="24" t="s">
        <v>3271</v>
      </c>
      <c r="G596" s="24" t="s">
        <v>3272</v>
      </c>
      <c r="H596" s="21">
        <v>0</v>
      </c>
      <c r="I596" s="27"/>
    </row>
    <row r="597" ht="28" spans="1:9">
      <c r="A597" s="21" t="s">
        <v>764</v>
      </c>
      <c r="B597" s="22">
        <v>630</v>
      </c>
      <c r="C597" s="23" t="s">
        <v>3273</v>
      </c>
      <c r="D597" s="23" t="s">
        <v>3008</v>
      </c>
      <c r="E597" s="21">
        <v>1</v>
      </c>
      <c r="F597" s="24" t="s">
        <v>3274</v>
      </c>
      <c r="G597" s="24" t="s">
        <v>3275</v>
      </c>
      <c r="H597" s="21">
        <v>2</v>
      </c>
      <c r="I597" s="27"/>
    </row>
    <row r="598" spans="1:9">
      <c r="A598" s="21" t="s">
        <v>764</v>
      </c>
      <c r="B598" s="22">
        <v>630</v>
      </c>
      <c r="C598" s="23" t="s">
        <v>3276</v>
      </c>
      <c r="D598" s="23" t="s">
        <v>2041</v>
      </c>
      <c r="E598" s="21">
        <v>0</v>
      </c>
      <c r="F598" s="24" t="s">
        <v>3277</v>
      </c>
      <c r="G598" s="24" t="s">
        <v>3278</v>
      </c>
      <c r="H598" s="21">
        <v>2</v>
      </c>
      <c r="I598" s="27"/>
    </row>
    <row r="599" spans="1:9">
      <c r="A599" s="21" t="s">
        <v>764</v>
      </c>
      <c r="B599" s="22">
        <v>630</v>
      </c>
      <c r="C599" s="23" t="s">
        <v>3279</v>
      </c>
      <c r="D599" s="23" t="s">
        <v>2043</v>
      </c>
      <c r="E599" s="21">
        <v>0</v>
      </c>
      <c r="F599" s="24" t="s">
        <v>3280</v>
      </c>
      <c r="G599" s="24" t="s">
        <v>3281</v>
      </c>
      <c r="H599" s="21">
        <v>1</v>
      </c>
      <c r="I599" s="27"/>
    </row>
    <row r="600" spans="1:9">
      <c r="A600" s="21" t="s">
        <v>764</v>
      </c>
      <c r="B600" s="22">
        <v>630</v>
      </c>
      <c r="C600" s="23" t="s">
        <v>3282</v>
      </c>
      <c r="D600" s="23" t="s">
        <v>2045</v>
      </c>
      <c r="E600" s="21">
        <v>0</v>
      </c>
      <c r="F600" s="24" t="s">
        <v>3283</v>
      </c>
      <c r="G600" s="24" t="s">
        <v>3284</v>
      </c>
      <c r="H600" s="21">
        <v>1</v>
      </c>
      <c r="I600" s="27"/>
    </row>
    <row r="601" spans="1:9">
      <c r="A601" s="21" t="s">
        <v>764</v>
      </c>
      <c r="B601" s="22">
        <v>630</v>
      </c>
      <c r="C601" s="23" t="s">
        <v>3285</v>
      </c>
      <c r="D601" s="23" t="s">
        <v>3286</v>
      </c>
      <c r="E601" s="21">
        <v>0</v>
      </c>
      <c r="F601" s="24" t="s">
        <v>3287</v>
      </c>
      <c r="G601" s="24" t="s">
        <v>2083</v>
      </c>
      <c r="H601" s="21">
        <v>0</v>
      </c>
      <c r="I601" s="27"/>
    </row>
    <row r="602" spans="1:9">
      <c r="A602" s="21" t="s">
        <v>764</v>
      </c>
      <c r="B602" s="22">
        <v>630</v>
      </c>
      <c r="C602" s="23" t="s">
        <v>3288</v>
      </c>
      <c r="D602" s="23" t="s">
        <v>3032</v>
      </c>
      <c r="E602" s="21">
        <v>2</v>
      </c>
      <c r="F602" s="27"/>
      <c r="G602" s="27"/>
      <c r="H602" s="10"/>
      <c r="I602" s="27"/>
    </row>
    <row r="603" spans="1:9">
      <c r="A603" s="21" t="s">
        <v>764</v>
      </c>
      <c r="B603" s="22">
        <v>630</v>
      </c>
      <c r="C603" s="23" t="s">
        <v>3289</v>
      </c>
      <c r="D603" s="23" t="s">
        <v>3290</v>
      </c>
      <c r="E603" s="21">
        <v>0</v>
      </c>
      <c r="F603" s="27"/>
      <c r="G603" s="27"/>
      <c r="H603" s="10"/>
      <c r="I603" s="27"/>
    </row>
    <row r="604" spans="1:9">
      <c r="A604" s="21" t="s">
        <v>764</v>
      </c>
      <c r="B604" s="22">
        <v>630</v>
      </c>
      <c r="C604" s="23" t="s">
        <v>3291</v>
      </c>
      <c r="D604" s="23" t="s">
        <v>3292</v>
      </c>
      <c r="E604" s="21">
        <v>0</v>
      </c>
      <c r="F604" s="27"/>
      <c r="G604" s="27"/>
      <c r="H604" s="10"/>
      <c r="I604" s="27"/>
    </row>
    <row r="605" spans="1:9">
      <c r="A605" s="21" t="s">
        <v>764</v>
      </c>
      <c r="B605" s="22">
        <v>630</v>
      </c>
      <c r="C605" s="23" t="s">
        <v>3293</v>
      </c>
      <c r="D605" s="23" t="s">
        <v>1901</v>
      </c>
      <c r="E605" s="21">
        <v>0</v>
      </c>
      <c r="F605" s="27"/>
      <c r="G605" s="27"/>
      <c r="H605" s="10"/>
      <c r="I605" s="27"/>
    </row>
    <row r="606" spans="1:9">
      <c r="A606" s="21" t="s">
        <v>764</v>
      </c>
      <c r="B606" s="22">
        <v>630</v>
      </c>
      <c r="C606" s="23" t="s">
        <v>3294</v>
      </c>
      <c r="D606" s="23" t="s">
        <v>2075</v>
      </c>
      <c r="E606" s="21">
        <v>0</v>
      </c>
      <c r="F606" s="27"/>
      <c r="G606" s="27"/>
      <c r="H606" s="10"/>
      <c r="I606" s="27"/>
    </row>
    <row r="607" spans="1:9">
      <c r="A607" s="21" t="s">
        <v>764</v>
      </c>
      <c r="B607" s="22">
        <v>630</v>
      </c>
      <c r="C607" s="23" t="s">
        <v>3295</v>
      </c>
      <c r="D607" s="23" t="s">
        <v>2308</v>
      </c>
      <c r="E607" s="21">
        <v>0</v>
      </c>
      <c r="F607" s="27"/>
      <c r="G607" s="27"/>
      <c r="H607" s="10"/>
      <c r="I607" s="27"/>
    </row>
    <row r="608" spans="1:9">
      <c r="A608" s="21" t="s">
        <v>764</v>
      </c>
      <c r="B608" s="22">
        <v>630</v>
      </c>
      <c r="C608" s="23" t="s">
        <v>3296</v>
      </c>
      <c r="D608" s="23" t="s">
        <v>3051</v>
      </c>
      <c r="E608" s="21">
        <v>0</v>
      </c>
      <c r="F608" s="27"/>
      <c r="G608" s="27"/>
      <c r="H608" s="10"/>
      <c r="I608" s="27"/>
    </row>
    <row r="609" spans="1:9">
      <c r="A609" s="21" t="s">
        <v>764</v>
      </c>
      <c r="B609" s="22">
        <v>630</v>
      </c>
      <c r="C609" s="23" t="s">
        <v>3297</v>
      </c>
      <c r="D609" s="23" t="s">
        <v>3298</v>
      </c>
      <c r="E609" s="21">
        <v>1</v>
      </c>
      <c r="F609" s="27"/>
      <c r="G609" s="27"/>
      <c r="H609" s="10"/>
      <c r="I609" s="27"/>
    </row>
    <row r="610" spans="1:9">
      <c r="A610" s="21" t="s">
        <v>764</v>
      </c>
      <c r="B610" s="22">
        <v>630</v>
      </c>
      <c r="C610" s="23" t="s">
        <v>3299</v>
      </c>
      <c r="D610" s="23" t="s">
        <v>3300</v>
      </c>
      <c r="E610" s="21">
        <v>1</v>
      </c>
      <c r="F610" s="27"/>
      <c r="G610" s="27"/>
      <c r="H610" s="10"/>
      <c r="I610" s="27"/>
    </row>
    <row r="611" ht="42" spans="1:9">
      <c r="A611" s="21" t="s">
        <v>1908</v>
      </c>
      <c r="B611" s="22">
        <v>630</v>
      </c>
      <c r="C611" s="24" t="s">
        <v>3301</v>
      </c>
      <c r="D611" s="24" t="s">
        <v>3302</v>
      </c>
      <c r="E611" s="21">
        <v>0</v>
      </c>
      <c r="F611" s="24" t="s">
        <v>3303</v>
      </c>
      <c r="G611" s="24" t="s">
        <v>3304</v>
      </c>
      <c r="H611" s="21">
        <v>0</v>
      </c>
      <c r="I611" s="27"/>
    </row>
    <row r="612" ht="42" spans="1:9">
      <c r="A612" s="21" t="s">
        <v>1908</v>
      </c>
      <c r="B612" s="22">
        <v>630</v>
      </c>
      <c r="C612" s="24" t="s">
        <v>3305</v>
      </c>
      <c r="D612" s="24" t="s">
        <v>3306</v>
      </c>
      <c r="E612" s="21">
        <v>0</v>
      </c>
      <c r="F612" s="24" t="s">
        <v>3307</v>
      </c>
      <c r="G612" s="24" t="s">
        <v>3308</v>
      </c>
      <c r="H612" s="21">
        <v>0</v>
      </c>
      <c r="I612" s="27"/>
    </row>
    <row r="613" ht="42" spans="1:9">
      <c r="A613" s="21" t="s">
        <v>1908</v>
      </c>
      <c r="B613" s="22">
        <v>630</v>
      </c>
      <c r="C613" s="24" t="s">
        <v>3309</v>
      </c>
      <c r="D613" s="24" t="s">
        <v>3310</v>
      </c>
      <c r="E613" s="21">
        <v>0</v>
      </c>
      <c r="F613" s="24" t="s">
        <v>3311</v>
      </c>
      <c r="G613" s="24" t="s">
        <v>3312</v>
      </c>
      <c r="H613" s="21">
        <v>1</v>
      </c>
      <c r="I613" s="27"/>
    </row>
    <row r="614" ht="42" spans="1:9">
      <c r="A614" s="21" t="s">
        <v>1908</v>
      </c>
      <c r="B614" s="22">
        <v>630</v>
      </c>
      <c r="C614" s="24" t="s">
        <v>3313</v>
      </c>
      <c r="D614" s="24" t="s">
        <v>3314</v>
      </c>
      <c r="E614" s="21">
        <v>0</v>
      </c>
      <c r="F614" s="24" t="s">
        <v>3315</v>
      </c>
      <c r="G614" s="24" t="s">
        <v>3316</v>
      </c>
      <c r="H614" s="21">
        <v>0</v>
      </c>
      <c r="I614" s="27"/>
    </row>
    <row r="615" ht="56" spans="1:9">
      <c r="A615" s="21" t="s">
        <v>1908</v>
      </c>
      <c r="B615" s="22">
        <v>630</v>
      </c>
      <c r="C615" s="24"/>
      <c r="D615" s="24"/>
      <c r="E615" s="21"/>
      <c r="F615" s="24" t="s">
        <v>3317</v>
      </c>
      <c r="G615" s="24" t="s">
        <v>3318</v>
      </c>
      <c r="H615" s="21">
        <v>0</v>
      </c>
      <c r="I615" s="27"/>
    </row>
    <row r="616" ht="56" spans="1:9">
      <c r="A616" s="21" t="s">
        <v>1908</v>
      </c>
      <c r="B616" s="22">
        <v>630</v>
      </c>
      <c r="C616" s="24"/>
      <c r="D616" s="24"/>
      <c r="E616" s="21"/>
      <c r="F616" s="24" t="s">
        <v>3319</v>
      </c>
      <c r="G616" s="24" t="s">
        <v>3320</v>
      </c>
      <c r="H616" s="21">
        <v>1</v>
      </c>
      <c r="I616" s="27"/>
    </row>
    <row r="617" ht="56" spans="1:9">
      <c r="A617" s="21" t="s">
        <v>1908</v>
      </c>
      <c r="B617" s="22">
        <v>630</v>
      </c>
      <c r="C617" s="24"/>
      <c r="D617" s="24"/>
      <c r="E617" s="21"/>
      <c r="F617" s="24" t="s">
        <v>3321</v>
      </c>
      <c r="G617" s="24" t="s">
        <v>3322</v>
      </c>
      <c r="H617" s="21">
        <v>0</v>
      </c>
      <c r="I617" s="27"/>
    </row>
    <row r="618" ht="56" spans="1:9">
      <c r="A618" s="21" t="s">
        <v>1908</v>
      </c>
      <c r="B618" s="22">
        <v>630</v>
      </c>
      <c r="C618" s="24"/>
      <c r="D618" s="24"/>
      <c r="E618" s="21"/>
      <c r="F618" s="24" t="s">
        <v>3323</v>
      </c>
      <c r="G618" s="24" t="s">
        <v>3324</v>
      </c>
      <c r="H618" s="21">
        <v>0</v>
      </c>
      <c r="I618" s="27"/>
    </row>
    <row r="619" ht="42" spans="1:9">
      <c r="A619" s="21" t="s">
        <v>1908</v>
      </c>
      <c r="B619" s="22">
        <v>630</v>
      </c>
      <c r="C619" s="24"/>
      <c r="D619" s="24"/>
      <c r="E619" s="21"/>
      <c r="F619" s="24" t="s">
        <v>3325</v>
      </c>
      <c r="G619" s="24" t="s">
        <v>3326</v>
      </c>
      <c r="H619" s="21">
        <v>0</v>
      </c>
      <c r="I619" s="27"/>
    </row>
    <row r="620" ht="28" spans="1:9">
      <c r="A620" s="21" t="s">
        <v>1908</v>
      </c>
      <c r="B620" s="22">
        <v>630</v>
      </c>
      <c r="C620" s="24"/>
      <c r="D620" s="24"/>
      <c r="E620" s="21"/>
      <c r="F620" s="24" t="s">
        <v>3327</v>
      </c>
      <c r="G620" s="24" t="s">
        <v>3328</v>
      </c>
      <c r="H620" s="21">
        <v>2</v>
      </c>
      <c r="I620" s="27"/>
    </row>
    <row r="621" spans="1:9">
      <c r="A621" s="21" t="s">
        <v>1908</v>
      </c>
      <c r="B621" s="22">
        <v>630</v>
      </c>
      <c r="C621" s="24"/>
      <c r="D621" s="24"/>
      <c r="E621" s="21"/>
      <c r="F621" s="24" t="s">
        <v>3329</v>
      </c>
      <c r="G621" s="24" t="s">
        <v>3330</v>
      </c>
      <c r="H621" s="21">
        <v>1</v>
      </c>
      <c r="I621" s="27"/>
    </row>
    <row r="622" spans="1:9">
      <c r="A622" s="21" t="s">
        <v>1908</v>
      </c>
      <c r="B622" s="22">
        <v>630</v>
      </c>
      <c r="C622" s="24"/>
      <c r="D622" s="24"/>
      <c r="E622" s="21"/>
      <c r="F622" s="24" t="s">
        <v>3331</v>
      </c>
      <c r="G622" s="24" t="s">
        <v>3185</v>
      </c>
      <c r="H622" s="21">
        <v>0</v>
      </c>
      <c r="I622" s="27"/>
    </row>
    <row r="623" spans="1:9">
      <c r="A623" s="21" t="s">
        <v>1908</v>
      </c>
      <c r="B623" s="22">
        <v>630</v>
      </c>
      <c r="C623" s="24"/>
      <c r="D623" s="24"/>
      <c r="E623" s="21"/>
      <c r="F623" s="24" t="s">
        <v>3332</v>
      </c>
      <c r="G623" s="24" t="s">
        <v>3187</v>
      </c>
      <c r="H623" s="21">
        <v>0</v>
      </c>
      <c r="I623" s="27"/>
    </row>
    <row r="624" spans="1:9">
      <c r="A624" s="21" t="s">
        <v>1908</v>
      </c>
      <c r="B624" s="22">
        <v>630</v>
      </c>
      <c r="C624" s="24"/>
      <c r="D624" s="24"/>
      <c r="E624" s="21"/>
      <c r="F624" s="24" t="s">
        <v>3333</v>
      </c>
      <c r="G624" s="24" t="s">
        <v>3334</v>
      </c>
      <c r="H624" s="21">
        <v>0</v>
      </c>
      <c r="I624" s="27"/>
    </row>
    <row r="625" spans="1:9">
      <c r="A625" s="21" t="s">
        <v>1908</v>
      </c>
      <c r="B625" s="22">
        <v>630</v>
      </c>
      <c r="C625" s="24"/>
      <c r="D625" s="24"/>
      <c r="E625" s="21"/>
      <c r="F625" s="24" t="s">
        <v>3335</v>
      </c>
      <c r="G625" s="24" t="s">
        <v>2610</v>
      </c>
      <c r="H625" s="21">
        <v>0</v>
      </c>
      <c r="I625" s="27"/>
    </row>
    <row r="626" spans="1:9">
      <c r="A626" s="21" t="s">
        <v>1908</v>
      </c>
      <c r="B626" s="22">
        <v>630</v>
      </c>
      <c r="C626" s="24"/>
      <c r="D626" s="24"/>
      <c r="E626" s="21"/>
      <c r="F626" s="24" t="s">
        <v>3336</v>
      </c>
      <c r="G626" s="24" t="s">
        <v>3192</v>
      </c>
      <c r="H626" s="21">
        <v>0</v>
      </c>
      <c r="I626" s="27"/>
    </row>
    <row r="627" spans="1:9">
      <c r="A627" s="21" t="s">
        <v>1908</v>
      </c>
      <c r="B627" s="22">
        <v>630</v>
      </c>
      <c r="C627" s="24"/>
      <c r="D627" s="24"/>
      <c r="E627" s="21"/>
      <c r="F627" s="24" t="s">
        <v>3337</v>
      </c>
      <c r="G627" s="24" t="s">
        <v>3338</v>
      </c>
      <c r="H627" s="21">
        <v>0</v>
      </c>
      <c r="I627" s="27"/>
    </row>
    <row r="628" spans="1:9">
      <c r="A628" s="21" t="s">
        <v>1908</v>
      </c>
      <c r="B628" s="22">
        <v>630</v>
      </c>
      <c r="C628" s="24"/>
      <c r="D628" s="24"/>
      <c r="E628" s="21"/>
      <c r="F628" s="24" t="s">
        <v>3339</v>
      </c>
      <c r="G628" s="24" t="s">
        <v>3199</v>
      </c>
      <c r="H628" s="21">
        <v>0</v>
      </c>
      <c r="I628" s="27"/>
    </row>
    <row r="629" spans="1:9">
      <c r="A629" s="21" t="s">
        <v>1908</v>
      </c>
      <c r="B629" s="22">
        <v>630</v>
      </c>
      <c r="C629" s="24"/>
      <c r="D629" s="24"/>
      <c r="E629" s="21"/>
      <c r="F629" s="24" t="s">
        <v>3340</v>
      </c>
      <c r="G629" s="24" t="s">
        <v>3201</v>
      </c>
      <c r="H629" s="21">
        <v>0</v>
      </c>
      <c r="I629" s="27"/>
    </row>
    <row r="630" spans="1:9">
      <c r="A630" s="21" t="s">
        <v>1908</v>
      </c>
      <c r="B630" s="22">
        <v>630</v>
      </c>
      <c r="C630" s="24"/>
      <c r="D630" s="24"/>
      <c r="E630" s="21"/>
      <c r="F630" s="24" t="s">
        <v>3341</v>
      </c>
      <c r="G630" s="24" t="s">
        <v>3203</v>
      </c>
      <c r="H630" s="21">
        <v>0</v>
      </c>
      <c r="I630" s="27"/>
    </row>
    <row r="631" spans="1:9">
      <c r="A631" s="21" t="s">
        <v>1908</v>
      </c>
      <c r="B631" s="22">
        <v>630</v>
      </c>
      <c r="C631" s="24"/>
      <c r="D631" s="24"/>
      <c r="E631" s="21"/>
      <c r="F631" s="24" t="s">
        <v>3342</v>
      </c>
      <c r="G631" s="24" t="s">
        <v>3209</v>
      </c>
      <c r="H631" s="21">
        <v>0</v>
      </c>
      <c r="I631" s="27"/>
    </row>
    <row r="632" spans="1:9">
      <c r="A632" s="21" t="s">
        <v>1908</v>
      </c>
      <c r="B632" s="22">
        <v>630</v>
      </c>
      <c r="C632" s="24"/>
      <c r="D632" s="24"/>
      <c r="E632" s="21"/>
      <c r="F632" s="24" t="s">
        <v>3343</v>
      </c>
      <c r="G632" s="24" t="s">
        <v>3344</v>
      </c>
      <c r="H632" s="21">
        <v>0</v>
      </c>
      <c r="I632" s="27"/>
    </row>
    <row r="633" spans="1:9">
      <c r="A633" s="21" t="s">
        <v>1908</v>
      </c>
      <c r="B633" s="22">
        <v>630</v>
      </c>
      <c r="C633" s="24"/>
      <c r="D633" s="24"/>
      <c r="E633" s="21"/>
      <c r="F633" s="24" t="s">
        <v>3345</v>
      </c>
      <c r="G633" s="24" t="s">
        <v>3346</v>
      </c>
      <c r="H633" s="21">
        <v>0</v>
      </c>
      <c r="I633" s="27"/>
    </row>
    <row r="634" spans="1:9">
      <c r="A634" s="21" t="s">
        <v>1908</v>
      </c>
      <c r="B634" s="22">
        <v>630</v>
      </c>
      <c r="C634" s="24"/>
      <c r="D634" s="24"/>
      <c r="E634" s="21"/>
      <c r="F634" s="24" t="s">
        <v>3347</v>
      </c>
      <c r="G634" s="24" t="s">
        <v>3207</v>
      </c>
      <c r="H634" s="21">
        <v>0</v>
      </c>
      <c r="I634" s="27"/>
    </row>
    <row r="635" spans="1:9">
      <c r="A635" s="21" t="s">
        <v>1908</v>
      </c>
      <c r="B635" s="22">
        <v>630</v>
      </c>
      <c r="C635" s="24"/>
      <c r="D635" s="24"/>
      <c r="E635" s="21"/>
      <c r="F635" s="24" t="s">
        <v>3348</v>
      </c>
      <c r="G635" s="24" t="s">
        <v>3211</v>
      </c>
      <c r="H635" s="21">
        <v>0</v>
      </c>
      <c r="I635" s="27"/>
    </row>
    <row r="636" spans="1:9">
      <c r="A636" s="21" t="s">
        <v>1908</v>
      </c>
      <c r="B636" s="22">
        <v>630</v>
      </c>
      <c r="C636" s="24"/>
      <c r="D636" s="24"/>
      <c r="E636" s="21"/>
      <c r="F636" s="24" t="s">
        <v>3349</v>
      </c>
      <c r="G636" s="24" t="s">
        <v>2630</v>
      </c>
      <c r="H636" s="21">
        <v>0</v>
      </c>
      <c r="I636" s="27"/>
    </row>
    <row r="637" spans="1:9">
      <c r="A637" s="21" t="s">
        <v>1908</v>
      </c>
      <c r="B637" s="22">
        <v>630</v>
      </c>
      <c r="C637" s="24"/>
      <c r="D637" s="24"/>
      <c r="E637" s="21"/>
      <c r="F637" s="24" t="s">
        <v>3350</v>
      </c>
      <c r="G637" s="24" t="s">
        <v>3351</v>
      </c>
      <c r="H637" s="21">
        <v>0</v>
      </c>
      <c r="I637" s="27"/>
    </row>
    <row r="638" spans="1:9">
      <c r="A638" s="21" t="s">
        <v>1908</v>
      </c>
      <c r="B638" s="22">
        <v>630</v>
      </c>
      <c r="C638" s="24"/>
      <c r="D638" s="24"/>
      <c r="E638" s="21"/>
      <c r="F638" s="24" t="s">
        <v>3352</v>
      </c>
      <c r="G638" s="24" t="s">
        <v>2636</v>
      </c>
      <c r="H638" s="21">
        <v>0</v>
      </c>
      <c r="I638" s="27"/>
    </row>
    <row r="639" spans="1:9">
      <c r="A639" s="21" t="s">
        <v>1908</v>
      </c>
      <c r="B639" s="22">
        <v>630</v>
      </c>
      <c r="C639" s="24"/>
      <c r="D639" s="24"/>
      <c r="E639" s="21"/>
      <c r="F639" s="24" t="s">
        <v>3353</v>
      </c>
      <c r="G639" s="24" t="s">
        <v>3067</v>
      </c>
      <c r="H639" s="21">
        <v>0</v>
      </c>
      <c r="I639" s="27"/>
    </row>
    <row r="640" ht="42" spans="1:9">
      <c r="A640" s="21" t="s">
        <v>1908</v>
      </c>
      <c r="B640" s="22">
        <v>640</v>
      </c>
      <c r="C640" s="24" t="s">
        <v>3354</v>
      </c>
      <c r="D640" s="24" t="s">
        <v>3355</v>
      </c>
      <c r="E640" s="21">
        <v>0</v>
      </c>
      <c r="F640" s="24" t="s">
        <v>3356</v>
      </c>
      <c r="G640" s="24" t="s">
        <v>3357</v>
      </c>
      <c r="H640" s="21">
        <v>3</v>
      </c>
      <c r="I640" s="27"/>
    </row>
    <row r="641" ht="42" spans="1:9">
      <c r="A641" s="21" t="s">
        <v>1908</v>
      </c>
      <c r="B641" s="22">
        <v>640</v>
      </c>
      <c r="C641" s="24" t="s">
        <v>3358</v>
      </c>
      <c r="D641" s="24" t="s">
        <v>3359</v>
      </c>
      <c r="E641" s="21">
        <v>0</v>
      </c>
      <c r="F641" s="24" t="s">
        <v>3360</v>
      </c>
      <c r="G641" s="24" t="s">
        <v>3361</v>
      </c>
      <c r="H641" s="21">
        <v>0</v>
      </c>
      <c r="I641" s="27"/>
    </row>
    <row r="642" ht="42" spans="1:9">
      <c r="A642" s="21" t="s">
        <v>1908</v>
      </c>
      <c r="B642" s="22">
        <v>640</v>
      </c>
      <c r="C642" s="24" t="s">
        <v>3362</v>
      </c>
      <c r="D642" s="24" t="s">
        <v>3363</v>
      </c>
      <c r="E642" s="21">
        <v>0</v>
      </c>
      <c r="F642" s="24" t="s">
        <v>3364</v>
      </c>
      <c r="G642" s="24" t="s">
        <v>3365</v>
      </c>
      <c r="H642" s="21">
        <v>5</v>
      </c>
      <c r="I642" s="27"/>
    </row>
    <row r="643" ht="42" spans="1:9">
      <c r="A643" s="21" t="s">
        <v>1908</v>
      </c>
      <c r="B643" s="22">
        <v>640</v>
      </c>
      <c r="C643" s="24" t="s">
        <v>3366</v>
      </c>
      <c r="D643" s="24" t="s">
        <v>3367</v>
      </c>
      <c r="E643" s="21">
        <v>0</v>
      </c>
      <c r="F643" s="24" t="s">
        <v>3368</v>
      </c>
      <c r="G643" s="24" t="s">
        <v>3369</v>
      </c>
      <c r="H643" s="21">
        <v>2</v>
      </c>
      <c r="I643" s="27"/>
    </row>
    <row r="644" ht="56" spans="1:9">
      <c r="A644" s="21" t="s">
        <v>1908</v>
      </c>
      <c r="B644" s="22">
        <v>640</v>
      </c>
      <c r="C644" s="24" t="s">
        <v>3370</v>
      </c>
      <c r="D644" s="24" t="s">
        <v>3371</v>
      </c>
      <c r="E644" s="21">
        <v>0</v>
      </c>
      <c r="F644" s="24" t="s">
        <v>3372</v>
      </c>
      <c r="G644" s="24" t="s">
        <v>3373</v>
      </c>
      <c r="H644" s="21">
        <v>0</v>
      </c>
      <c r="I644" s="27"/>
    </row>
    <row r="645" ht="56" spans="1:9">
      <c r="A645" s="21" t="s">
        <v>1908</v>
      </c>
      <c r="B645" s="22">
        <v>640</v>
      </c>
      <c r="C645" s="23"/>
      <c r="D645" s="23"/>
      <c r="E645" s="21"/>
      <c r="F645" s="24" t="s">
        <v>3374</v>
      </c>
      <c r="G645" s="24" t="s">
        <v>3375</v>
      </c>
      <c r="H645" s="21">
        <v>3</v>
      </c>
      <c r="I645" s="27"/>
    </row>
    <row r="646" ht="42" spans="1:9">
      <c r="A646" s="21" t="s">
        <v>1908</v>
      </c>
      <c r="B646" s="22">
        <v>640</v>
      </c>
      <c r="C646" s="23"/>
      <c r="D646" s="23"/>
      <c r="E646" s="21"/>
      <c r="F646" s="24" t="s">
        <v>3376</v>
      </c>
      <c r="G646" s="24" t="s">
        <v>3377</v>
      </c>
      <c r="H646" s="21">
        <v>0</v>
      </c>
      <c r="I646" s="27"/>
    </row>
    <row r="647" ht="42" spans="1:9">
      <c r="A647" s="21" t="s">
        <v>1908</v>
      </c>
      <c r="B647" s="22">
        <v>640</v>
      </c>
      <c r="C647" s="23"/>
      <c r="D647" s="23"/>
      <c r="E647" s="21"/>
      <c r="F647" s="24" t="s">
        <v>3378</v>
      </c>
      <c r="G647" s="24" t="s">
        <v>3379</v>
      </c>
      <c r="H647" s="21">
        <v>0</v>
      </c>
      <c r="I647" s="27"/>
    </row>
    <row r="648" ht="56" spans="1:9">
      <c r="A648" s="21" t="s">
        <v>1908</v>
      </c>
      <c r="B648" s="22">
        <v>640</v>
      </c>
      <c r="C648" s="23"/>
      <c r="D648" s="23"/>
      <c r="E648" s="21"/>
      <c r="F648" s="24" t="s">
        <v>3380</v>
      </c>
      <c r="G648" s="24" t="s">
        <v>3381</v>
      </c>
      <c r="H648" s="21">
        <v>0</v>
      </c>
      <c r="I648" s="27"/>
    </row>
    <row r="649" ht="28" spans="1:9">
      <c r="A649" s="21" t="s">
        <v>1908</v>
      </c>
      <c r="B649" s="22">
        <v>640</v>
      </c>
      <c r="C649" s="23"/>
      <c r="D649" s="23"/>
      <c r="E649" s="21"/>
      <c r="F649" s="24" t="s">
        <v>3382</v>
      </c>
      <c r="G649" s="24" t="s">
        <v>3383</v>
      </c>
      <c r="H649" s="21">
        <v>1</v>
      </c>
      <c r="I649" s="27"/>
    </row>
    <row r="650" spans="1:9">
      <c r="A650" s="21" t="s">
        <v>1908</v>
      </c>
      <c r="B650" s="22">
        <v>640</v>
      </c>
      <c r="C650" s="23"/>
      <c r="D650" s="23"/>
      <c r="E650" s="21"/>
      <c r="F650" s="24" t="s">
        <v>3384</v>
      </c>
      <c r="G650" s="24" t="s">
        <v>3192</v>
      </c>
      <c r="H650" s="21">
        <v>0</v>
      </c>
      <c r="I650" s="27"/>
    </row>
    <row r="651" spans="1:9">
      <c r="A651" s="21" t="s">
        <v>1908</v>
      </c>
      <c r="B651" s="22">
        <v>640</v>
      </c>
      <c r="C651" s="23"/>
      <c r="D651" s="23"/>
      <c r="E651" s="21"/>
      <c r="F651" s="24" t="s">
        <v>3385</v>
      </c>
      <c r="G651" s="24" t="s">
        <v>3194</v>
      </c>
      <c r="H651" s="21">
        <v>0</v>
      </c>
      <c r="I651" s="27"/>
    </row>
    <row r="652" spans="1:9">
      <c r="A652" s="21" t="s">
        <v>1908</v>
      </c>
      <c r="B652" s="22">
        <v>640</v>
      </c>
      <c r="C652" s="23"/>
      <c r="D652" s="23"/>
      <c r="E652" s="21"/>
      <c r="F652" s="24" t="s">
        <v>3386</v>
      </c>
      <c r="G652" s="24" t="s">
        <v>3346</v>
      </c>
      <c r="H652" s="21">
        <v>0</v>
      </c>
      <c r="I652" s="27"/>
    </row>
    <row r="653" spans="1:9">
      <c r="A653" s="21" t="s">
        <v>1908</v>
      </c>
      <c r="B653" s="22">
        <v>640</v>
      </c>
      <c r="C653" s="23"/>
      <c r="D653" s="23"/>
      <c r="E653" s="21"/>
      <c r="F653" s="24" t="s">
        <v>3387</v>
      </c>
      <c r="G653" s="24" t="s">
        <v>3199</v>
      </c>
      <c r="H653" s="21">
        <v>0</v>
      </c>
      <c r="I653" s="27"/>
    </row>
    <row r="654" spans="1:9">
      <c r="A654" s="21" t="s">
        <v>1908</v>
      </c>
      <c r="B654" s="22">
        <v>640</v>
      </c>
      <c r="C654" s="23"/>
      <c r="D654" s="23"/>
      <c r="E654" s="21"/>
      <c r="F654" s="24" t="s">
        <v>3388</v>
      </c>
      <c r="G654" s="24" t="s">
        <v>3201</v>
      </c>
      <c r="H654" s="21">
        <v>0</v>
      </c>
      <c r="I654" s="27"/>
    </row>
    <row r="655" spans="1:9">
      <c r="A655" s="21" t="s">
        <v>1908</v>
      </c>
      <c r="B655" s="22">
        <v>640</v>
      </c>
      <c r="C655" s="23"/>
      <c r="D655" s="23"/>
      <c r="E655" s="21"/>
      <c r="F655" s="24" t="s">
        <v>3389</v>
      </c>
      <c r="G655" s="24" t="s">
        <v>3390</v>
      </c>
      <c r="H655" s="21" t="s">
        <v>3197</v>
      </c>
      <c r="I655" s="27"/>
    </row>
    <row r="656" spans="1:9">
      <c r="A656" s="21" t="s">
        <v>1908</v>
      </c>
      <c r="B656" s="22">
        <v>640</v>
      </c>
      <c r="C656" s="23"/>
      <c r="D656" s="23"/>
      <c r="E656" s="21"/>
      <c r="F656" s="24" t="s">
        <v>3391</v>
      </c>
      <c r="G656" s="24" t="s">
        <v>3392</v>
      </c>
      <c r="H656" s="21">
        <v>0</v>
      </c>
      <c r="I656" s="27"/>
    </row>
    <row r="657" spans="1:9">
      <c r="A657" s="21" t="s">
        <v>1908</v>
      </c>
      <c r="B657" s="22">
        <v>640</v>
      </c>
      <c r="C657" s="23"/>
      <c r="D657" s="23"/>
      <c r="E657" s="21"/>
      <c r="F657" s="24" t="s">
        <v>3393</v>
      </c>
      <c r="G657" s="24" t="s">
        <v>3209</v>
      </c>
      <c r="H657" s="21" t="s">
        <v>3197</v>
      </c>
      <c r="I657" s="27"/>
    </row>
    <row r="658" spans="1:9">
      <c r="A658" s="21" t="s">
        <v>1908</v>
      </c>
      <c r="B658" s="22">
        <v>640</v>
      </c>
      <c r="C658" s="23"/>
      <c r="D658" s="23"/>
      <c r="E658" s="21"/>
      <c r="F658" s="24" t="s">
        <v>3394</v>
      </c>
      <c r="G658" s="24" t="s">
        <v>3395</v>
      </c>
      <c r="H658" s="21" t="s">
        <v>3197</v>
      </c>
      <c r="I658" s="27"/>
    </row>
    <row r="659" spans="1:9">
      <c r="A659" s="21" t="s">
        <v>1908</v>
      </c>
      <c r="B659" s="22">
        <v>640</v>
      </c>
      <c r="C659" s="23"/>
      <c r="D659" s="23"/>
      <c r="E659" s="21"/>
      <c r="F659" s="24" t="s">
        <v>3396</v>
      </c>
      <c r="G659" s="24" t="s">
        <v>3211</v>
      </c>
      <c r="H659" s="21">
        <v>0</v>
      </c>
      <c r="I659" s="27"/>
    </row>
    <row r="660" spans="1:9">
      <c r="A660" s="21" t="s">
        <v>1908</v>
      </c>
      <c r="B660" s="22">
        <v>640</v>
      </c>
      <c r="C660" s="23"/>
      <c r="D660" s="23"/>
      <c r="E660" s="21"/>
      <c r="F660" s="24" t="s">
        <v>3397</v>
      </c>
      <c r="G660" s="24" t="s">
        <v>2630</v>
      </c>
      <c r="H660" s="21">
        <v>0</v>
      </c>
      <c r="I660" s="27"/>
    </row>
    <row r="661" spans="1:9">
      <c r="A661" s="21" t="s">
        <v>1908</v>
      </c>
      <c r="B661" s="22">
        <v>640</v>
      </c>
      <c r="C661" s="23"/>
      <c r="D661" s="23"/>
      <c r="E661" s="21"/>
      <c r="F661" s="24" t="s">
        <v>3398</v>
      </c>
      <c r="G661" s="24" t="s">
        <v>3399</v>
      </c>
      <c r="H661" s="21">
        <v>0</v>
      </c>
      <c r="I661" s="27"/>
    </row>
    <row r="662" spans="1:9">
      <c r="A662" s="21" t="s">
        <v>1908</v>
      </c>
      <c r="B662" s="22">
        <v>640</v>
      </c>
      <c r="C662" s="23"/>
      <c r="D662" s="23"/>
      <c r="E662" s="21"/>
      <c r="F662" s="24" t="s">
        <v>3400</v>
      </c>
      <c r="G662" s="24" t="s">
        <v>2636</v>
      </c>
      <c r="H662" s="21" t="s">
        <v>3197</v>
      </c>
      <c r="I662" s="27"/>
    </row>
    <row r="663" spans="1:9">
      <c r="A663" s="21" t="s">
        <v>1908</v>
      </c>
      <c r="B663" s="22">
        <v>640</v>
      </c>
      <c r="C663" s="23"/>
      <c r="D663" s="23"/>
      <c r="E663" s="21"/>
      <c r="F663" s="24" t="s">
        <v>3401</v>
      </c>
      <c r="G663" s="24" t="s">
        <v>3067</v>
      </c>
      <c r="H663" s="21">
        <v>0</v>
      </c>
      <c r="I663" s="27"/>
    </row>
    <row r="664" ht="56" spans="1:9">
      <c r="A664" s="21" t="s">
        <v>1731</v>
      </c>
      <c r="B664" s="22">
        <v>700</v>
      </c>
      <c r="C664" s="23" t="s">
        <v>3402</v>
      </c>
      <c r="D664" s="23" t="s">
        <v>3403</v>
      </c>
      <c r="E664" s="21" t="s">
        <v>1798</v>
      </c>
      <c r="F664" s="24" t="s">
        <v>3404</v>
      </c>
      <c r="G664" s="24" t="s">
        <v>3405</v>
      </c>
      <c r="H664" s="21">
        <v>3</v>
      </c>
      <c r="I664" s="27"/>
    </row>
    <row r="665" ht="56" spans="1:9">
      <c r="A665" s="21" t="s">
        <v>1731</v>
      </c>
      <c r="B665" s="22">
        <v>700</v>
      </c>
      <c r="C665" s="23" t="s">
        <v>3406</v>
      </c>
      <c r="D665" s="23" t="s">
        <v>3407</v>
      </c>
      <c r="E665" s="21" t="s">
        <v>1798</v>
      </c>
      <c r="F665" s="24" t="s">
        <v>3408</v>
      </c>
      <c r="G665" s="24" t="s">
        <v>3409</v>
      </c>
      <c r="H665" s="21">
        <v>3</v>
      </c>
      <c r="I665" s="27"/>
    </row>
    <row r="666" ht="56" spans="1:9">
      <c r="A666" s="21" t="s">
        <v>1731</v>
      </c>
      <c r="B666" s="22">
        <v>700</v>
      </c>
      <c r="C666" s="23" t="s">
        <v>3410</v>
      </c>
      <c r="D666" s="23" t="s">
        <v>3411</v>
      </c>
      <c r="E666" s="21" t="s">
        <v>1798</v>
      </c>
      <c r="F666" s="24" t="s">
        <v>3412</v>
      </c>
      <c r="G666" s="24" t="s">
        <v>3413</v>
      </c>
      <c r="H666" s="21">
        <v>3</v>
      </c>
      <c r="I666" s="27"/>
    </row>
    <row r="667" ht="56" spans="1:9">
      <c r="A667" s="21" t="s">
        <v>1731</v>
      </c>
      <c r="B667" s="22">
        <v>700</v>
      </c>
      <c r="C667" s="23" t="s">
        <v>3414</v>
      </c>
      <c r="D667" s="23" t="s">
        <v>3415</v>
      </c>
      <c r="E667" s="21">
        <v>0</v>
      </c>
      <c r="F667" s="24" t="s">
        <v>3416</v>
      </c>
      <c r="G667" s="24" t="s">
        <v>3417</v>
      </c>
      <c r="H667" s="21">
        <v>2</v>
      </c>
      <c r="I667" s="27"/>
    </row>
    <row r="668" ht="42" spans="1:9">
      <c r="A668" s="21" t="s">
        <v>1731</v>
      </c>
      <c r="B668" s="22">
        <v>700</v>
      </c>
      <c r="C668" s="23" t="s">
        <v>3418</v>
      </c>
      <c r="D668" s="23" t="s">
        <v>3419</v>
      </c>
      <c r="E668" s="21">
        <v>0</v>
      </c>
      <c r="F668" s="24" t="s">
        <v>3420</v>
      </c>
      <c r="G668" s="24" t="s">
        <v>3421</v>
      </c>
      <c r="H668" s="21">
        <v>0</v>
      </c>
      <c r="I668" s="27"/>
    </row>
    <row r="669" ht="70" spans="1:9">
      <c r="A669" s="21" t="s">
        <v>1731</v>
      </c>
      <c r="B669" s="22">
        <v>700</v>
      </c>
      <c r="C669" s="23" t="s">
        <v>3422</v>
      </c>
      <c r="D669" s="23" t="s">
        <v>3423</v>
      </c>
      <c r="E669" s="21">
        <v>0</v>
      </c>
      <c r="F669" s="24" t="s">
        <v>3424</v>
      </c>
      <c r="G669" s="24" t="s">
        <v>3425</v>
      </c>
      <c r="H669" s="21">
        <v>0</v>
      </c>
      <c r="I669" s="27"/>
    </row>
    <row r="670" ht="42" spans="1:9">
      <c r="A670" s="21" t="s">
        <v>1731</v>
      </c>
      <c r="B670" s="22">
        <v>700</v>
      </c>
      <c r="C670" s="23" t="s">
        <v>3426</v>
      </c>
      <c r="D670" s="23" t="s">
        <v>3427</v>
      </c>
      <c r="E670" s="21">
        <v>0</v>
      </c>
      <c r="F670" s="24" t="s">
        <v>3428</v>
      </c>
      <c r="G670" s="24" t="s">
        <v>3429</v>
      </c>
      <c r="H670" s="21">
        <v>1</v>
      </c>
      <c r="I670" s="27"/>
    </row>
    <row r="671" ht="28" spans="1:9">
      <c r="A671" s="21" t="s">
        <v>1731</v>
      </c>
      <c r="B671" s="22">
        <v>700</v>
      </c>
      <c r="C671" s="23" t="s">
        <v>3430</v>
      </c>
      <c r="D671" s="23" t="s">
        <v>3431</v>
      </c>
      <c r="E671" s="21">
        <v>0</v>
      </c>
      <c r="F671" s="24" t="s">
        <v>3432</v>
      </c>
      <c r="G671" s="24" t="s">
        <v>3429</v>
      </c>
      <c r="H671" s="21">
        <v>1</v>
      </c>
      <c r="I671" s="27"/>
    </row>
    <row r="672" ht="28" spans="1:9">
      <c r="A672" s="21" t="s">
        <v>1731</v>
      </c>
      <c r="B672" s="22">
        <v>700</v>
      </c>
      <c r="C672" s="23" t="s">
        <v>3433</v>
      </c>
      <c r="D672" s="23" t="s">
        <v>3434</v>
      </c>
      <c r="E672" s="21">
        <v>0</v>
      </c>
      <c r="F672" s="24" t="s">
        <v>3435</v>
      </c>
      <c r="G672" s="24" t="s">
        <v>3436</v>
      </c>
      <c r="H672" s="21">
        <v>1</v>
      </c>
      <c r="I672" s="27"/>
    </row>
    <row r="673" ht="42" spans="1:9">
      <c r="A673" s="21" t="s">
        <v>1731</v>
      </c>
      <c r="B673" s="22">
        <v>700</v>
      </c>
      <c r="C673" s="23" t="s">
        <v>3437</v>
      </c>
      <c r="D673" s="23" t="s">
        <v>3438</v>
      </c>
      <c r="E673" s="21" t="s">
        <v>1798</v>
      </c>
      <c r="F673" s="24" t="s">
        <v>3439</v>
      </c>
      <c r="G673" s="24" t="s">
        <v>3440</v>
      </c>
      <c r="H673" s="31" t="s">
        <v>2144</v>
      </c>
      <c r="I673" s="27"/>
    </row>
    <row r="674" ht="56" spans="1:9">
      <c r="A674" s="21" t="s">
        <v>1731</v>
      </c>
      <c r="B674" s="22">
        <v>700</v>
      </c>
      <c r="C674" s="23" t="s">
        <v>3441</v>
      </c>
      <c r="D674" s="23" t="s">
        <v>3442</v>
      </c>
      <c r="E674" s="21">
        <v>0</v>
      </c>
      <c r="F674" s="24" t="s">
        <v>3443</v>
      </c>
      <c r="G674" s="24" t="s">
        <v>3444</v>
      </c>
      <c r="H674" s="21">
        <v>0</v>
      </c>
      <c r="I674" s="27"/>
    </row>
    <row r="675" ht="70" spans="1:9">
      <c r="A675" s="21" t="s">
        <v>1731</v>
      </c>
      <c r="B675" s="22">
        <v>700</v>
      </c>
      <c r="C675" s="29"/>
      <c r="D675" s="30"/>
      <c r="E675" s="21"/>
      <c r="F675" s="24" t="s">
        <v>3445</v>
      </c>
      <c r="G675" s="24" t="s">
        <v>3446</v>
      </c>
      <c r="H675" s="21">
        <v>1</v>
      </c>
      <c r="I675" s="27"/>
    </row>
    <row r="676" ht="56" spans="1:9">
      <c r="A676" s="21" t="s">
        <v>1731</v>
      </c>
      <c r="B676" s="22">
        <v>700</v>
      </c>
      <c r="C676" s="29"/>
      <c r="D676" s="30"/>
      <c r="E676" s="21"/>
      <c r="F676" s="24" t="s">
        <v>3447</v>
      </c>
      <c r="G676" s="24" t="s">
        <v>3448</v>
      </c>
      <c r="H676" s="21">
        <v>1</v>
      </c>
      <c r="I676" s="27"/>
    </row>
    <row r="677" ht="28" spans="1:9">
      <c r="A677" s="21" t="s">
        <v>1731</v>
      </c>
      <c r="B677" s="22">
        <v>700</v>
      </c>
      <c r="C677" s="29"/>
      <c r="D677" s="30"/>
      <c r="E677" s="21"/>
      <c r="F677" s="24" t="s">
        <v>3449</v>
      </c>
      <c r="G677" s="24" t="s">
        <v>3450</v>
      </c>
      <c r="H677" s="21">
        <v>1</v>
      </c>
      <c r="I677" s="27"/>
    </row>
    <row r="678" ht="28" spans="1:9">
      <c r="A678" s="21" t="s">
        <v>1731</v>
      </c>
      <c r="B678" s="22">
        <v>700</v>
      </c>
      <c r="C678" s="29"/>
      <c r="D678" s="30"/>
      <c r="E678" s="21"/>
      <c r="F678" s="24" t="s">
        <v>3451</v>
      </c>
      <c r="G678" s="24" t="s">
        <v>3452</v>
      </c>
      <c r="H678" s="21">
        <v>1</v>
      </c>
      <c r="I678" s="27"/>
    </row>
    <row r="679" ht="28" spans="1:9">
      <c r="A679" s="21" t="s">
        <v>1731</v>
      </c>
      <c r="B679" s="22">
        <v>700</v>
      </c>
      <c r="C679" s="29"/>
      <c r="D679" s="30"/>
      <c r="E679" s="21"/>
      <c r="F679" s="24" t="s">
        <v>3453</v>
      </c>
      <c r="G679" s="24" t="s">
        <v>3454</v>
      </c>
      <c r="H679" s="21">
        <v>2</v>
      </c>
      <c r="I679" s="27"/>
    </row>
    <row r="680" ht="28" spans="1:9">
      <c r="A680" s="21" t="s">
        <v>1731</v>
      </c>
      <c r="B680" s="22">
        <v>700</v>
      </c>
      <c r="C680" s="29"/>
      <c r="D680" s="30"/>
      <c r="E680" s="21"/>
      <c r="F680" s="24" t="s">
        <v>3455</v>
      </c>
      <c r="G680" s="24" t="s">
        <v>3456</v>
      </c>
      <c r="H680" s="21">
        <v>1</v>
      </c>
      <c r="I680" s="27"/>
    </row>
    <row r="681" ht="28" spans="1:9">
      <c r="A681" s="21" t="s">
        <v>1731</v>
      </c>
      <c r="B681" s="22">
        <v>700</v>
      </c>
      <c r="C681" s="29"/>
      <c r="D681" s="30"/>
      <c r="E681" s="21"/>
      <c r="F681" s="24" t="s">
        <v>3457</v>
      </c>
      <c r="G681" s="24" t="s">
        <v>3458</v>
      </c>
      <c r="H681" s="21">
        <v>0</v>
      </c>
      <c r="I681" s="27"/>
    </row>
    <row r="682" ht="28" spans="1:9">
      <c r="A682" s="21" t="s">
        <v>1731</v>
      </c>
      <c r="B682" s="22">
        <v>700</v>
      </c>
      <c r="C682" s="29"/>
      <c r="D682" s="30"/>
      <c r="E682" s="21"/>
      <c r="F682" s="24" t="s">
        <v>3459</v>
      </c>
      <c r="G682" s="24" t="s">
        <v>3460</v>
      </c>
      <c r="H682" s="21">
        <v>0</v>
      </c>
      <c r="I682" s="27"/>
    </row>
    <row r="683" ht="28" spans="1:9">
      <c r="A683" s="21" t="s">
        <v>1731</v>
      </c>
      <c r="B683" s="22">
        <v>700</v>
      </c>
      <c r="C683" s="29"/>
      <c r="D683" s="30"/>
      <c r="E683" s="21"/>
      <c r="F683" s="24" t="s">
        <v>3461</v>
      </c>
      <c r="G683" s="24" t="s">
        <v>3462</v>
      </c>
      <c r="H683" s="21">
        <v>0</v>
      </c>
      <c r="I683" s="27"/>
    </row>
    <row r="684" ht="28" spans="1:9">
      <c r="A684" s="21" t="s">
        <v>1731</v>
      </c>
      <c r="B684" s="22">
        <v>700</v>
      </c>
      <c r="C684" s="29"/>
      <c r="D684" s="30"/>
      <c r="E684" s="21"/>
      <c r="F684" s="24" t="s">
        <v>3463</v>
      </c>
      <c r="G684" s="24" t="s">
        <v>3464</v>
      </c>
      <c r="H684" s="21">
        <v>0</v>
      </c>
      <c r="I684" s="27"/>
    </row>
    <row r="685" spans="1:9">
      <c r="A685" s="21" t="s">
        <v>1731</v>
      </c>
      <c r="B685" s="22">
        <v>700</v>
      </c>
      <c r="C685" s="29"/>
      <c r="D685" s="30"/>
      <c r="E685" s="21"/>
      <c r="F685" s="24" t="s">
        <v>3465</v>
      </c>
      <c r="G685" s="24" t="s">
        <v>2458</v>
      </c>
      <c r="H685" s="21">
        <v>0</v>
      </c>
      <c r="I685" s="27"/>
    </row>
    <row r="686" spans="1:9">
      <c r="A686" s="21" t="s">
        <v>1731</v>
      </c>
      <c r="B686" s="22">
        <v>700</v>
      </c>
      <c r="C686" s="29"/>
      <c r="D686" s="30"/>
      <c r="E686" s="21"/>
      <c r="F686" s="24" t="s">
        <v>3466</v>
      </c>
      <c r="G686" s="24" t="s">
        <v>2458</v>
      </c>
      <c r="H686" s="21">
        <v>0</v>
      </c>
      <c r="I686" s="27"/>
    </row>
    <row r="687" spans="1:9">
      <c r="A687" s="21" t="s">
        <v>1731</v>
      </c>
      <c r="B687" s="22">
        <v>700</v>
      </c>
      <c r="C687" s="29"/>
      <c r="D687" s="30"/>
      <c r="E687" s="21"/>
      <c r="F687" s="24" t="s">
        <v>3467</v>
      </c>
      <c r="G687" s="24" t="s">
        <v>2458</v>
      </c>
      <c r="H687" s="21">
        <v>0</v>
      </c>
      <c r="I687" s="27"/>
    </row>
    <row r="688" ht="28" spans="1:9">
      <c r="A688" s="21" t="s">
        <v>764</v>
      </c>
      <c r="B688" s="22">
        <v>700</v>
      </c>
      <c r="C688" s="23" t="s">
        <v>3468</v>
      </c>
      <c r="D688" s="23" t="s">
        <v>2019</v>
      </c>
      <c r="E688" s="21">
        <v>0</v>
      </c>
      <c r="F688" s="24" t="s">
        <v>3469</v>
      </c>
      <c r="G688" s="24" t="s">
        <v>3470</v>
      </c>
      <c r="H688" s="31" t="s">
        <v>2144</v>
      </c>
      <c r="I688" s="27"/>
    </row>
    <row r="689" ht="28" spans="1:9">
      <c r="A689" s="21" t="s">
        <v>764</v>
      </c>
      <c r="B689" s="22">
        <v>700</v>
      </c>
      <c r="C689" s="23" t="s">
        <v>3471</v>
      </c>
      <c r="D689" s="23" t="s">
        <v>2019</v>
      </c>
      <c r="E689" s="21">
        <v>1</v>
      </c>
      <c r="F689" s="24" t="s">
        <v>3472</v>
      </c>
      <c r="G689" s="24" t="s">
        <v>3473</v>
      </c>
      <c r="H689" s="21">
        <v>1</v>
      </c>
      <c r="I689" s="27"/>
    </row>
    <row r="690" ht="28" spans="1:9">
      <c r="A690" s="21" t="s">
        <v>764</v>
      </c>
      <c r="B690" s="22">
        <v>700</v>
      </c>
      <c r="C690" s="23" t="s">
        <v>3474</v>
      </c>
      <c r="D690" s="23" t="s">
        <v>2023</v>
      </c>
      <c r="E690" s="21">
        <v>1</v>
      </c>
      <c r="F690" s="24" t="s">
        <v>3475</v>
      </c>
      <c r="G690" s="24" t="s">
        <v>3476</v>
      </c>
      <c r="H690" s="21">
        <v>0</v>
      </c>
      <c r="I690" s="27"/>
    </row>
    <row r="691" ht="28" spans="1:9">
      <c r="A691" s="21" t="s">
        <v>764</v>
      </c>
      <c r="B691" s="22">
        <v>700</v>
      </c>
      <c r="C691" s="23" t="s">
        <v>3477</v>
      </c>
      <c r="D691" s="23" t="s">
        <v>2023</v>
      </c>
      <c r="E691" s="21">
        <v>1</v>
      </c>
      <c r="F691" s="24" t="s">
        <v>3478</v>
      </c>
      <c r="G691" s="24" t="s">
        <v>3479</v>
      </c>
      <c r="H691" s="21">
        <v>2</v>
      </c>
      <c r="I691" s="27"/>
    </row>
    <row r="692" ht="28" spans="1:9">
      <c r="A692" s="21" t="s">
        <v>764</v>
      </c>
      <c r="B692" s="22">
        <v>700</v>
      </c>
      <c r="C692" s="23" t="s">
        <v>3480</v>
      </c>
      <c r="D692" s="23" t="s">
        <v>3004</v>
      </c>
      <c r="E692" s="21">
        <v>0</v>
      </c>
      <c r="F692" s="24" t="s">
        <v>3481</v>
      </c>
      <c r="G692" s="24" t="s">
        <v>3482</v>
      </c>
      <c r="H692" s="21">
        <v>1</v>
      </c>
      <c r="I692" s="27"/>
    </row>
    <row r="693" ht="28" spans="1:9">
      <c r="A693" s="21" t="s">
        <v>764</v>
      </c>
      <c r="B693" s="22">
        <v>700</v>
      </c>
      <c r="C693" s="23" t="s">
        <v>3483</v>
      </c>
      <c r="D693" s="23" t="s">
        <v>3008</v>
      </c>
      <c r="E693" s="21">
        <v>0</v>
      </c>
      <c r="F693" s="24" t="s">
        <v>3484</v>
      </c>
      <c r="G693" s="24" t="s">
        <v>3485</v>
      </c>
      <c r="H693" s="21">
        <v>2</v>
      </c>
      <c r="I693" s="27"/>
    </row>
    <row r="694" ht="28" spans="1:9">
      <c r="A694" s="21" t="s">
        <v>764</v>
      </c>
      <c r="B694" s="22">
        <v>700</v>
      </c>
      <c r="C694" s="23" t="s">
        <v>3486</v>
      </c>
      <c r="D694" s="23" t="s">
        <v>2041</v>
      </c>
      <c r="E694" s="21">
        <v>0</v>
      </c>
      <c r="F694" s="24" t="s">
        <v>3487</v>
      </c>
      <c r="G694" s="24" t="s">
        <v>3488</v>
      </c>
      <c r="H694" s="21">
        <v>1</v>
      </c>
      <c r="I694" s="27"/>
    </row>
    <row r="695" ht="28" spans="1:9">
      <c r="A695" s="21" t="s">
        <v>764</v>
      </c>
      <c r="B695" s="22">
        <v>700</v>
      </c>
      <c r="C695" s="23" t="s">
        <v>3489</v>
      </c>
      <c r="D695" s="23" t="s">
        <v>2043</v>
      </c>
      <c r="E695" s="21">
        <v>1</v>
      </c>
      <c r="F695" s="24" t="s">
        <v>3490</v>
      </c>
      <c r="G695" s="24" t="s">
        <v>3491</v>
      </c>
      <c r="H695" s="21">
        <v>2</v>
      </c>
      <c r="I695" s="27"/>
    </row>
    <row r="696" ht="28" spans="1:9">
      <c r="A696" s="21" t="s">
        <v>764</v>
      </c>
      <c r="B696" s="22">
        <v>700</v>
      </c>
      <c r="C696" s="23" t="s">
        <v>3492</v>
      </c>
      <c r="D696" s="23" t="s">
        <v>2045</v>
      </c>
      <c r="E696" s="21">
        <v>2</v>
      </c>
      <c r="F696" s="24" t="s">
        <v>3493</v>
      </c>
      <c r="G696" s="24" t="s">
        <v>3491</v>
      </c>
      <c r="H696" s="21">
        <v>2</v>
      </c>
      <c r="I696" s="27"/>
    </row>
    <row r="697" spans="1:9">
      <c r="A697" s="21" t="s">
        <v>764</v>
      </c>
      <c r="B697" s="22">
        <v>700</v>
      </c>
      <c r="C697" s="23" t="s">
        <v>3494</v>
      </c>
      <c r="D697" s="23" t="s">
        <v>3495</v>
      </c>
      <c r="E697" s="21">
        <v>0</v>
      </c>
      <c r="F697" s="24" t="s">
        <v>3496</v>
      </c>
      <c r="G697" s="24" t="s">
        <v>3497</v>
      </c>
      <c r="H697" s="21">
        <v>3</v>
      </c>
      <c r="I697" s="27"/>
    </row>
    <row r="698" spans="1:9">
      <c r="A698" s="21" t="s">
        <v>764</v>
      </c>
      <c r="B698" s="22">
        <v>700</v>
      </c>
      <c r="C698" s="23" t="s">
        <v>3498</v>
      </c>
      <c r="D698" s="23" t="s">
        <v>3032</v>
      </c>
      <c r="E698" s="21">
        <v>0</v>
      </c>
      <c r="F698" s="24" t="s">
        <v>3499</v>
      </c>
      <c r="G698" s="24" t="s">
        <v>3500</v>
      </c>
      <c r="H698" s="21">
        <v>1</v>
      </c>
      <c r="I698" s="27"/>
    </row>
    <row r="699" spans="1:9">
      <c r="A699" s="21" t="s">
        <v>764</v>
      </c>
      <c r="B699" s="22">
        <v>700</v>
      </c>
      <c r="C699" s="23" t="s">
        <v>3501</v>
      </c>
      <c r="D699" s="23" t="s">
        <v>3502</v>
      </c>
      <c r="E699" s="21">
        <v>0</v>
      </c>
      <c r="F699" s="24" t="s">
        <v>3503</v>
      </c>
      <c r="G699" s="24" t="s">
        <v>3504</v>
      </c>
      <c r="H699" s="21">
        <v>1</v>
      </c>
      <c r="I699" s="27"/>
    </row>
    <row r="700" spans="1:9">
      <c r="A700" s="21" t="s">
        <v>764</v>
      </c>
      <c r="B700" s="22">
        <v>700</v>
      </c>
      <c r="C700" s="23" t="s">
        <v>3505</v>
      </c>
      <c r="D700" s="23" t="s">
        <v>3025</v>
      </c>
      <c r="E700" s="21">
        <v>0</v>
      </c>
      <c r="F700" s="24" t="s">
        <v>3506</v>
      </c>
      <c r="G700" s="24" t="s">
        <v>2083</v>
      </c>
      <c r="H700" s="21">
        <v>0</v>
      </c>
      <c r="I700" s="27"/>
    </row>
    <row r="701" spans="1:9">
      <c r="A701" s="21" t="s">
        <v>764</v>
      </c>
      <c r="B701" s="22">
        <v>700</v>
      </c>
      <c r="C701" s="23" t="s">
        <v>3507</v>
      </c>
      <c r="D701" s="23" t="s">
        <v>2270</v>
      </c>
      <c r="E701" s="21">
        <v>3</v>
      </c>
      <c r="F701" s="27"/>
      <c r="G701" s="27"/>
      <c r="H701" s="10"/>
      <c r="I701" s="27"/>
    </row>
    <row r="702" spans="1:9">
      <c r="A702" s="21" t="s">
        <v>764</v>
      </c>
      <c r="B702" s="22">
        <v>700</v>
      </c>
      <c r="C702" s="23" t="s">
        <v>3508</v>
      </c>
      <c r="D702" s="23" t="s">
        <v>3509</v>
      </c>
      <c r="E702" s="21">
        <v>1</v>
      </c>
      <c r="F702" s="27"/>
      <c r="G702" s="27"/>
      <c r="H702" s="10"/>
      <c r="I702" s="27"/>
    </row>
    <row r="703" spans="1:9">
      <c r="A703" s="21" t="s">
        <v>764</v>
      </c>
      <c r="B703" s="22">
        <v>700</v>
      </c>
      <c r="C703" s="23" t="s">
        <v>3510</v>
      </c>
      <c r="D703" s="23" t="s">
        <v>3511</v>
      </c>
      <c r="E703" s="21">
        <v>0</v>
      </c>
      <c r="F703" s="27"/>
      <c r="G703" s="27"/>
      <c r="H703" s="10"/>
      <c r="I703" s="27"/>
    </row>
    <row r="704" spans="1:9">
      <c r="A704" s="21" t="s">
        <v>764</v>
      </c>
      <c r="B704" s="22">
        <v>700</v>
      </c>
      <c r="C704" s="23" t="s">
        <v>3512</v>
      </c>
      <c r="D704" s="23" t="s">
        <v>3043</v>
      </c>
      <c r="E704" s="21">
        <v>0</v>
      </c>
      <c r="F704" s="27"/>
      <c r="G704" s="27"/>
      <c r="H704" s="10"/>
      <c r="I704" s="27"/>
    </row>
    <row r="705" spans="1:9">
      <c r="A705" s="21" t="s">
        <v>764</v>
      </c>
      <c r="B705" s="22">
        <v>700</v>
      </c>
      <c r="C705" s="23" t="s">
        <v>3513</v>
      </c>
      <c r="D705" s="23" t="s">
        <v>3045</v>
      </c>
      <c r="E705" s="21">
        <v>2</v>
      </c>
      <c r="F705" s="27"/>
      <c r="G705" s="27"/>
      <c r="H705" s="10"/>
      <c r="I705" s="27"/>
    </row>
    <row r="706" spans="1:9">
      <c r="A706" s="21" t="s">
        <v>764</v>
      </c>
      <c r="B706" s="22">
        <v>700</v>
      </c>
      <c r="C706" s="23" t="s">
        <v>3514</v>
      </c>
      <c r="D706" s="23" t="s">
        <v>2297</v>
      </c>
      <c r="E706" s="21">
        <v>0</v>
      </c>
      <c r="F706" s="27"/>
      <c r="G706" s="27"/>
      <c r="H706" s="10"/>
      <c r="I706" s="27"/>
    </row>
    <row r="707" spans="1:9">
      <c r="A707" s="21" t="s">
        <v>764</v>
      </c>
      <c r="B707" s="22">
        <v>700</v>
      </c>
      <c r="C707" s="23" t="s">
        <v>3515</v>
      </c>
      <c r="D707" s="23" t="s">
        <v>2301</v>
      </c>
      <c r="E707" s="21">
        <v>0</v>
      </c>
      <c r="F707" s="27"/>
      <c r="G707" s="27"/>
      <c r="H707" s="10"/>
      <c r="I707" s="27"/>
    </row>
    <row r="708" spans="1:9">
      <c r="A708" s="21" t="s">
        <v>764</v>
      </c>
      <c r="B708" s="22">
        <v>700</v>
      </c>
      <c r="C708" s="23" t="s">
        <v>3516</v>
      </c>
      <c r="D708" s="23" t="s">
        <v>2308</v>
      </c>
      <c r="E708" s="21">
        <v>0</v>
      </c>
      <c r="F708" s="27"/>
      <c r="G708" s="27"/>
      <c r="H708" s="10"/>
      <c r="I708" s="27"/>
    </row>
    <row r="709" spans="1:9">
      <c r="A709" s="21" t="s">
        <v>764</v>
      </c>
      <c r="B709" s="22">
        <v>700</v>
      </c>
      <c r="C709" s="23" t="s">
        <v>3517</v>
      </c>
      <c r="D709" s="23" t="s">
        <v>3518</v>
      </c>
      <c r="E709" s="21">
        <v>0</v>
      </c>
      <c r="F709" s="27"/>
      <c r="G709" s="27"/>
      <c r="H709" s="10"/>
      <c r="I709" s="27"/>
    </row>
    <row r="710" spans="1:9">
      <c r="A710" s="21" t="s">
        <v>764</v>
      </c>
      <c r="B710" s="22">
        <v>700</v>
      </c>
      <c r="C710" s="23" t="s">
        <v>3519</v>
      </c>
      <c r="D710" s="23" t="s">
        <v>3051</v>
      </c>
      <c r="E710" s="21">
        <v>0</v>
      </c>
      <c r="F710" s="27"/>
      <c r="G710" s="27"/>
      <c r="H710" s="10"/>
      <c r="I710" s="27"/>
    </row>
    <row r="711" spans="1:9">
      <c r="A711" s="21" t="s">
        <v>764</v>
      </c>
      <c r="B711" s="22">
        <v>700</v>
      </c>
      <c r="C711" s="23" t="s">
        <v>3520</v>
      </c>
      <c r="D711" s="23" t="s">
        <v>3521</v>
      </c>
      <c r="E711" s="21">
        <v>1</v>
      </c>
      <c r="F711" s="27"/>
      <c r="G711" s="27"/>
      <c r="H711" s="10"/>
      <c r="I711" s="27"/>
    </row>
    <row r="712" spans="1:9">
      <c r="A712" s="21" t="s">
        <v>764</v>
      </c>
      <c r="B712" s="22">
        <v>700</v>
      </c>
      <c r="C712" s="23" t="s">
        <v>3522</v>
      </c>
      <c r="D712" s="23" t="s">
        <v>3523</v>
      </c>
      <c r="E712" s="21">
        <v>1</v>
      </c>
      <c r="F712" s="27"/>
      <c r="G712" s="27"/>
      <c r="H712" s="10"/>
      <c r="I712" s="27"/>
    </row>
    <row r="713" spans="1:9">
      <c r="A713" s="21" t="s">
        <v>1908</v>
      </c>
      <c r="B713" s="22">
        <v>700</v>
      </c>
      <c r="C713" s="23" t="s">
        <v>3524</v>
      </c>
      <c r="D713" s="24" t="s">
        <v>3525</v>
      </c>
      <c r="E713" s="21">
        <v>0</v>
      </c>
      <c r="F713" s="24" t="s">
        <v>3526</v>
      </c>
      <c r="G713" s="24" t="s">
        <v>3059</v>
      </c>
      <c r="H713" s="21">
        <v>1</v>
      </c>
      <c r="I713" s="27"/>
    </row>
    <row r="714" spans="1:9">
      <c r="A714" s="21" t="s">
        <v>1908</v>
      </c>
      <c r="B714" s="22">
        <v>700</v>
      </c>
      <c r="C714" s="23" t="s">
        <v>3527</v>
      </c>
      <c r="D714" s="24" t="s">
        <v>3528</v>
      </c>
      <c r="E714" s="21">
        <v>0</v>
      </c>
      <c r="F714" s="24" t="s">
        <v>3529</v>
      </c>
      <c r="G714" s="24" t="s">
        <v>3063</v>
      </c>
      <c r="H714" s="21">
        <v>1</v>
      </c>
      <c r="I714" s="27"/>
    </row>
    <row r="715" spans="1:9">
      <c r="A715" s="21" t="s">
        <v>1908</v>
      </c>
      <c r="B715" s="22">
        <v>700</v>
      </c>
      <c r="C715" s="23" t="s">
        <v>3530</v>
      </c>
      <c r="D715" s="24" t="s">
        <v>3531</v>
      </c>
      <c r="E715" s="21">
        <v>0</v>
      </c>
      <c r="F715" s="24" t="s">
        <v>3532</v>
      </c>
      <c r="G715" s="24" t="s">
        <v>3067</v>
      </c>
      <c r="H715" s="21">
        <v>1</v>
      </c>
      <c r="I715" s="27"/>
    </row>
    <row r="716" spans="1:9">
      <c r="A716" s="21" t="s">
        <v>1908</v>
      </c>
      <c r="B716" s="22">
        <v>700</v>
      </c>
      <c r="C716" s="23" t="s">
        <v>3533</v>
      </c>
      <c r="D716" s="24" t="s">
        <v>3534</v>
      </c>
      <c r="E716" s="21">
        <v>0</v>
      </c>
      <c r="F716" s="24" t="s">
        <v>3535</v>
      </c>
      <c r="G716" s="24" t="s">
        <v>2636</v>
      </c>
      <c r="H716" s="21">
        <v>1</v>
      </c>
      <c r="I716" s="27"/>
    </row>
    <row r="717" spans="1:9">
      <c r="A717" s="21" t="s">
        <v>1908</v>
      </c>
      <c r="B717" s="22">
        <v>700</v>
      </c>
      <c r="C717" s="23"/>
      <c r="D717" s="24"/>
      <c r="E717" s="21"/>
      <c r="F717" s="24" t="s">
        <v>3536</v>
      </c>
      <c r="G717" s="24" t="s">
        <v>3071</v>
      </c>
      <c r="H717" s="21">
        <v>1</v>
      </c>
      <c r="I717" s="27"/>
    </row>
    <row r="718" spans="1:9">
      <c r="A718" s="21" t="s">
        <v>1908</v>
      </c>
      <c r="B718" s="22">
        <v>700</v>
      </c>
      <c r="C718" s="23"/>
      <c r="D718" s="24"/>
      <c r="E718" s="21"/>
      <c r="F718" s="24" t="s">
        <v>3537</v>
      </c>
      <c r="G718" s="24" t="s">
        <v>3538</v>
      </c>
      <c r="H718" s="21">
        <v>1</v>
      </c>
      <c r="I718" s="27"/>
    </row>
    <row r="719" spans="1:9">
      <c r="A719" s="21" t="s">
        <v>1908</v>
      </c>
      <c r="B719" s="22">
        <v>700</v>
      </c>
      <c r="C719" s="23"/>
      <c r="D719" s="24"/>
      <c r="E719" s="21"/>
      <c r="F719" s="24" t="s">
        <v>3539</v>
      </c>
      <c r="G719" s="24" t="s">
        <v>3540</v>
      </c>
      <c r="H719" s="21">
        <v>0</v>
      </c>
      <c r="I719" s="27"/>
    </row>
    <row r="720" spans="1:9">
      <c r="A720" s="21" t="s">
        <v>1908</v>
      </c>
      <c r="B720" s="22">
        <v>700</v>
      </c>
      <c r="C720" s="23"/>
      <c r="D720" s="24"/>
      <c r="E720" s="21"/>
      <c r="F720" s="24" t="s">
        <v>3541</v>
      </c>
      <c r="G720" s="24" t="s">
        <v>3542</v>
      </c>
      <c r="H720" s="21">
        <v>1</v>
      </c>
      <c r="I720" s="27"/>
    </row>
    <row r="721" spans="1:9">
      <c r="A721" s="21" t="s">
        <v>1908</v>
      </c>
      <c r="B721" s="22">
        <v>700</v>
      </c>
      <c r="C721" s="23"/>
      <c r="D721" s="24"/>
      <c r="E721" s="21"/>
      <c r="F721" s="24" t="s">
        <v>3543</v>
      </c>
      <c r="G721" s="24" t="s">
        <v>2725</v>
      </c>
      <c r="H721" s="21">
        <v>1</v>
      </c>
      <c r="I721" s="27"/>
    </row>
    <row r="722" spans="1:9">
      <c r="A722" s="21" t="s">
        <v>1908</v>
      </c>
      <c r="B722" s="22">
        <v>700</v>
      </c>
      <c r="C722" s="23"/>
      <c r="D722" s="24"/>
      <c r="E722" s="21"/>
      <c r="F722" s="24" t="s">
        <v>3544</v>
      </c>
      <c r="G722" s="24" t="s">
        <v>3545</v>
      </c>
      <c r="H722" s="21">
        <v>1</v>
      </c>
      <c r="I722" s="27"/>
    </row>
    <row r="723" spans="1:9">
      <c r="A723" s="21" t="s">
        <v>1908</v>
      </c>
      <c r="B723" s="22">
        <v>700</v>
      </c>
      <c r="C723" s="23"/>
      <c r="D723" s="24"/>
      <c r="E723" s="21"/>
      <c r="F723" s="24" t="s">
        <v>3546</v>
      </c>
      <c r="G723" s="24" t="s">
        <v>3547</v>
      </c>
      <c r="H723" s="21">
        <v>1</v>
      </c>
      <c r="I723" s="27"/>
    </row>
    <row r="724" spans="1:9">
      <c r="A724" s="21" t="s">
        <v>1908</v>
      </c>
      <c r="B724" s="22">
        <v>700</v>
      </c>
      <c r="C724" s="23"/>
      <c r="D724" s="24"/>
      <c r="E724" s="21"/>
      <c r="F724" s="24" t="s">
        <v>3548</v>
      </c>
      <c r="G724" s="24" t="s">
        <v>3549</v>
      </c>
      <c r="H724" s="21">
        <v>1</v>
      </c>
      <c r="I724" s="27"/>
    </row>
    <row r="725" spans="1:9">
      <c r="A725" s="21" t="s">
        <v>1908</v>
      </c>
      <c r="B725" s="22">
        <v>700</v>
      </c>
      <c r="C725" s="23"/>
      <c r="D725" s="24"/>
      <c r="E725" s="21"/>
      <c r="F725" s="24" t="s">
        <v>3550</v>
      </c>
      <c r="G725" s="24" t="s">
        <v>3551</v>
      </c>
      <c r="H725" s="21">
        <v>1</v>
      </c>
      <c r="I725" s="27"/>
    </row>
    <row r="726" spans="1:9">
      <c r="A726" s="21" t="s">
        <v>1908</v>
      </c>
      <c r="B726" s="22">
        <v>700</v>
      </c>
      <c r="C726" s="23"/>
      <c r="D726" s="24"/>
      <c r="E726" s="21"/>
      <c r="F726" s="24" t="s">
        <v>3552</v>
      </c>
      <c r="G726" s="24" t="s">
        <v>3553</v>
      </c>
      <c r="H726" s="21">
        <v>0</v>
      </c>
      <c r="I726" s="27"/>
    </row>
    <row r="727" spans="1:9">
      <c r="A727" s="21" t="s">
        <v>1908</v>
      </c>
      <c r="B727" s="22">
        <v>700</v>
      </c>
      <c r="C727" s="23"/>
      <c r="D727" s="24"/>
      <c r="E727" s="21"/>
      <c r="F727" s="24" t="s">
        <v>3554</v>
      </c>
      <c r="G727" s="24" t="s">
        <v>3555</v>
      </c>
      <c r="H727" s="21">
        <v>1</v>
      </c>
      <c r="I727" s="27"/>
    </row>
    <row r="728" spans="1:9">
      <c r="A728" s="21" t="s">
        <v>1908</v>
      </c>
      <c r="B728" s="22">
        <v>700</v>
      </c>
      <c r="C728" s="23"/>
      <c r="D728" s="24"/>
      <c r="E728" s="21"/>
      <c r="F728" s="24" t="s">
        <v>3556</v>
      </c>
      <c r="G728" s="24" t="s">
        <v>3557</v>
      </c>
      <c r="H728" s="21">
        <v>1</v>
      </c>
      <c r="I728" s="27"/>
    </row>
    <row r="729" spans="1:9">
      <c r="A729" s="21" t="s">
        <v>1908</v>
      </c>
      <c r="B729" s="22">
        <v>700</v>
      </c>
      <c r="C729" s="23"/>
      <c r="D729" s="24"/>
      <c r="E729" s="21"/>
      <c r="F729" s="24" t="s">
        <v>3558</v>
      </c>
      <c r="G729" s="24" t="s">
        <v>3559</v>
      </c>
      <c r="H729" s="21">
        <v>1</v>
      </c>
      <c r="I729" s="27"/>
    </row>
    <row r="730" spans="1:9">
      <c r="A730" s="21" t="s">
        <v>1908</v>
      </c>
      <c r="B730" s="22">
        <v>700</v>
      </c>
      <c r="C730" s="23"/>
      <c r="D730" s="24"/>
      <c r="E730" s="21"/>
      <c r="F730" s="24" t="s">
        <v>3560</v>
      </c>
      <c r="G730" s="24" t="s">
        <v>3561</v>
      </c>
      <c r="H730" s="21">
        <v>0</v>
      </c>
      <c r="I730" s="27"/>
    </row>
    <row r="731" spans="1:9">
      <c r="A731" s="21" t="s">
        <v>1908</v>
      </c>
      <c r="B731" s="22">
        <v>700</v>
      </c>
      <c r="C731" s="23"/>
      <c r="D731" s="24"/>
      <c r="E731" s="21"/>
      <c r="F731" s="24" t="s">
        <v>3562</v>
      </c>
      <c r="G731" s="24" t="s">
        <v>3105</v>
      </c>
      <c r="H731" s="21">
        <v>1</v>
      </c>
      <c r="I731" s="27"/>
    </row>
    <row r="732" spans="1:9">
      <c r="A732" s="21" t="s">
        <v>1908</v>
      </c>
      <c r="B732" s="22">
        <v>700</v>
      </c>
      <c r="C732" s="23"/>
      <c r="D732" s="24"/>
      <c r="E732" s="21"/>
      <c r="F732" s="24" t="s">
        <v>3563</v>
      </c>
      <c r="G732" s="24" t="s">
        <v>3564</v>
      </c>
      <c r="H732" s="21">
        <v>1</v>
      </c>
      <c r="I732" s="27"/>
    </row>
    <row r="733" spans="1:9">
      <c r="A733" s="21" t="s">
        <v>1908</v>
      </c>
      <c r="B733" s="22">
        <v>700</v>
      </c>
      <c r="C733" s="23"/>
      <c r="D733" s="24"/>
      <c r="E733" s="21"/>
      <c r="F733" s="24" t="s">
        <v>3565</v>
      </c>
      <c r="G733" s="24" t="s">
        <v>3566</v>
      </c>
      <c r="H733" s="21">
        <v>1</v>
      </c>
      <c r="I733" s="27"/>
    </row>
    <row r="734" spans="1:9">
      <c r="A734" s="21" t="s">
        <v>1908</v>
      </c>
      <c r="B734" s="22">
        <v>700</v>
      </c>
      <c r="C734" s="23"/>
      <c r="D734" s="24"/>
      <c r="E734" s="21"/>
      <c r="F734" s="24" t="s">
        <v>3567</v>
      </c>
      <c r="G734" s="24" t="s">
        <v>3123</v>
      </c>
      <c r="H734" s="21">
        <v>1</v>
      </c>
      <c r="I734" s="27"/>
    </row>
    <row r="735" spans="1:9">
      <c r="A735" s="21" t="s">
        <v>1908</v>
      </c>
      <c r="B735" s="22">
        <v>700</v>
      </c>
      <c r="C735" s="23"/>
      <c r="D735" s="24"/>
      <c r="E735" s="21"/>
      <c r="F735" s="24" t="s">
        <v>3568</v>
      </c>
      <c r="G735" s="24" t="s">
        <v>3125</v>
      </c>
      <c r="H735" s="21">
        <v>1</v>
      </c>
      <c r="I735" s="27"/>
    </row>
    <row r="736" spans="1:9">
      <c r="A736" s="21" t="s">
        <v>1908</v>
      </c>
      <c r="B736" s="22">
        <v>700</v>
      </c>
      <c r="C736" s="23"/>
      <c r="D736" s="24"/>
      <c r="E736" s="21"/>
      <c r="F736" s="24" t="s">
        <v>3569</v>
      </c>
      <c r="G736" s="24" t="s">
        <v>3570</v>
      </c>
      <c r="H736" s="21">
        <v>1</v>
      </c>
      <c r="I736" s="27"/>
    </row>
    <row r="737" spans="1:9">
      <c r="A737" s="21" t="s">
        <v>1908</v>
      </c>
      <c r="B737" s="22">
        <v>700</v>
      </c>
      <c r="C737" s="23"/>
      <c r="D737" s="24"/>
      <c r="E737" s="21"/>
      <c r="F737" s="24" t="s">
        <v>3571</v>
      </c>
      <c r="G737" s="24" t="s">
        <v>3572</v>
      </c>
      <c r="H737" s="21">
        <v>1</v>
      </c>
      <c r="I737" s="27"/>
    </row>
    <row r="738" spans="1:9">
      <c r="A738" s="21" t="s">
        <v>1908</v>
      </c>
      <c r="B738" s="22">
        <v>700</v>
      </c>
      <c r="C738" s="23"/>
      <c r="D738" s="24"/>
      <c r="E738" s="21"/>
      <c r="F738" s="24" t="s">
        <v>3573</v>
      </c>
      <c r="G738" s="24" t="s">
        <v>3574</v>
      </c>
      <c r="H738" s="21">
        <v>1</v>
      </c>
      <c r="I738" s="27"/>
    </row>
    <row r="739" spans="1:9">
      <c r="A739" s="21" t="s">
        <v>1908</v>
      </c>
      <c r="B739" s="22">
        <v>700</v>
      </c>
      <c r="C739" s="23"/>
      <c r="D739" s="24"/>
      <c r="E739" s="21"/>
      <c r="F739" s="24" t="s">
        <v>3575</v>
      </c>
      <c r="G739" s="24" t="s">
        <v>3576</v>
      </c>
      <c r="H739" s="21">
        <v>1</v>
      </c>
      <c r="I739" s="27"/>
    </row>
    <row r="740" spans="1:9">
      <c r="A740" s="21" t="s">
        <v>1908</v>
      </c>
      <c r="B740" s="22">
        <v>700</v>
      </c>
      <c r="C740" s="23"/>
      <c r="D740" s="24"/>
      <c r="E740" s="21"/>
      <c r="F740" s="24" t="s">
        <v>3577</v>
      </c>
      <c r="G740" s="24" t="s">
        <v>3578</v>
      </c>
      <c r="H740" s="21">
        <v>1</v>
      </c>
      <c r="I740" s="27"/>
    </row>
    <row r="741" spans="1:9">
      <c r="A741" s="21" t="s">
        <v>1908</v>
      </c>
      <c r="B741" s="22">
        <v>700</v>
      </c>
      <c r="C741" s="23"/>
      <c r="D741" s="24"/>
      <c r="E741" s="21"/>
      <c r="F741" s="24" t="s">
        <v>3579</v>
      </c>
      <c r="G741" s="24" t="s">
        <v>3580</v>
      </c>
      <c r="H741" s="21">
        <v>1</v>
      </c>
      <c r="I741" s="27"/>
    </row>
    <row r="742" spans="1:9">
      <c r="A742" s="21" t="s">
        <v>1908</v>
      </c>
      <c r="B742" s="22">
        <v>700</v>
      </c>
      <c r="C742" s="23"/>
      <c r="D742" s="24"/>
      <c r="E742" s="21"/>
      <c r="F742" s="24" t="s">
        <v>3581</v>
      </c>
      <c r="G742" s="24" t="s">
        <v>3582</v>
      </c>
      <c r="H742" s="21">
        <v>1</v>
      </c>
      <c r="I742" s="27"/>
    </row>
    <row r="743" spans="1:9">
      <c r="A743" s="21" t="s">
        <v>1908</v>
      </c>
      <c r="B743" s="22">
        <v>700</v>
      </c>
      <c r="C743" s="23"/>
      <c r="D743" s="24"/>
      <c r="E743" s="21"/>
      <c r="F743" s="24" t="s">
        <v>3583</v>
      </c>
      <c r="G743" s="24" t="s">
        <v>3584</v>
      </c>
      <c r="H743" s="21">
        <v>1</v>
      </c>
      <c r="I743" s="27"/>
    </row>
    <row r="744" spans="1:9">
      <c r="A744" s="21" t="s">
        <v>1908</v>
      </c>
      <c r="B744" s="22">
        <v>700</v>
      </c>
      <c r="C744" s="23"/>
      <c r="D744" s="24"/>
      <c r="E744" s="21"/>
      <c r="F744" s="24" t="s">
        <v>3585</v>
      </c>
      <c r="G744" s="24" t="s">
        <v>3586</v>
      </c>
      <c r="H744" s="21">
        <v>1</v>
      </c>
      <c r="I744" s="27"/>
    </row>
    <row r="745" spans="1:9">
      <c r="A745" s="21" t="s">
        <v>1908</v>
      </c>
      <c r="B745" s="22">
        <v>700</v>
      </c>
      <c r="C745" s="23"/>
      <c r="D745" s="24"/>
      <c r="E745" s="21"/>
      <c r="F745" s="24" t="s">
        <v>3587</v>
      </c>
      <c r="G745" s="24" t="s">
        <v>3588</v>
      </c>
      <c r="H745" s="21">
        <v>1</v>
      </c>
      <c r="I745" s="27"/>
    </row>
    <row r="746" spans="1:9">
      <c r="A746" s="21" t="s">
        <v>1908</v>
      </c>
      <c r="B746" s="22">
        <v>700</v>
      </c>
      <c r="C746" s="23"/>
      <c r="D746" s="24"/>
      <c r="E746" s="21"/>
      <c r="F746" s="24" t="s">
        <v>3589</v>
      </c>
      <c r="G746" s="24" t="s">
        <v>3590</v>
      </c>
      <c r="H746" s="21">
        <v>0</v>
      </c>
      <c r="I746" s="27"/>
    </row>
    <row r="747" spans="1:9">
      <c r="A747" s="21" t="s">
        <v>1908</v>
      </c>
      <c r="B747" s="22">
        <v>700</v>
      </c>
      <c r="C747" s="23"/>
      <c r="D747" s="24"/>
      <c r="E747" s="21"/>
      <c r="F747" s="24" t="s">
        <v>3591</v>
      </c>
      <c r="G747" s="24" t="s">
        <v>3592</v>
      </c>
      <c r="H747" s="21">
        <v>1</v>
      </c>
      <c r="I747" s="27"/>
    </row>
    <row r="748" spans="1:9">
      <c r="A748" s="21" t="s">
        <v>1908</v>
      </c>
      <c r="B748" s="22">
        <v>700</v>
      </c>
      <c r="C748" s="23"/>
      <c r="D748" s="24"/>
      <c r="E748" s="21"/>
      <c r="F748" s="24" t="s">
        <v>3593</v>
      </c>
      <c r="G748" s="24" t="s">
        <v>3594</v>
      </c>
      <c r="H748" s="21">
        <v>1</v>
      </c>
      <c r="I748" s="27"/>
    </row>
    <row r="749" spans="1:9">
      <c r="A749" s="21" t="s">
        <v>1908</v>
      </c>
      <c r="B749" s="22">
        <v>700</v>
      </c>
      <c r="C749" s="23"/>
      <c r="D749" s="24"/>
      <c r="E749" s="21"/>
      <c r="F749" s="24" t="s">
        <v>3595</v>
      </c>
      <c r="G749" s="24" t="s">
        <v>3596</v>
      </c>
      <c r="H749" s="21">
        <v>2</v>
      </c>
      <c r="I749" s="27"/>
    </row>
    <row r="750" spans="1:9">
      <c r="A750" s="21" t="s">
        <v>1908</v>
      </c>
      <c r="B750" s="22">
        <v>700</v>
      </c>
      <c r="C750" s="23"/>
      <c r="D750" s="24"/>
      <c r="E750" s="21"/>
      <c r="F750" s="24" t="s">
        <v>3597</v>
      </c>
      <c r="G750" s="24" t="s">
        <v>3598</v>
      </c>
      <c r="H750" s="21">
        <v>0</v>
      </c>
      <c r="I750" s="27"/>
    </row>
    <row r="751" spans="1:9">
      <c r="A751" s="21" t="s">
        <v>1908</v>
      </c>
      <c r="B751" s="22">
        <v>700</v>
      </c>
      <c r="C751" s="23"/>
      <c r="D751" s="24"/>
      <c r="E751" s="21"/>
      <c r="F751" s="24" t="s">
        <v>3599</v>
      </c>
      <c r="G751" s="24" t="s">
        <v>3600</v>
      </c>
      <c r="H751" s="21">
        <v>0</v>
      </c>
      <c r="I751" s="27"/>
    </row>
    <row r="752" ht="42" spans="1:9">
      <c r="A752" s="21" t="s">
        <v>1908</v>
      </c>
      <c r="B752" s="22">
        <v>700</v>
      </c>
      <c r="C752" s="23"/>
      <c r="D752" s="24"/>
      <c r="E752" s="21"/>
      <c r="F752" s="24" t="s">
        <v>3601</v>
      </c>
      <c r="G752" s="24" t="s">
        <v>3602</v>
      </c>
      <c r="H752" s="21">
        <v>0</v>
      </c>
      <c r="I752" s="27"/>
    </row>
    <row r="753" ht="42" spans="1:9">
      <c r="A753" s="21" t="s">
        <v>1908</v>
      </c>
      <c r="B753" s="22">
        <v>700</v>
      </c>
      <c r="C753" s="23"/>
      <c r="D753" s="24"/>
      <c r="E753" s="21"/>
      <c r="F753" s="24" t="s">
        <v>3603</v>
      </c>
      <c r="G753" s="24" t="s">
        <v>3604</v>
      </c>
      <c r="H753" s="21">
        <v>0</v>
      </c>
      <c r="I753" s="27"/>
    </row>
    <row r="754" ht="42" spans="1:9">
      <c r="A754" s="21" t="s">
        <v>1908</v>
      </c>
      <c r="B754" s="22">
        <v>700</v>
      </c>
      <c r="C754" s="23"/>
      <c r="D754" s="24"/>
      <c r="E754" s="21"/>
      <c r="F754" s="24" t="s">
        <v>3605</v>
      </c>
      <c r="G754" s="24" t="s">
        <v>3606</v>
      </c>
      <c r="H754" s="21">
        <v>0</v>
      </c>
      <c r="I754" s="27"/>
    </row>
    <row r="755" ht="42" spans="1:9">
      <c r="A755" s="21" t="s">
        <v>1908</v>
      </c>
      <c r="B755" s="22">
        <v>700</v>
      </c>
      <c r="C755" s="23"/>
      <c r="D755" s="24"/>
      <c r="E755" s="21"/>
      <c r="F755" s="24" t="s">
        <v>3607</v>
      </c>
      <c r="G755" s="24" t="s">
        <v>3608</v>
      </c>
      <c r="H755" s="21">
        <v>0</v>
      </c>
      <c r="I755" s="27"/>
    </row>
    <row r="756" ht="42" spans="1:9">
      <c r="A756" s="21" t="s">
        <v>1908</v>
      </c>
      <c r="B756" s="22">
        <v>700</v>
      </c>
      <c r="C756" s="23"/>
      <c r="D756" s="24"/>
      <c r="E756" s="21"/>
      <c r="F756" s="24" t="s">
        <v>3609</v>
      </c>
      <c r="G756" s="24" t="s">
        <v>3610</v>
      </c>
      <c r="H756" s="21">
        <v>1</v>
      </c>
      <c r="I756" s="27"/>
    </row>
    <row r="757" ht="56" spans="1:9">
      <c r="A757" s="21" t="s">
        <v>1908</v>
      </c>
      <c r="B757" s="22">
        <v>700</v>
      </c>
      <c r="C757" s="23"/>
      <c r="D757" s="24"/>
      <c r="E757" s="21"/>
      <c r="F757" s="24" t="s">
        <v>3611</v>
      </c>
      <c r="G757" s="24" t="s">
        <v>3612</v>
      </c>
      <c r="H757" s="21">
        <v>2</v>
      </c>
      <c r="I757" s="27"/>
    </row>
    <row r="758" ht="42" spans="1:9">
      <c r="A758" s="21" t="s">
        <v>1908</v>
      </c>
      <c r="B758" s="22">
        <v>700</v>
      </c>
      <c r="C758" s="23"/>
      <c r="D758" s="24"/>
      <c r="E758" s="21"/>
      <c r="F758" s="24" t="s">
        <v>3613</v>
      </c>
      <c r="G758" s="24" t="s">
        <v>3614</v>
      </c>
      <c r="H758" s="21">
        <v>0</v>
      </c>
      <c r="I758" s="27"/>
    </row>
    <row r="759" ht="56" spans="1:9">
      <c r="A759" s="21" t="s">
        <v>1908</v>
      </c>
      <c r="B759" s="22">
        <v>700</v>
      </c>
      <c r="C759" s="23"/>
      <c r="D759" s="24"/>
      <c r="E759" s="21"/>
      <c r="F759" s="24" t="s">
        <v>3615</v>
      </c>
      <c r="G759" s="24" t="s">
        <v>3616</v>
      </c>
      <c r="H759" s="21">
        <v>0</v>
      </c>
      <c r="I759" s="27"/>
    </row>
    <row r="760" ht="56" spans="1:9">
      <c r="A760" s="21" t="s">
        <v>1908</v>
      </c>
      <c r="B760" s="22">
        <v>700</v>
      </c>
      <c r="C760" s="23"/>
      <c r="D760" s="24"/>
      <c r="E760" s="21"/>
      <c r="F760" s="24" t="s">
        <v>3617</v>
      </c>
      <c r="G760" s="24" t="s">
        <v>3618</v>
      </c>
      <c r="H760" s="21">
        <v>0</v>
      </c>
      <c r="I760" s="27"/>
    </row>
    <row r="761" ht="42" spans="1:9">
      <c r="A761" s="21" t="s">
        <v>1908</v>
      </c>
      <c r="B761" s="22">
        <v>700</v>
      </c>
      <c r="C761" s="23"/>
      <c r="D761" s="24"/>
      <c r="E761" s="21"/>
      <c r="F761" s="24" t="s">
        <v>3619</v>
      </c>
      <c r="G761" s="24" t="s">
        <v>3620</v>
      </c>
      <c r="H761" s="21">
        <v>0</v>
      </c>
      <c r="I761" s="27"/>
    </row>
    <row r="762" ht="42" spans="1:9">
      <c r="A762" s="21" t="s">
        <v>1908</v>
      </c>
      <c r="B762" s="22">
        <v>700</v>
      </c>
      <c r="C762" s="23"/>
      <c r="D762" s="24"/>
      <c r="E762" s="21"/>
      <c r="F762" s="24" t="s">
        <v>3621</v>
      </c>
      <c r="G762" s="24" t="s">
        <v>3622</v>
      </c>
      <c r="H762" s="21">
        <v>0</v>
      </c>
      <c r="I762" s="27"/>
    </row>
    <row r="763" ht="28" spans="1:9">
      <c r="A763" s="21" t="s">
        <v>1908</v>
      </c>
      <c r="B763" s="22">
        <v>700</v>
      </c>
      <c r="C763" s="23"/>
      <c r="D763" s="24"/>
      <c r="E763" s="21"/>
      <c r="F763" s="24" t="s">
        <v>3623</v>
      </c>
      <c r="G763" s="24" t="s">
        <v>3624</v>
      </c>
      <c r="H763" s="21">
        <v>1</v>
      </c>
      <c r="I763" s="27"/>
    </row>
    <row r="764" ht="28" spans="1:9">
      <c r="A764" s="21" t="s">
        <v>1931</v>
      </c>
      <c r="B764" s="22">
        <v>700</v>
      </c>
      <c r="C764" s="23" t="s">
        <v>3625</v>
      </c>
      <c r="D764" s="24" t="s">
        <v>3626</v>
      </c>
      <c r="E764" s="21">
        <v>0</v>
      </c>
      <c r="F764" s="24" t="s">
        <v>3627</v>
      </c>
      <c r="G764" s="24" t="s">
        <v>3628</v>
      </c>
      <c r="H764" s="21">
        <v>0</v>
      </c>
      <c r="I764" s="27"/>
    </row>
    <row r="765" ht="28" spans="1:9">
      <c r="A765" s="21" t="s">
        <v>1931</v>
      </c>
      <c r="B765" s="22">
        <v>700</v>
      </c>
      <c r="C765" s="23" t="s">
        <v>3629</v>
      </c>
      <c r="D765" s="24" t="s">
        <v>3630</v>
      </c>
      <c r="E765" s="21">
        <v>0</v>
      </c>
      <c r="F765" s="24" t="s">
        <v>3631</v>
      </c>
      <c r="G765" s="24" t="s">
        <v>3632</v>
      </c>
      <c r="H765" s="21">
        <v>1</v>
      </c>
      <c r="I765" s="27"/>
    </row>
    <row r="766" ht="28" spans="1:9">
      <c r="A766" s="21" t="s">
        <v>1931</v>
      </c>
      <c r="B766" s="22">
        <v>700</v>
      </c>
      <c r="C766" s="23" t="s">
        <v>3633</v>
      </c>
      <c r="D766" s="24" t="s">
        <v>3634</v>
      </c>
      <c r="E766" s="21">
        <v>0</v>
      </c>
      <c r="F766" s="27"/>
      <c r="G766" s="27"/>
      <c r="H766" s="10"/>
      <c r="I766" s="27"/>
    </row>
    <row r="767" ht="28" spans="1:9">
      <c r="A767" s="21" t="s">
        <v>1931</v>
      </c>
      <c r="B767" s="22">
        <v>700</v>
      </c>
      <c r="C767" s="23" t="s">
        <v>3635</v>
      </c>
      <c r="D767" s="24" t="s">
        <v>3636</v>
      </c>
      <c r="E767" s="21">
        <v>0</v>
      </c>
      <c r="F767" s="27"/>
      <c r="G767" s="27"/>
      <c r="H767" s="10"/>
      <c r="I767" s="27"/>
    </row>
    <row r="768" spans="1:9">
      <c r="A768" s="21" t="s">
        <v>1931</v>
      </c>
      <c r="B768" s="22">
        <v>700</v>
      </c>
      <c r="C768" s="23" t="s">
        <v>3637</v>
      </c>
      <c r="D768" s="24" t="s">
        <v>3638</v>
      </c>
      <c r="E768" s="21">
        <v>0</v>
      </c>
      <c r="F768" s="27"/>
      <c r="G768" s="27"/>
      <c r="H768" s="10"/>
      <c r="I768" s="27"/>
    </row>
    <row r="769" ht="56" spans="1:9">
      <c r="A769" s="21" t="s">
        <v>1731</v>
      </c>
      <c r="B769" s="22">
        <v>800</v>
      </c>
      <c r="C769" s="23" t="s">
        <v>3639</v>
      </c>
      <c r="D769" s="23" t="s">
        <v>3640</v>
      </c>
      <c r="E769" s="21" t="s">
        <v>1798</v>
      </c>
      <c r="F769" s="24" t="s">
        <v>3641</v>
      </c>
      <c r="G769" s="24" t="s">
        <v>3642</v>
      </c>
      <c r="H769" s="21">
        <v>4</v>
      </c>
      <c r="I769" s="27"/>
    </row>
    <row r="770" ht="56" spans="1:9">
      <c r="A770" s="21" t="s">
        <v>1731</v>
      </c>
      <c r="B770" s="22">
        <v>800</v>
      </c>
      <c r="C770" s="23" t="s">
        <v>3643</v>
      </c>
      <c r="D770" s="23" t="s">
        <v>3644</v>
      </c>
      <c r="E770" s="21">
        <v>0</v>
      </c>
      <c r="F770" s="24" t="s">
        <v>3645</v>
      </c>
      <c r="G770" s="24" t="s">
        <v>3646</v>
      </c>
      <c r="H770" s="21">
        <v>2</v>
      </c>
      <c r="I770" s="27"/>
    </row>
    <row r="771" ht="56" spans="1:9">
      <c r="A771" s="21" t="s">
        <v>1731</v>
      </c>
      <c r="B771" s="22">
        <v>800</v>
      </c>
      <c r="C771" s="23" t="s">
        <v>3647</v>
      </c>
      <c r="D771" s="23" t="s">
        <v>3648</v>
      </c>
      <c r="E771" s="21">
        <v>0</v>
      </c>
      <c r="F771" s="24" t="s">
        <v>3649</v>
      </c>
      <c r="G771" s="24" t="s">
        <v>3650</v>
      </c>
      <c r="H771" s="21">
        <v>2</v>
      </c>
      <c r="I771" s="27"/>
    </row>
    <row r="772" ht="70" spans="1:9">
      <c r="A772" s="21" t="s">
        <v>1731</v>
      </c>
      <c r="B772" s="22">
        <v>800</v>
      </c>
      <c r="C772" s="23" t="s">
        <v>3651</v>
      </c>
      <c r="D772" s="23" t="s">
        <v>3652</v>
      </c>
      <c r="E772" s="21">
        <v>0</v>
      </c>
      <c r="F772" s="24" t="s">
        <v>3653</v>
      </c>
      <c r="G772" s="24" t="s">
        <v>3654</v>
      </c>
      <c r="H772" s="21">
        <v>2</v>
      </c>
      <c r="I772" s="27"/>
    </row>
    <row r="773" ht="56" spans="1:9">
      <c r="A773" s="21" t="s">
        <v>1731</v>
      </c>
      <c r="B773" s="22">
        <v>800</v>
      </c>
      <c r="C773" s="23" t="s">
        <v>3655</v>
      </c>
      <c r="D773" s="23" t="s">
        <v>3656</v>
      </c>
      <c r="E773" s="21" t="s">
        <v>1798</v>
      </c>
      <c r="F773" s="24" t="s">
        <v>3657</v>
      </c>
      <c r="G773" s="24" t="s">
        <v>3658</v>
      </c>
      <c r="H773" s="21">
        <v>1</v>
      </c>
      <c r="I773" s="27"/>
    </row>
    <row r="774" ht="56" spans="1:9">
      <c r="A774" s="21" t="s">
        <v>1731</v>
      </c>
      <c r="B774" s="22">
        <v>800</v>
      </c>
      <c r="C774" s="23" t="s">
        <v>3659</v>
      </c>
      <c r="D774" s="23" t="s">
        <v>3660</v>
      </c>
      <c r="E774" s="21">
        <v>0</v>
      </c>
      <c r="F774" s="24" t="s">
        <v>3661</v>
      </c>
      <c r="G774" s="24" t="s">
        <v>3662</v>
      </c>
      <c r="H774" s="21">
        <v>1</v>
      </c>
      <c r="I774" s="27"/>
    </row>
    <row r="775" ht="28" spans="1:9">
      <c r="A775" s="21" t="s">
        <v>1731</v>
      </c>
      <c r="B775" s="22">
        <v>800</v>
      </c>
      <c r="C775" s="32"/>
      <c r="D775" s="24"/>
      <c r="E775" s="21"/>
      <c r="F775" s="24" t="s">
        <v>3663</v>
      </c>
      <c r="G775" s="24" t="s">
        <v>3664</v>
      </c>
      <c r="H775" s="21">
        <v>1</v>
      </c>
      <c r="I775" s="27"/>
    </row>
    <row r="776" ht="28" spans="1:9">
      <c r="A776" s="21" t="s">
        <v>1731</v>
      </c>
      <c r="B776" s="22">
        <v>800</v>
      </c>
      <c r="C776" s="32"/>
      <c r="D776" s="24"/>
      <c r="E776" s="21"/>
      <c r="F776" s="24" t="s">
        <v>3665</v>
      </c>
      <c r="G776" s="24" t="s">
        <v>3666</v>
      </c>
      <c r="H776" s="21">
        <v>1</v>
      </c>
      <c r="I776" s="27"/>
    </row>
    <row r="777" ht="28" spans="1:9">
      <c r="A777" s="21" t="s">
        <v>1731</v>
      </c>
      <c r="B777" s="22">
        <v>800</v>
      </c>
      <c r="C777" s="32"/>
      <c r="D777" s="24"/>
      <c r="E777" s="21"/>
      <c r="F777" s="24" t="s">
        <v>3667</v>
      </c>
      <c r="G777" s="24" t="s">
        <v>3666</v>
      </c>
      <c r="H777" s="21">
        <v>1</v>
      </c>
      <c r="I777" s="27"/>
    </row>
    <row r="778" ht="28" spans="1:9">
      <c r="A778" s="21" t="s">
        <v>1731</v>
      </c>
      <c r="B778" s="22">
        <v>800</v>
      </c>
      <c r="C778" s="32"/>
      <c r="D778" s="24"/>
      <c r="E778" s="21"/>
      <c r="F778" s="24" t="s">
        <v>3668</v>
      </c>
      <c r="G778" s="24" t="s">
        <v>3666</v>
      </c>
      <c r="H778" s="21">
        <v>1</v>
      </c>
      <c r="I778" s="27"/>
    </row>
    <row r="779" ht="56" spans="1:9">
      <c r="A779" s="21" t="s">
        <v>1731</v>
      </c>
      <c r="B779" s="22">
        <v>800</v>
      </c>
      <c r="C779" s="32"/>
      <c r="D779" s="24"/>
      <c r="E779" s="21"/>
      <c r="F779" s="24" t="s">
        <v>3669</v>
      </c>
      <c r="G779" s="24" t="s">
        <v>3670</v>
      </c>
      <c r="H779" s="21">
        <v>1</v>
      </c>
      <c r="I779" s="27"/>
    </row>
    <row r="780" ht="56" spans="1:9">
      <c r="A780" s="21" t="s">
        <v>1731</v>
      </c>
      <c r="B780" s="22">
        <v>800</v>
      </c>
      <c r="C780" s="32"/>
      <c r="D780" s="24"/>
      <c r="E780" s="21"/>
      <c r="F780" s="24" t="s">
        <v>3671</v>
      </c>
      <c r="G780" s="24" t="s">
        <v>3672</v>
      </c>
      <c r="H780" s="21">
        <v>1</v>
      </c>
      <c r="I780" s="27"/>
    </row>
    <row r="781" ht="56" spans="1:9">
      <c r="A781" s="21" t="s">
        <v>1731</v>
      </c>
      <c r="B781" s="22">
        <v>800</v>
      </c>
      <c r="C781" s="32"/>
      <c r="D781" s="24"/>
      <c r="E781" s="21"/>
      <c r="F781" s="24" t="s">
        <v>3673</v>
      </c>
      <c r="G781" s="24" t="s">
        <v>3674</v>
      </c>
      <c r="H781" s="21">
        <v>0</v>
      </c>
      <c r="I781" s="27"/>
    </row>
    <row r="782" ht="70" spans="1:9">
      <c r="A782" s="21" t="s">
        <v>1731</v>
      </c>
      <c r="B782" s="22">
        <v>800</v>
      </c>
      <c r="C782" s="32"/>
      <c r="D782" s="24"/>
      <c r="E782" s="21"/>
      <c r="F782" s="24" t="s">
        <v>3675</v>
      </c>
      <c r="G782" s="24" t="s">
        <v>3676</v>
      </c>
      <c r="H782" s="21">
        <v>1</v>
      </c>
      <c r="I782" s="27"/>
    </row>
    <row r="783" ht="70" spans="1:9">
      <c r="A783" s="21" t="s">
        <v>1731</v>
      </c>
      <c r="B783" s="22">
        <v>800</v>
      </c>
      <c r="C783" s="32"/>
      <c r="D783" s="24"/>
      <c r="E783" s="21"/>
      <c r="F783" s="24" t="s">
        <v>3677</v>
      </c>
      <c r="G783" s="24" t="s">
        <v>3678</v>
      </c>
      <c r="H783" s="21">
        <v>2</v>
      </c>
      <c r="I783" s="27"/>
    </row>
    <row r="784" ht="56" spans="1:9">
      <c r="A784" s="21" t="s">
        <v>1731</v>
      </c>
      <c r="B784" s="22">
        <v>800</v>
      </c>
      <c r="C784" s="32"/>
      <c r="D784" s="24"/>
      <c r="E784" s="21"/>
      <c r="F784" s="24" t="s">
        <v>3679</v>
      </c>
      <c r="G784" s="24" t="s">
        <v>3680</v>
      </c>
      <c r="H784" s="21">
        <v>2</v>
      </c>
      <c r="I784" s="27"/>
    </row>
    <row r="785" ht="28" spans="1:9">
      <c r="A785" s="21" t="s">
        <v>1731</v>
      </c>
      <c r="B785" s="22">
        <v>800</v>
      </c>
      <c r="C785" s="32"/>
      <c r="D785" s="24"/>
      <c r="E785" s="21"/>
      <c r="F785" s="24" t="s">
        <v>3681</v>
      </c>
      <c r="G785" s="24" t="s">
        <v>3682</v>
      </c>
      <c r="H785" s="21">
        <v>1</v>
      </c>
      <c r="I785" s="27"/>
    </row>
    <row r="786" ht="28" spans="1:9">
      <c r="A786" s="21" t="s">
        <v>1731</v>
      </c>
      <c r="B786" s="22">
        <v>800</v>
      </c>
      <c r="C786" s="32"/>
      <c r="D786" s="24"/>
      <c r="E786" s="21"/>
      <c r="F786" s="24" t="s">
        <v>3683</v>
      </c>
      <c r="G786" s="24" t="s">
        <v>3684</v>
      </c>
      <c r="H786" s="21">
        <v>1</v>
      </c>
      <c r="I786" s="27"/>
    </row>
    <row r="787" ht="28" spans="1:9">
      <c r="A787" s="21" t="s">
        <v>1731</v>
      </c>
      <c r="B787" s="22">
        <v>800</v>
      </c>
      <c r="C787" s="32"/>
      <c r="D787" s="24"/>
      <c r="E787" s="21"/>
      <c r="F787" s="24" t="s">
        <v>3685</v>
      </c>
      <c r="G787" s="24" t="s">
        <v>3684</v>
      </c>
      <c r="H787" s="21">
        <v>1</v>
      </c>
      <c r="I787" s="27"/>
    </row>
    <row r="788" ht="28" spans="1:9">
      <c r="A788" s="21" t="s">
        <v>1731</v>
      </c>
      <c r="B788" s="22">
        <v>800</v>
      </c>
      <c r="C788" s="32"/>
      <c r="D788" s="24"/>
      <c r="E788" s="21"/>
      <c r="F788" s="24" t="s">
        <v>3686</v>
      </c>
      <c r="G788" s="24" t="s">
        <v>3687</v>
      </c>
      <c r="H788" s="21">
        <v>2</v>
      </c>
      <c r="I788" s="27"/>
    </row>
    <row r="789" ht="56" spans="1:9">
      <c r="A789" s="21" t="s">
        <v>1731</v>
      </c>
      <c r="B789" s="22">
        <v>800</v>
      </c>
      <c r="C789" s="32"/>
      <c r="D789" s="24"/>
      <c r="E789" s="21"/>
      <c r="F789" s="24" t="s">
        <v>3688</v>
      </c>
      <c r="G789" s="24" t="s">
        <v>3689</v>
      </c>
      <c r="H789" s="21">
        <v>1</v>
      </c>
      <c r="I789" s="27"/>
    </row>
    <row r="790" ht="56" spans="1:9">
      <c r="A790" s="21" t="s">
        <v>1731</v>
      </c>
      <c r="B790" s="22">
        <v>800</v>
      </c>
      <c r="C790" s="32"/>
      <c r="D790" s="24"/>
      <c r="E790" s="21"/>
      <c r="F790" s="24" t="s">
        <v>3690</v>
      </c>
      <c r="G790" s="24" t="s">
        <v>3691</v>
      </c>
      <c r="H790" s="21">
        <v>1</v>
      </c>
      <c r="I790" s="27"/>
    </row>
    <row r="791" ht="70" spans="1:9">
      <c r="A791" s="21" t="s">
        <v>1731</v>
      </c>
      <c r="B791" s="22">
        <v>800</v>
      </c>
      <c r="C791" s="32"/>
      <c r="D791" s="24"/>
      <c r="E791" s="21"/>
      <c r="F791" s="24" t="s">
        <v>3692</v>
      </c>
      <c r="G791" s="24" t="s">
        <v>3693</v>
      </c>
      <c r="H791" s="21">
        <v>1</v>
      </c>
      <c r="I791" s="27"/>
    </row>
    <row r="792" ht="56" spans="1:9">
      <c r="A792" s="21" t="s">
        <v>1731</v>
      </c>
      <c r="B792" s="22">
        <v>800</v>
      </c>
      <c r="C792" s="32"/>
      <c r="D792" s="24"/>
      <c r="E792" s="21"/>
      <c r="F792" s="24" t="s">
        <v>3694</v>
      </c>
      <c r="G792" s="24" t="s">
        <v>3695</v>
      </c>
      <c r="H792" s="21">
        <v>1</v>
      </c>
      <c r="I792" s="27"/>
    </row>
    <row r="793" ht="56" spans="1:9">
      <c r="A793" s="21" t="s">
        <v>1731</v>
      </c>
      <c r="B793" s="22">
        <v>800</v>
      </c>
      <c r="C793" s="32"/>
      <c r="D793" s="24"/>
      <c r="E793" s="21"/>
      <c r="F793" s="24" t="s">
        <v>3696</v>
      </c>
      <c r="G793" s="24" t="s">
        <v>3697</v>
      </c>
      <c r="H793" s="21">
        <v>1</v>
      </c>
      <c r="I793" s="27"/>
    </row>
    <row r="794" ht="28" spans="1:9">
      <c r="A794" s="21" t="s">
        <v>1731</v>
      </c>
      <c r="B794" s="22">
        <v>800</v>
      </c>
      <c r="C794" s="32"/>
      <c r="D794" s="24"/>
      <c r="E794" s="21"/>
      <c r="F794" s="24" t="s">
        <v>3698</v>
      </c>
      <c r="G794" s="24" t="s">
        <v>3699</v>
      </c>
      <c r="H794" s="21">
        <v>1</v>
      </c>
      <c r="I794" s="27"/>
    </row>
    <row r="795" ht="56" spans="1:9">
      <c r="A795" s="21" t="s">
        <v>1731</v>
      </c>
      <c r="B795" s="22">
        <v>800</v>
      </c>
      <c r="C795" s="32"/>
      <c r="D795" s="24"/>
      <c r="E795" s="21"/>
      <c r="F795" s="24" t="s">
        <v>3700</v>
      </c>
      <c r="G795" s="24" t="s">
        <v>3701</v>
      </c>
      <c r="H795" s="21">
        <v>1</v>
      </c>
      <c r="I795" s="27"/>
    </row>
    <row r="796" ht="56" spans="1:9">
      <c r="A796" s="21" t="s">
        <v>1731</v>
      </c>
      <c r="B796" s="22">
        <v>800</v>
      </c>
      <c r="C796" s="32"/>
      <c r="D796" s="24"/>
      <c r="E796" s="21"/>
      <c r="F796" s="24" t="s">
        <v>3702</v>
      </c>
      <c r="G796" s="24" t="s">
        <v>3703</v>
      </c>
      <c r="H796" s="21">
        <v>1</v>
      </c>
      <c r="I796" s="27"/>
    </row>
    <row r="797" ht="70" spans="1:9">
      <c r="A797" s="21" t="s">
        <v>1731</v>
      </c>
      <c r="B797" s="22">
        <v>800</v>
      </c>
      <c r="C797" s="32"/>
      <c r="D797" s="24"/>
      <c r="E797" s="21"/>
      <c r="F797" s="24" t="s">
        <v>3704</v>
      </c>
      <c r="G797" s="24" t="s">
        <v>3705</v>
      </c>
      <c r="H797" s="21">
        <v>2</v>
      </c>
      <c r="I797" s="27"/>
    </row>
    <row r="798" ht="56" spans="1:9">
      <c r="A798" s="21" t="s">
        <v>1731</v>
      </c>
      <c r="B798" s="22">
        <v>800</v>
      </c>
      <c r="C798" s="32"/>
      <c r="D798" s="24"/>
      <c r="E798" s="21"/>
      <c r="F798" s="24" t="s">
        <v>3706</v>
      </c>
      <c r="G798" s="24" t="s">
        <v>3707</v>
      </c>
      <c r="H798" s="21">
        <v>1</v>
      </c>
      <c r="I798" s="27"/>
    </row>
    <row r="799" ht="56" spans="1:9">
      <c r="A799" s="21" t="s">
        <v>1731</v>
      </c>
      <c r="B799" s="22">
        <v>800</v>
      </c>
      <c r="C799" s="32"/>
      <c r="D799" s="24"/>
      <c r="E799" s="21"/>
      <c r="F799" s="24" t="s">
        <v>3708</v>
      </c>
      <c r="G799" s="24" t="s">
        <v>3709</v>
      </c>
      <c r="H799" s="21">
        <v>1</v>
      </c>
      <c r="I799" s="27"/>
    </row>
    <row r="800" ht="28" spans="1:9">
      <c r="A800" s="21" t="s">
        <v>1731</v>
      </c>
      <c r="B800" s="22">
        <v>800</v>
      </c>
      <c r="C800" s="32"/>
      <c r="D800" s="24"/>
      <c r="E800" s="21"/>
      <c r="F800" s="24" t="s">
        <v>3710</v>
      </c>
      <c r="G800" s="24" t="s">
        <v>3711</v>
      </c>
      <c r="H800" s="21">
        <v>1</v>
      </c>
      <c r="I800" s="27"/>
    </row>
    <row r="801" ht="28" spans="1:9">
      <c r="A801" s="21" t="s">
        <v>1731</v>
      </c>
      <c r="B801" s="22">
        <v>800</v>
      </c>
      <c r="C801" s="32"/>
      <c r="D801" s="24"/>
      <c r="E801" s="21"/>
      <c r="F801" s="24" t="s">
        <v>3712</v>
      </c>
      <c r="G801" s="24" t="s">
        <v>3713</v>
      </c>
      <c r="H801" s="21">
        <v>1</v>
      </c>
      <c r="I801" s="27"/>
    </row>
    <row r="802" ht="28" spans="1:9">
      <c r="A802" s="21" t="s">
        <v>1731</v>
      </c>
      <c r="B802" s="22">
        <v>800</v>
      </c>
      <c r="C802" s="32"/>
      <c r="D802" s="24"/>
      <c r="E802" s="21"/>
      <c r="F802" s="24" t="s">
        <v>3714</v>
      </c>
      <c r="G802" s="24" t="s">
        <v>3715</v>
      </c>
      <c r="H802" s="21">
        <v>1</v>
      </c>
      <c r="I802" s="27"/>
    </row>
    <row r="803" ht="28" spans="1:9">
      <c r="A803" s="21" t="s">
        <v>1731</v>
      </c>
      <c r="B803" s="22">
        <v>800</v>
      </c>
      <c r="C803" s="32"/>
      <c r="D803" s="24"/>
      <c r="E803" s="21"/>
      <c r="F803" s="24" t="s">
        <v>3716</v>
      </c>
      <c r="G803" s="24" t="s">
        <v>3717</v>
      </c>
      <c r="H803" s="21">
        <v>1</v>
      </c>
      <c r="I803" s="27"/>
    </row>
    <row r="804" ht="28" spans="1:9">
      <c r="A804" s="21" t="s">
        <v>1731</v>
      </c>
      <c r="B804" s="22">
        <v>800</v>
      </c>
      <c r="C804" s="32"/>
      <c r="D804" s="24"/>
      <c r="E804" s="21"/>
      <c r="F804" s="24" t="s">
        <v>3718</v>
      </c>
      <c r="G804" s="24" t="s">
        <v>3717</v>
      </c>
      <c r="H804" s="21">
        <v>1</v>
      </c>
      <c r="I804" s="27"/>
    </row>
    <row r="805" ht="42" spans="1:9">
      <c r="A805" s="21" t="s">
        <v>1731</v>
      </c>
      <c r="B805" s="22">
        <v>800</v>
      </c>
      <c r="C805" s="32"/>
      <c r="D805" s="24"/>
      <c r="E805" s="21"/>
      <c r="F805" s="24" t="s">
        <v>3719</v>
      </c>
      <c r="G805" s="24" t="s">
        <v>3720</v>
      </c>
      <c r="H805" s="21">
        <v>0</v>
      </c>
      <c r="I805" s="27"/>
    </row>
    <row r="806" ht="56" spans="1:9">
      <c r="A806" s="21" t="s">
        <v>1731</v>
      </c>
      <c r="B806" s="22">
        <v>800</v>
      </c>
      <c r="C806" s="32"/>
      <c r="D806" s="24"/>
      <c r="E806" s="21"/>
      <c r="F806" s="24" t="s">
        <v>3721</v>
      </c>
      <c r="G806" s="24" t="s">
        <v>3722</v>
      </c>
      <c r="H806" s="21">
        <v>1</v>
      </c>
      <c r="I806" s="27"/>
    </row>
    <row r="807" ht="42" spans="1:9">
      <c r="A807" s="21" t="s">
        <v>1731</v>
      </c>
      <c r="B807" s="22">
        <v>800</v>
      </c>
      <c r="C807" s="32"/>
      <c r="D807" s="24"/>
      <c r="E807" s="21"/>
      <c r="F807" s="24" t="s">
        <v>3723</v>
      </c>
      <c r="G807" s="24" t="s">
        <v>3724</v>
      </c>
      <c r="H807" s="21">
        <v>0</v>
      </c>
      <c r="I807" s="27"/>
    </row>
    <row r="808" ht="28" spans="1:9">
      <c r="A808" s="21" t="s">
        <v>1731</v>
      </c>
      <c r="B808" s="22">
        <v>800</v>
      </c>
      <c r="C808" s="32"/>
      <c r="D808" s="24"/>
      <c r="E808" s="21"/>
      <c r="F808" s="24" t="s">
        <v>3725</v>
      </c>
      <c r="G808" s="24" t="s">
        <v>3726</v>
      </c>
      <c r="H808" s="21">
        <v>0</v>
      </c>
      <c r="I808" s="27"/>
    </row>
    <row r="809" spans="1:9">
      <c r="A809" s="21" t="s">
        <v>1731</v>
      </c>
      <c r="B809" s="22">
        <v>800</v>
      </c>
      <c r="C809" s="32"/>
      <c r="D809" s="24"/>
      <c r="E809" s="21"/>
      <c r="F809" s="24" t="s">
        <v>3727</v>
      </c>
      <c r="G809" s="24" t="s">
        <v>3728</v>
      </c>
      <c r="H809" s="21">
        <v>0</v>
      </c>
      <c r="I809" s="27"/>
    </row>
    <row r="810" spans="1:9">
      <c r="A810" s="21" t="s">
        <v>1731</v>
      </c>
      <c r="B810" s="22">
        <v>800</v>
      </c>
      <c r="C810" s="32"/>
      <c r="D810" s="24"/>
      <c r="E810" s="21"/>
      <c r="F810" s="24" t="s">
        <v>3729</v>
      </c>
      <c r="G810" s="24" t="s">
        <v>2458</v>
      </c>
      <c r="H810" s="21">
        <v>0</v>
      </c>
      <c r="I810" s="27"/>
    </row>
    <row r="811" spans="1:9">
      <c r="A811" s="21" t="s">
        <v>1731</v>
      </c>
      <c r="B811" s="22">
        <v>800</v>
      </c>
      <c r="C811" s="32"/>
      <c r="D811" s="24"/>
      <c r="E811" s="21"/>
      <c r="F811" s="24" t="s">
        <v>3730</v>
      </c>
      <c r="G811" s="24" t="s">
        <v>2458</v>
      </c>
      <c r="H811" s="21">
        <v>0</v>
      </c>
      <c r="I811" s="27"/>
    </row>
    <row r="812" spans="1:9">
      <c r="A812" s="21" t="s">
        <v>1731</v>
      </c>
      <c r="B812" s="22">
        <v>800</v>
      </c>
      <c r="C812" s="32"/>
      <c r="D812" s="24"/>
      <c r="E812" s="21"/>
      <c r="F812" s="24" t="s">
        <v>3731</v>
      </c>
      <c r="G812" s="24" t="s">
        <v>2458</v>
      </c>
      <c r="H812" s="21">
        <v>0</v>
      </c>
      <c r="I812" s="27"/>
    </row>
    <row r="813" spans="1:9">
      <c r="A813" s="21" t="s">
        <v>1731</v>
      </c>
      <c r="B813" s="22">
        <v>800</v>
      </c>
      <c r="C813" s="32"/>
      <c r="D813" s="24"/>
      <c r="E813" s="21"/>
      <c r="F813" s="24" t="s">
        <v>3732</v>
      </c>
      <c r="G813" s="24" t="s">
        <v>2458</v>
      </c>
      <c r="H813" s="21">
        <v>0</v>
      </c>
      <c r="I813" s="27"/>
    </row>
    <row r="814" spans="1:9">
      <c r="A814" s="21" t="s">
        <v>1731</v>
      </c>
      <c r="B814" s="22">
        <v>800</v>
      </c>
      <c r="C814" s="32"/>
      <c r="D814" s="24"/>
      <c r="E814" s="21"/>
      <c r="F814" s="24" t="s">
        <v>3733</v>
      </c>
      <c r="G814" s="24" t="s">
        <v>2458</v>
      </c>
      <c r="H814" s="21">
        <v>0</v>
      </c>
      <c r="I814" s="27"/>
    </row>
    <row r="815" spans="1:9">
      <c r="A815" s="21" t="s">
        <v>1731</v>
      </c>
      <c r="B815" s="22">
        <v>800</v>
      </c>
      <c r="C815" s="32"/>
      <c r="D815" s="24"/>
      <c r="E815" s="21"/>
      <c r="F815" s="24" t="s">
        <v>3734</v>
      </c>
      <c r="G815" s="24" t="s">
        <v>2458</v>
      </c>
      <c r="H815" s="21">
        <v>0</v>
      </c>
      <c r="I815" s="27"/>
    </row>
    <row r="816" spans="1:9">
      <c r="A816" s="21" t="s">
        <v>1731</v>
      </c>
      <c r="B816" s="22">
        <v>800</v>
      </c>
      <c r="C816" s="32"/>
      <c r="D816" s="24"/>
      <c r="E816" s="21"/>
      <c r="F816" s="24" t="s">
        <v>3735</v>
      </c>
      <c r="G816" s="24" t="s">
        <v>2458</v>
      </c>
      <c r="H816" s="21">
        <v>0</v>
      </c>
      <c r="I816" s="27"/>
    </row>
    <row r="817" spans="1:9">
      <c r="A817" s="21" t="s">
        <v>1731</v>
      </c>
      <c r="B817" s="22">
        <v>800</v>
      </c>
      <c r="C817" s="32"/>
      <c r="D817" s="24"/>
      <c r="E817" s="21"/>
      <c r="F817" s="24" t="s">
        <v>3736</v>
      </c>
      <c r="G817" s="24" t="s">
        <v>2458</v>
      </c>
      <c r="H817" s="21">
        <v>0</v>
      </c>
      <c r="I817" s="27"/>
    </row>
    <row r="818" spans="1:9">
      <c r="A818" s="21" t="s">
        <v>1731</v>
      </c>
      <c r="B818" s="22">
        <v>800</v>
      </c>
      <c r="C818" s="32"/>
      <c r="D818" s="24"/>
      <c r="E818" s="21"/>
      <c r="F818" s="24" t="s">
        <v>3737</v>
      </c>
      <c r="G818" s="24" t="s">
        <v>2458</v>
      </c>
      <c r="H818" s="21">
        <v>0</v>
      </c>
      <c r="I818" s="27"/>
    </row>
    <row r="819" spans="1:9">
      <c r="A819" s="21" t="s">
        <v>1731</v>
      </c>
      <c r="B819" s="22">
        <v>800</v>
      </c>
      <c r="C819" s="32"/>
      <c r="D819" s="24"/>
      <c r="E819" s="21"/>
      <c r="F819" s="24" t="s">
        <v>3738</v>
      </c>
      <c r="G819" s="24" t="s">
        <v>2458</v>
      </c>
      <c r="H819" s="21">
        <v>0</v>
      </c>
      <c r="I819" s="27"/>
    </row>
    <row r="820" spans="1:9">
      <c r="A820" s="21" t="s">
        <v>1731</v>
      </c>
      <c r="B820" s="22">
        <v>800</v>
      </c>
      <c r="C820" s="32"/>
      <c r="D820" s="24"/>
      <c r="E820" s="21"/>
      <c r="F820" s="24" t="s">
        <v>3739</v>
      </c>
      <c r="G820" s="24" t="s">
        <v>2458</v>
      </c>
      <c r="H820" s="21">
        <v>0</v>
      </c>
      <c r="I820" s="27"/>
    </row>
    <row r="821" spans="1:9">
      <c r="A821" s="21" t="s">
        <v>1731</v>
      </c>
      <c r="B821" s="22">
        <v>800</v>
      </c>
      <c r="C821" s="32"/>
      <c r="D821" s="24"/>
      <c r="E821" s="21"/>
      <c r="F821" s="24" t="s">
        <v>3740</v>
      </c>
      <c r="G821" s="24" t="s">
        <v>2458</v>
      </c>
      <c r="H821" s="21">
        <v>0</v>
      </c>
      <c r="I821" s="27"/>
    </row>
    <row r="822" spans="1:9">
      <c r="A822" s="21" t="s">
        <v>1931</v>
      </c>
      <c r="B822" s="22">
        <v>800</v>
      </c>
      <c r="C822" s="24" t="s">
        <v>3741</v>
      </c>
      <c r="D822" s="24" t="s">
        <v>3742</v>
      </c>
      <c r="E822" s="21">
        <v>0</v>
      </c>
      <c r="F822" s="24" t="s">
        <v>3743</v>
      </c>
      <c r="G822" s="24" t="s">
        <v>3059</v>
      </c>
      <c r="H822" s="21">
        <v>1</v>
      </c>
      <c r="I822" s="27"/>
    </row>
    <row r="823" spans="1:9">
      <c r="A823" s="21" t="s">
        <v>1931</v>
      </c>
      <c r="B823" s="22">
        <v>800</v>
      </c>
      <c r="C823" s="24" t="s">
        <v>3744</v>
      </c>
      <c r="D823" s="24" t="s">
        <v>3745</v>
      </c>
      <c r="E823" s="21">
        <v>0</v>
      </c>
      <c r="F823" s="24" t="s">
        <v>3746</v>
      </c>
      <c r="G823" s="24" t="s">
        <v>3063</v>
      </c>
      <c r="H823" s="21">
        <v>1</v>
      </c>
      <c r="I823" s="27"/>
    </row>
    <row r="824" spans="1:9">
      <c r="A824" s="21" t="s">
        <v>1931</v>
      </c>
      <c r="B824" s="22">
        <v>800</v>
      </c>
      <c r="C824" s="24" t="s">
        <v>3747</v>
      </c>
      <c r="D824" s="24" t="s">
        <v>3748</v>
      </c>
      <c r="E824" s="21">
        <v>0</v>
      </c>
      <c r="F824" s="24" t="s">
        <v>3749</v>
      </c>
      <c r="G824" s="24" t="s">
        <v>3067</v>
      </c>
      <c r="H824" s="21">
        <v>1</v>
      </c>
      <c r="I824" s="27"/>
    </row>
    <row r="825" spans="1:9">
      <c r="A825" s="21" t="s">
        <v>1931</v>
      </c>
      <c r="B825" s="22">
        <v>800</v>
      </c>
      <c r="C825" s="23"/>
      <c r="D825" s="23"/>
      <c r="E825" s="21"/>
      <c r="F825" s="24" t="s">
        <v>3750</v>
      </c>
      <c r="G825" s="24" t="s">
        <v>2636</v>
      </c>
      <c r="H825" s="21">
        <v>1</v>
      </c>
      <c r="I825" s="27"/>
    </row>
    <row r="826" spans="1:9">
      <c r="A826" s="21" t="s">
        <v>1931</v>
      </c>
      <c r="B826" s="22">
        <v>800</v>
      </c>
      <c r="C826" s="23"/>
      <c r="D826" s="23"/>
      <c r="E826" s="21"/>
      <c r="F826" s="24" t="s">
        <v>3751</v>
      </c>
      <c r="G826" s="24" t="s">
        <v>3071</v>
      </c>
      <c r="H826" s="21">
        <v>1</v>
      </c>
      <c r="I826" s="27"/>
    </row>
    <row r="827" spans="1:9">
      <c r="A827" s="21" t="s">
        <v>1931</v>
      </c>
      <c r="B827" s="22">
        <v>800</v>
      </c>
      <c r="C827" s="23"/>
      <c r="D827" s="23"/>
      <c r="E827" s="21"/>
      <c r="F827" s="24" t="s">
        <v>3752</v>
      </c>
      <c r="G827" s="24" t="s">
        <v>3542</v>
      </c>
      <c r="H827" s="21">
        <v>1</v>
      </c>
      <c r="I827" s="27"/>
    </row>
    <row r="828" spans="1:9">
      <c r="A828" s="21" t="s">
        <v>1931</v>
      </c>
      <c r="B828" s="22">
        <v>800</v>
      </c>
      <c r="C828" s="23"/>
      <c r="D828" s="23"/>
      <c r="E828" s="21"/>
      <c r="F828" s="24" t="s">
        <v>3753</v>
      </c>
      <c r="G828" s="24" t="s">
        <v>2725</v>
      </c>
      <c r="H828" s="21">
        <v>1</v>
      </c>
      <c r="I828" s="27"/>
    </row>
    <row r="829" spans="1:9">
      <c r="A829" s="21" t="s">
        <v>1931</v>
      </c>
      <c r="B829" s="22">
        <v>800</v>
      </c>
      <c r="C829" s="23"/>
      <c r="D829" s="23"/>
      <c r="E829" s="21"/>
      <c r="F829" s="24" t="s">
        <v>3754</v>
      </c>
      <c r="G829" s="24" t="s">
        <v>3755</v>
      </c>
      <c r="H829" s="21">
        <v>1</v>
      </c>
      <c r="I829" s="27"/>
    </row>
    <row r="830" spans="1:9">
      <c r="A830" s="21" t="s">
        <v>1931</v>
      </c>
      <c r="B830" s="22">
        <v>800</v>
      </c>
      <c r="C830" s="23"/>
      <c r="D830" s="23"/>
      <c r="E830" s="21"/>
      <c r="F830" s="24" t="s">
        <v>3756</v>
      </c>
      <c r="G830" s="24" t="s">
        <v>3588</v>
      </c>
      <c r="H830" s="21">
        <v>1</v>
      </c>
      <c r="I830" s="27"/>
    </row>
    <row r="831" spans="1:9">
      <c r="A831" s="21" t="s">
        <v>1931</v>
      </c>
      <c r="B831" s="22">
        <v>800</v>
      </c>
      <c r="C831" s="23"/>
      <c r="D831" s="23"/>
      <c r="E831" s="21"/>
      <c r="F831" s="24" t="s">
        <v>3757</v>
      </c>
      <c r="G831" s="24" t="s">
        <v>3592</v>
      </c>
      <c r="H831" s="21">
        <v>1</v>
      </c>
      <c r="I831" s="27"/>
    </row>
    <row r="832" spans="1:9">
      <c r="A832" s="21" t="s">
        <v>1931</v>
      </c>
      <c r="B832" s="22">
        <v>800</v>
      </c>
      <c r="C832" s="23"/>
      <c r="D832" s="23"/>
      <c r="E832" s="21"/>
      <c r="F832" s="24" t="s">
        <v>3758</v>
      </c>
      <c r="G832" s="24" t="s">
        <v>3594</v>
      </c>
      <c r="H832" s="21">
        <v>1</v>
      </c>
      <c r="I832" s="27"/>
    </row>
    <row r="833" spans="1:9">
      <c r="A833" s="21" t="s">
        <v>1931</v>
      </c>
      <c r="B833" s="22">
        <v>800</v>
      </c>
      <c r="C833" s="23"/>
      <c r="D833" s="23"/>
      <c r="E833" s="21"/>
      <c r="F833" s="24" t="s">
        <v>3759</v>
      </c>
      <c r="G833" s="24" t="s">
        <v>3596</v>
      </c>
      <c r="H833" s="21">
        <v>1</v>
      </c>
      <c r="I833" s="27"/>
    </row>
    <row r="834" spans="1:9">
      <c r="A834" s="21" t="s">
        <v>1931</v>
      </c>
      <c r="B834" s="22">
        <v>800</v>
      </c>
      <c r="C834" s="23"/>
      <c r="D834" s="23"/>
      <c r="E834" s="21"/>
      <c r="F834" s="24" t="s">
        <v>3760</v>
      </c>
      <c r="G834" s="24" t="s">
        <v>3598</v>
      </c>
      <c r="H834" s="21">
        <v>0</v>
      </c>
      <c r="I834" s="27"/>
    </row>
    <row r="835" spans="1:9">
      <c r="A835" s="21" t="s">
        <v>1931</v>
      </c>
      <c r="B835" s="22">
        <v>800</v>
      </c>
      <c r="C835" s="23"/>
      <c r="D835" s="23"/>
      <c r="E835" s="21"/>
      <c r="F835" s="24" t="s">
        <v>3761</v>
      </c>
      <c r="G835" s="24" t="s">
        <v>3600</v>
      </c>
      <c r="H835" s="21">
        <v>0</v>
      </c>
      <c r="I835" s="27"/>
    </row>
    <row r="836" ht="42" spans="1:9">
      <c r="A836" s="21" t="s">
        <v>1731</v>
      </c>
      <c r="B836" s="22">
        <v>900</v>
      </c>
      <c r="C836" s="23" t="s">
        <v>3762</v>
      </c>
      <c r="D836" s="23" t="s">
        <v>3763</v>
      </c>
      <c r="E836" s="21" t="s">
        <v>1798</v>
      </c>
      <c r="F836" s="24" t="s">
        <v>3764</v>
      </c>
      <c r="G836" s="24" t="s">
        <v>3765</v>
      </c>
      <c r="H836" s="21">
        <v>2</v>
      </c>
      <c r="I836" s="27"/>
    </row>
    <row r="837" ht="42" spans="1:9">
      <c r="A837" s="21" t="s">
        <v>1731</v>
      </c>
      <c r="B837" s="22">
        <v>900</v>
      </c>
      <c r="C837" s="23" t="s">
        <v>3766</v>
      </c>
      <c r="D837" s="23" t="s">
        <v>3767</v>
      </c>
      <c r="E837" s="21">
        <v>0</v>
      </c>
      <c r="F837" s="24" t="s">
        <v>3768</v>
      </c>
      <c r="G837" s="24" t="s">
        <v>3769</v>
      </c>
      <c r="H837" s="21">
        <v>1</v>
      </c>
      <c r="I837" s="27"/>
    </row>
    <row r="838" ht="42" spans="1:9">
      <c r="A838" s="21" t="s">
        <v>1731</v>
      </c>
      <c r="B838" s="22">
        <v>900</v>
      </c>
      <c r="C838" s="23" t="s">
        <v>3770</v>
      </c>
      <c r="D838" s="23" t="s">
        <v>3771</v>
      </c>
      <c r="E838" s="21">
        <v>0</v>
      </c>
      <c r="F838" s="24" t="s">
        <v>3772</v>
      </c>
      <c r="G838" s="24" t="s">
        <v>3773</v>
      </c>
      <c r="H838" s="21">
        <v>1</v>
      </c>
      <c r="I838" s="27"/>
    </row>
    <row r="839" ht="28" spans="1:9">
      <c r="A839" s="21" t="s">
        <v>1731</v>
      </c>
      <c r="B839" s="22">
        <v>900</v>
      </c>
      <c r="C839" s="23" t="s">
        <v>3774</v>
      </c>
      <c r="D839" s="23" t="s">
        <v>3775</v>
      </c>
      <c r="E839" s="21" t="s">
        <v>1798</v>
      </c>
      <c r="F839" s="24" t="s">
        <v>3776</v>
      </c>
      <c r="G839" s="24" t="s">
        <v>3777</v>
      </c>
      <c r="H839" s="21">
        <v>2</v>
      </c>
      <c r="I839" s="27"/>
    </row>
    <row r="840" ht="42" spans="1:9">
      <c r="A840" s="21" t="s">
        <v>1731</v>
      </c>
      <c r="B840" s="22">
        <v>900</v>
      </c>
      <c r="C840" s="23" t="s">
        <v>3778</v>
      </c>
      <c r="D840" s="23" t="s">
        <v>3779</v>
      </c>
      <c r="E840" s="21">
        <v>0</v>
      </c>
      <c r="F840" s="24" t="s">
        <v>3780</v>
      </c>
      <c r="G840" s="24" t="s">
        <v>3781</v>
      </c>
      <c r="H840" s="21">
        <v>1</v>
      </c>
      <c r="I840" s="27"/>
    </row>
    <row r="841" ht="28" spans="1:9">
      <c r="A841" s="21" t="s">
        <v>1731</v>
      </c>
      <c r="B841" s="22">
        <v>900</v>
      </c>
      <c r="C841" s="29"/>
      <c r="D841" s="30"/>
      <c r="E841" s="21"/>
      <c r="F841" s="24" t="s">
        <v>3782</v>
      </c>
      <c r="G841" s="24" t="s">
        <v>3783</v>
      </c>
      <c r="H841" s="21">
        <v>1</v>
      </c>
      <c r="I841" s="27"/>
    </row>
    <row r="842" ht="42" spans="1:9">
      <c r="A842" s="21" t="s">
        <v>1731</v>
      </c>
      <c r="B842" s="22">
        <v>900</v>
      </c>
      <c r="C842" s="29"/>
      <c r="D842" s="30"/>
      <c r="E842" s="21"/>
      <c r="F842" s="24" t="s">
        <v>3784</v>
      </c>
      <c r="G842" s="24" t="s">
        <v>3785</v>
      </c>
      <c r="H842" s="21">
        <v>1</v>
      </c>
      <c r="I842" s="27"/>
    </row>
    <row r="843" ht="28" spans="1:9">
      <c r="A843" s="21" t="s">
        <v>1731</v>
      </c>
      <c r="B843" s="22">
        <v>900</v>
      </c>
      <c r="C843" s="29"/>
      <c r="D843" s="30"/>
      <c r="E843" s="21"/>
      <c r="F843" s="24" t="s">
        <v>3786</v>
      </c>
      <c r="G843" s="24" t="s">
        <v>3787</v>
      </c>
      <c r="H843" s="21">
        <v>1</v>
      </c>
      <c r="I843" s="27"/>
    </row>
    <row r="844" ht="56" spans="1:9">
      <c r="A844" s="21" t="s">
        <v>1731</v>
      </c>
      <c r="B844" s="22">
        <v>900</v>
      </c>
      <c r="C844" s="29"/>
      <c r="D844" s="30"/>
      <c r="E844" s="21"/>
      <c r="F844" s="24" t="s">
        <v>3788</v>
      </c>
      <c r="G844" s="24" t="s">
        <v>3789</v>
      </c>
      <c r="H844" s="21">
        <v>0</v>
      </c>
      <c r="I844" s="27"/>
    </row>
    <row r="845" ht="56" spans="1:9">
      <c r="A845" s="21" t="s">
        <v>1731</v>
      </c>
      <c r="B845" s="22">
        <v>900</v>
      </c>
      <c r="C845" s="29"/>
      <c r="D845" s="30"/>
      <c r="E845" s="21"/>
      <c r="F845" s="24" t="s">
        <v>3790</v>
      </c>
      <c r="G845" s="24" t="s">
        <v>3791</v>
      </c>
      <c r="H845" s="21">
        <v>0</v>
      </c>
      <c r="I845" s="27"/>
    </row>
    <row r="846" ht="56" spans="1:9">
      <c r="A846" s="21" t="s">
        <v>1731</v>
      </c>
      <c r="B846" s="22">
        <v>900</v>
      </c>
      <c r="C846" s="29"/>
      <c r="D846" s="30"/>
      <c r="E846" s="21"/>
      <c r="F846" s="24" t="s">
        <v>3792</v>
      </c>
      <c r="G846" s="24" t="s">
        <v>3793</v>
      </c>
      <c r="H846" s="21">
        <v>0</v>
      </c>
      <c r="I846" s="27"/>
    </row>
    <row r="847" ht="56" spans="1:9">
      <c r="A847" s="21" t="s">
        <v>1731</v>
      </c>
      <c r="B847" s="22">
        <v>900</v>
      </c>
      <c r="C847" s="29"/>
      <c r="D847" s="30"/>
      <c r="E847" s="21"/>
      <c r="F847" s="24" t="s">
        <v>3794</v>
      </c>
      <c r="G847" s="24" t="s">
        <v>3795</v>
      </c>
      <c r="H847" s="21">
        <v>0</v>
      </c>
      <c r="I847" s="27"/>
    </row>
    <row r="848" ht="56" spans="1:9">
      <c r="A848" s="21" t="s">
        <v>1731</v>
      </c>
      <c r="B848" s="22">
        <v>900</v>
      </c>
      <c r="C848" s="29"/>
      <c r="D848" s="30"/>
      <c r="E848" s="21"/>
      <c r="F848" s="24" t="s">
        <v>3796</v>
      </c>
      <c r="G848" s="24" t="s">
        <v>3797</v>
      </c>
      <c r="H848" s="21">
        <v>0</v>
      </c>
      <c r="I848" s="27"/>
    </row>
    <row r="849" ht="56" spans="1:9">
      <c r="A849" s="21" t="s">
        <v>1731</v>
      </c>
      <c r="B849" s="22">
        <v>900</v>
      </c>
      <c r="C849" s="29"/>
      <c r="D849" s="30"/>
      <c r="E849" s="21"/>
      <c r="F849" s="24" t="s">
        <v>3798</v>
      </c>
      <c r="G849" s="24" t="s">
        <v>3799</v>
      </c>
      <c r="H849" s="21">
        <v>1</v>
      </c>
      <c r="I849" s="27"/>
    </row>
    <row r="850" ht="56" spans="1:9">
      <c r="A850" s="21" t="s">
        <v>1731</v>
      </c>
      <c r="B850" s="22">
        <v>900</v>
      </c>
      <c r="C850" s="29"/>
      <c r="D850" s="30"/>
      <c r="E850" s="21"/>
      <c r="F850" s="24" t="s">
        <v>3800</v>
      </c>
      <c r="G850" s="24" t="s">
        <v>3801</v>
      </c>
      <c r="H850" s="21">
        <v>0</v>
      </c>
      <c r="I850" s="27"/>
    </row>
    <row r="851" spans="1:9">
      <c r="A851" s="21" t="s">
        <v>1931</v>
      </c>
      <c r="B851" s="22">
        <v>900</v>
      </c>
      <c r="C851" s="23" t="s">
        <v>3802</v>
      </c>
      <c r="D851" s="23" t="s">
        <v>3803</v>
      </c>
      <c r="E851" s="21">
        <v>0</v>
      </c>
      <c r="F851" s="24" t="s">
        <v>3804</v>
      </c>
      <c r="G851" s="24" t="s">
        <v>2664</v>
      </c>
      <c r="H851" s="21">
        <v>0</v>
      </c>
      <c r="I851" s="27"/>
    </row>
    <row r="852" spans="1:9">
      <c r="A852" s="21" t="s">
        <v>1931</v>
      </c>
      <c r="B852" s="22">
        <v>900</v>
      </c>
      <c r="C852" s="29"/>
      <c r="D852" s="33"/>
      <c r="E852" s="34"/>
      <c r="F852" s="24" t="s">
        <v>3805</v>
      </c>
      <c r="G852" s="24" t="s">
        <v>3806</v>
      </c>
      <c r="H852" s="21">
        <v>0</v>
      </c>
    </row>
    <row r="853" spans="1:9">
      <c r="A853" s="21" t="s">
        <v>1931</v>
      </c>
      <c r="B853" s="22">
        <v>900</v>
      </c>
      <c r="C853" s="29"/>
      <c r="D853" s="33"/>
      <c r="E853" s="34"/>
      <c r="F853" s="24" t="s">
        <v>3807</v>
      </c>
      <c r="G853" s="24" t="s">
        <v>3808</v>
      </c>
      <c r="H853" s="21">
        <v>0</v>
      </c>
    </row>
    <row r="854" spans="1:9">
      <c r="A854" s="21" t="s">
        <v>1931</v>
      </c>
      <c r="B854" s="22">
        <v>900</v>
      </c>
      <c r="C854" s="29"/>
      <c r="D854" s="33"/>
      <c r="E854" s="34"/>
      <c r="F854" s="24" t="s">
        <v>3809</v>
      </c>
      <c r="G854" s="24" t="s">
        <v>3810</v>
      </c>
      <c r="H854" s="21">
        <v>0</v>
      </c>
    </row>
    <row r="855" spans="1:9">
      <c r="A855" s="21" t="s">
        <v>1931</v>
      </c>
      <c r="B855" s="22">
        <v>900</v>
      </c>
      <c r="C855" s="29"/>
      <c r="D855" s="33"/>
      <c r="E855" s="34"/>
      <c r="F855" s="24" t="s">
        <v>3811</v>
      </c>
      <c r="G855" s="24" t="s">
        <v>3812</v>
      </c>
      <c r="H855" s="21">
        <v>0</v>
      </c>
    </row>
    <row r="856" spans="1:9">
      <c r="A856" s="21" t="s">
        <v>1931</v>
      </c>
      <c r="B856" s="22">
        <v>900</v>
      </c>
      <c r="C856" s="29"/>
      <c r="D856" s="33"/>
      <c r="E856" s="34"/>
      <c r="F856" s="24" t="s">
        <v>3813</v>
      </c>
      <c r="G856" s="24" t="s">
        <v>3814</v>
      </c>
      <c r="H856" s="21">
        <v>0</v>
      </c>
    </row>
    <row r="857" spans="1:9">
      <c r="A857" s="21" t="s">
        <v>1931</v>
      </c>
      <c r="B857" s="22">
        <v>900</v>
      </c>
      <c r="C857" s="29"/>
      <c r="D857" s="33"/>
      <c r="E857" s="34"/>
      <c r="F857" s="24" t="s">
        <v>3815</v>
      </c>
      <c r="G857" s="24" t="s">
        <v>3816</v>
      </c>
      <c r="H857" s="21">
        <v>0</v>
      </c>
    </row>
    <row r="858" spans="1:9">
      <c r="A858" s="21" t="s">
        <v>1931</v>
      </c>
      <c r="B858" s="22">
        <v>900</v>
      </c>
      <c r="C858" s="29"/>
      <c r="D858" s="33"/>
      <c r="E858" s="34"/>
      <c r="F858" s="24" t="s">
        <v>3817</v>
      </c>
      <c r="G858" s="24" t="s">
        <v>3818</v>
      </c>
      <c r="H858" s="21">
        <v>0</v>
      </c>
    </row>
    <row r="859" spans="1:9">
      <c r="A859" s="21" t="s">
        <v>1931</v>
      </c>
      <c r="B859" s="22">
        <v>900</v>
      </c>
      <c r="C859" s="29"/>
      <c r="D859" s="33"/>
      <c r="E859" s="34"/>
      <c r="F859" s="24" t="s">
        <v>3819</v>
      </c>
      <c r="G859" s="24" t="s">
        <v>3820</v>
      </c>
      <c r="H859" s="21">
        <v>0</v>
      </c>
    </row>
    <row r="860" spans="1:9">
      <c r="A860" s="21" t="s">
        <v>1931</v>
      </c>
      <c r="B860" s="22">
        <v>900</v>
      </c>
      <c r="C860" s="29"/>
      <c r="D860" s="33"/>
      <c r="E860" s="34"/>
      <c r="F860" s="24" t="s">
        <v>3821</v>
      </c>
      <c r="G860" s="24" t="s">
        <v>3822</v>
      </c>
      <c r="H860" s="21">
        <v>0</v>
      </c>
    </row>
    <row r="861" spans="1:9">
      <c r="A861" s="21" t="s">
        <v>1931</v>
      </c>
      <c r="B861" s="22">
        <v>900</v>
      </c>
      <c r="C861" s="29"/>
      <c r="D861" s="33"/>
      <c r="E861" s="34"/>
      <c r="F861" s="24" t="s">
        <v>3823</v>
      </c>
      <c r="G861" s="24" t="s">
        <v>3824</v>
      </c>
      <c r="H861" s="21">
        <v>0</v>
      </c>
    </row>
    <row r="862" spans="1:9">
      <c r="A862" s="21" t="s">
        <v>1931</v>
      </c>
      <c r="B862" s="22">
        <v>900</v>
      </c>
      <c r="C862" s="29"/>
      <c r="D862" s="33"/>
      <c r="E862" s="34"/>
      <c r="F862" s="24" t="s">
        <v>3825</v>
      </c>
      <c r="G862" s="24" t="s">
        <v>3826</v>
      </c>
      <c r="H862" s="21">
        <v>0</v>
      </c>
    </row>
    <row r="863" spans="1:9">
      <c r="A863" s="21" t="s">
        <v>1931</v>
      </c>
      <c r="B863" s="22">
        <v>900</v>
      </c>
      <c r="C863" s="29"/>
      <c r="D863" s="33"/>
      <c r="E863" s="34"/>
      <c r="F863" s="24" t="s">
        <v>3827</v>
      </c>
      <c r="G863" s="24" t="s">
        <v>3059</v>
      </c>
      <c r="H863" s="21">
        <v>0</v>
      </c>
    </row>
    <row r="864" spans="1:9">
      <c r="A864" s="21" t="s">
        <v>1931</v>
      </c>
      <c r="B864" s="22">
        <v>900</v>
      </c>
      <c r="C864" s="29"/>
      <c r="D864" s="33"/>
      <c r="E864" s="34"/>
      <c r="F864" s="24" t="s">
        <v>3828</v>
      </c>
      <c r="G864" s="24" t="s">
        <v>2636</v>
      </c>
      <c r="H864" s="21">
        <v>0</v>
      </c>
    </row>
    <row r="865" spans="1:8">
      <c r="A865" s="21" t="s">
        <v>1931</v>
      </c>
      <c r="B865" s="22">
        <v>900</v>
      </c>
      <c r="C865" s="29"/>
      <c r="D865" s="33"/>
      <c r="E865" s="34"/>
      <c r="F865" s="24" t="s">
        <v>3829</v>
      </c>
      <c r="G865" s="24" t="s">
        <v>2658</v>
      </c>
      <c r="H865" s="21">
        <v>0</v>
      </c>
    </row>
    <row r="866" spans="1:8">
      <c r="A866" s="21" t="s">
        <v>1931</v>
      </c>
      <c r="B866" s="22">
        <v>900</v>
      </c>
      <c r="C866" s="29"/>
      <c r="D866" s="33"/>
      <c r="E866" s="34"/>
      <c r="F866" s="24" t="s">
        <v>3830</v>
      </c>
      <c r="G866" s="24" t="s">
        <v>2612</v>
      </c>
      <c r="H866" s="21">
        <v>0</v>
      </c>
    </row>
    <row r="867" spans="1:8">
      <c r="A867" s="21" t="s">
        <v>1931</v>
      </c>
      <c r="B867" s="22">
        <v>900</v>
      </c>
      <c r="C867" s="29"/>
      <c r="D867" s="33"/>
      <c r="E867" s="34"/>
      <c r="F867" s="24" t="s">
        <v>3831</v>
      </c>
      <c r="G867" s="24" t="s">
        <v>3832</v>
      </c>
      <c r="H867" s="21">
        <v>0</v>
      </c>
    </row>
  </sheetData>
  <autoFilter xmlns:etc="http://www.wps.cn/officeDocument/2017/etCustomData" ref="A3:H867" etc:filterBottomFollowUsedRange="0">
    <extLst/>
  </autoFilter>
  <mergeCells count="24">
    <mergeCell ref="A1:B1"/>
    <mergeCell ref="C1:G1"/>
    <mergeCell ref="H1:I1"/>
    <mergeCell ref="A2:E2"/>
    <mergeCell ref="F2:I2"/>
    <mergeCell ref="A4:A8"/>
    <mergeCell ref="A13:A16"/>
    <mergeCell ref="C4:C8"/>
    <mergeCell ref="C13:C16"/>
    <mergeCell ref="C95:C96"/>
    <mergeCell ref="C97:C98"/>
    <mergeCell ref="D4:D8"/>
    <mergeCell ref="D13:D16"/>
    <mergeCell ref="D95:D96"/>
    <mergeCell ref="D97:D98"/>
    <mergeCell ref="E4:E8"/>
    <mergeCell ref="E13:E16"/>
    <mergeCell ref="E31:E35"/>
    <mergeCell ref="E41:E56"/>
    <mergeCell ref="E57:E59"/>
    <mergeCell ref="E60:E62"/>
    <mergeCell ref="E63:E64"/>
    <mergeCell ref="E95:E96"/>
    <mergeCell ref="E97:E98"/>
  </mergeCells>
  <printOptions horizontalCentered="1"/>
  <pageMargins left="0.511805555555556" right="0.314583333333333" top="0.354166666666667" bottom="0.590277777777778" header="0.314583333333333" footer="0.314583333333333"/>
  <pageSetup paperSize="9" scale="10" orientation="portrait"/>
  <headerFooter>
    <oddFooter>&amp;L&amp;D&amp;CVolume 4 of 10&amp;R&amp;P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E105E6-A3BD-43EE-8479-25C759C99251}">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Dashboard</vt:lpstr>
      <vt:lpstr>Summary Report</vt:lpstr>
      <vt:lpstr>Vol 4 (S)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Norhasnina Taib</dc:creator>
  <cp:lastModifiedBy>梁亮</cp:lastModifiedBy>
  <dcterms:created xsi:type="dcterms:W3CDTF">2006-09-16T00:00:00Z</dcterms:created>
  <dcterms:modified xsi:type="dcterms:W3CDTF">2026-04-18T02:04:27Z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B93F11CFBB5649729CC8BCF16FD2BB76_13</vt:lpwstr>
  </property>
  <property fmtid="{D5CDD505-2E9C-101B-9397-08002B2CF9AE}" pid="4" name="KSOReadingLayout">
    <vt:bool>true</vt:bool>
  </property>
  <property fmtid="{D5CDD505-2E9C-101B-9397-08002B2CF9AE}" pid="5" name="CalculationRule">
    <vt:i4>0</vt:i4>
  </property>
</Properties>
</file>