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activeTab="1"/>
  </bookViews>
  <sheets>
    <sheet name="Free Issued" sheetId="5" r:id="rId1"/>
    <sheet name="PCC Purchased" sheetId="8" r:id="rId2"/>
    <sheet name="乙供钢结构" sheetId="7" state="hidden" r:id="rId3"/>
    <sheet name="Sheet1" sheetId="6" state="hidden" r:id="rId4"/>
  </sheets>
  <definedNames>
    <definedName name="_xlnm._FilterDatabase" localSheetId="0" hidden="1">'Free Issued'!$A$2:$Q$40</definedName>
    <definedName name="_xlnm._FilterDatabase" localSheetId="1" hidden="1">'PCC Purchased'!$A$2:$P$121</definedName>
    <definedName name="_xlnm.Print_Area" localSheetId="0">'Free Issued'!$A$1:$P$42</definedName>
    <definedName name="_xlnm.Print_Area" localSheetId="1">'PCC Purchased'!$A$1:$P$53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G20" authorId="0">
      <text>
        <r>
          <rPr>
            <sz val="9"/>
            <rFont val="宋体"/>
            <charset val="134"/>
          </rPr>
          <t xml:space="preserve">订舱号
</t>
        </r>
      </text>
    </comment>
    <comment ref="J31" authorId="0">
      <text>
        <r>
          <rPr>
            <sz val="9"/>
            <rFont val="宋体"/>
            <charset val="134"/>
          </rPr>
          <t xml:space="preserve">船期推迟
</t>
        </r>
      </text>
    </comment>
  </commentList>
</comments>
</file>

<file path=xl/sharedStrings.xml><?xml version="1.0" encoding="utf-8"?>
<sst xmlns="http://schemas.openxmlformats.org/spreadsheetml/2006/main" count="2316" uniqueCount="1101">
  <si>
    <r>
      <rPr>
        <b/>
        <sz val="14"/>
        <color rgb="FF000000"/>
        <rFont val="宋体"/>
        <charset val="204"/>
      </rPr>
      <t>甲供工程主材物流状态跟踪表</t>
    </r>
    <r>
      <rPr>
        <b/>
        <sz val="14"/>
        <color rgb="FF000000"/>
        <rFont val="Arial"/>
        <charset val="204"/>
      </rPr>
      <t>Logistics Status Report (Party A)</t>
    </r>
  </si>
  <si>
    <r>
      <rPr>
        <b/>
        <sz val="10"/>
        <color rgb="FF000000"/>
        <rFont val="宋体"/>
        <charset val="204"/>
      </rPr>
      <t>序号</t>
    </r>
    <r>
      <rPr>
        <b/>
        <sz val="10"/>
        <color rgb="FF000000"/>
        <rFont val="Arial"/>
        <charset val="204"/>
      </rPr>
      <t>Tag No.</t>
    </r>
  </si>
  <si>
    <r>
      <rPr>
        <b/>
        <sz val="10"/>
        <color rgb="FF000000"/>
        <rFont val="宋体"/>
        <charset val="204"/>
      </rPr>
      <t>发货方</t>
    </r>
    <r>
      <rPr>
        <b/>
        <sz val="10"/>
        <color rgb="FF000000"/>
        <rFont val="Arial"/>
        <charset val="204"/>
      </rPr>
      <t>Shipper</t>
    </r>
  </si>
  <si>
    <r>
      <rPr>
        <b/>
        <sz val="10"/>
        <color rgb="FF000000"/>
        <rFont val="宋体"/>
        <charset val="204"/>
      </rPr>
      <t>批次</t>
    </r>
    <r>
      <rPr>
        <b/>
        <sz val="10"/>
        <color rgb="FF000000"/>
        <rFont val="Arial"/>
        <charset val="204"/>
      </rPr>
      <t>Batch</t>
    </r>
  </si>
  <si>
    <t>shipment</t>
  </si>
  <si>
    <r>
      <rPr>
        <b/>
        <sz val="10"/>
        <color rgb="FF000000"/>
        <rFont val="宋体"/>
        <charset val="204"/>
      </rPr>
      <t>船名航次</t>
    </r>
    <r>
      <rPr>
        <b/>
        <sz val="10"/>
        <color rgb="FF000000"/>
        <rFont val="Arial"/>
        <charset val="204"/>
      </rPr>
      <t>Vessel/Voyage</t>
    </r>
  </si>
  <si>
    <r>
      <rPr>
        <b/>
        <sz val="10"/>
        <color rgb="FF000000"/>
        <rFont val="宋体"/>
        <charset val="204"/>
      </rPr>
      <t>运输方式</t>
    </r>
    <r>
      <rPr>
        <b/>
        <sz val="10"/>
        <color rgb="FF000000"/>
        <rFont val="Arial"/>
        <charset val="204"/>
      </rPr>
      <t>Shipping way</t>
    </r>
  </si>
  <si>
    <r>
      <rPr>
        <b/>
        <sz val="10"/>
        <color rgb="FF000000"/>
        <rFont val="宋体"/>
        <charset val="204"/>
      </rPr>
      <t>提单号</t>
    </r>
    <r>
      <rPr>
        <b/>
        <sz val="10"/>
        <color rgb="FF000000"/>
        <rFont val="Arial"/>
        <charset val="204"/>
      </rPr>
      <t>B/L No.</t>
    </r>
  </si>
  <si>
    <r>
      <rPr>
        <b/>
        <sz val="10"/>
        <color rgb="FF000000"/>
        <rFont val="宋体"/>
        <charset val="204"/>
      </rPr>
      <t>启运港</t>
    </r>
    <r>
      <rPr>
        <b/>
        <sz val="10"/>
        <color rgb="FF000000"/>
        <rFont val="Arial"/>
        <charset val="204"/>
      </rPr>
      <t>Port of departure</t>
    </r>
  </si>
  <si>
    <r>
      <rPr>
        <b/>
        <sz val="10"/>
        <color rgb="FF000000"/>
        <rFont val="宋体"/>
        <charset val="204"/>
      </rPr>
      <t>目的港</t>
    </r>
    <r>
      <rPr>
        <b/>
        <sz val="10"/>
        <color rgb="FF000000"/>
        <rFont val="Arial"/>
        <charset val="204"/>
      </rPr>
      <t>Port of destination</t>
    </r>
  </si>
  <si>
    <r>
      <rPr>
        <b/>
        <sz val="10"/>
        <color rgb="FF000000"/>
        <rFont val="宋体"/>
        <charset val="204"/>
      </rPr>
      <t>离港时间</t>
    </r>
    <r>
      <rPr>
        <b/>
        <sz val="10"/>
        <color rgb="FF000000"/>
        <rFont val="Arial"/>
        <charset val="204"/>
      </rPr>
      <t>Departure date</t>
    </r>
  </si>
  <si>
    <r>
      <rPr>
        <b/>
        <sz val="10"/>
        <color rgb="FF000000"/>
        <rFont val="宋体"/>
        <charset val="204"/>
      </rPr>
      <t>到港时间</t>
    </r>
    <r>
      <rPr>
        <b/>
        <sz val="10"/>
        <color rgb="FF000000"/>
        <rFont val="Arial"/>
        <charset val="204"/>
      </rPr>
      <t>Arrival date</t>
    </r>
  </si>
  <si>
    <r>
      <rPr>
        <b/>
        <sz val="10"/>
        <color rgb="FF000000"/>
        <rFont val="宋体"/>
        <charset val="204"/>
      </rPr>
      <t>到达现场时间</t>
    </r>
    <r>
      <rPr>
        <b/>
        <sz val="10"/>
        <color rgb="FF000000"/>
        <rFont val="Arial"/>
        <charset val="204"/>
      </rPr>
      <t>Arrive to site</t>
    </r>
  </si>
  <si>
    <r>
      <rPr>
        <b/>
        <sz val="10"/>
        <color rgb="FF000000"/>
        <rFont val="宋体"/>
        <charset val="204"/>
      </rPr>
      <t>目前状态</t>
    </r>
    <r>
      <rPr>
        <b/>
        <sz val="10"/>
        <color rgb="FF000000"/>
        <rFont val="Arial"/>
        <charset val="204"/>
      </rPr>
      <t>Status</t>
    </r>
  </si>
  <si>
    <r>
      <rPr>
        <b/>
        <sz val="9"/>
        <color rgb="FF000000"/>
        <rFont val="宋体"/>
        <charset val="204"/>
      </rPr>
      <t>货物类别</t>
    </r>
    <r>
      <rPr>
        <b/>
        <sz val="9"/>
        <color rgb="FF000000"/>
        <rFont val="Arial"/>
        <charset val="204"/>
      </rPr>
      <t>Goods category</t>
    </r>
  </si>
  <si>
    <r>
      <rPr>
        <b/>
        <sz val="9"/>
        <color rgb="FF000000"/>
        <rFont val="宋体"/>
        <charset val="204"/>
      </rPr>
      <t>货物件数</t>
    </r>
    <r>
      <rPr>
        <b/>
        <sz val="9"/>
        <color rgb="FF000000"/>
        <rFont val="Arial"/>
        <charset val="204"/>
      </rPr>
      <t>Package quantity</t>
    </r>
  </si>
  <si>
    <r>
      <rPr>
        <b/>
        <sz val="9"/>
        <color rgb="FF000000"/>
        <rFont val="宋体"/>
        <charset val="204"/>
      </rPr>
      <t>备注</t>
    </r>
    <r>
      <rPr>
        <b/>
        <sz val="9"/>
        <color rgb="FF000000"/>
        <rFont val="Arial"/>
        <charset val="204"/>
      </rPr>
      <t>Notes</t>
    </r>
  </si>
  <si>
    <t>1</t>
  </si>
  <si>
    <r>
      <rPr>
        <sz val="9"/>
        <color rgb="FF000000"/>
        <rFont val="宋体"/>
        <charset val="204"/>
      </rPr>
      <t>甲供</t>
    </r>
    <r>
      <rPr>
        <sz val="9"/>
        <color rgb="FF000000"/>
        <rFont val="Arial"/>
        <charset val="204"/>
      </rPr>
      <t>Party A</t>
    </r>
  </si>
  <si>
    <t>Batch 1</t>
  </si>
  <si>
    <t>Ship 1</t>
  </si>
  <si>
    <t>MV HANYI/2408E</t>
  </si>
  <si>
    <r>
      <rPr>
        <sz val="9"/>
        <color rgb="FF000000"/>
        <rFont val="宋体"/>
        <charset val="204"/>
      </rPr>
      <t>重吊船</t>
    </r>
    <r>
      <rPr>
        <sz val="9"/>
        <color rgb="FF000000"/>
        <rFont val="Arial"/>
        <charset val="204"/>
      </rPr>
      <t>Heavy cargo ship</t>
    </r>
  </si>
  <si>
    <t>HY2408ESHATAN01~11</t>
  </si>
  <si>
    <r>
      <rPr>
        <sz val="9"/>
        <color rgb="FF000000"/>
        <rFont val="宋体"/>
        <charset val="204"/>
      </rPr>
      <t>上海龙吴</t>
    </r>
    <r>
      <rPr>
        <sz val="9"/>
        <color rgb="FF000000"/>
        <rFont val="Arial"/>
        <charset val="204"/>
      </rPr>
      <t>Shanghai Longwu</t>
    </r>
  </si>
  <si>
    <t>TLP</t>
  </si>
  <si>
    <t>2024/3/27</t>
  </si>
  <si>
    <t>2024/4/6</t>
  </si>
  <si>
    <t>2024/4/6~8</t>
  </si>
  <si>
    <r>
      <rPr>
        <sz val="9"/>
        <color rgb="FF000000"/>
        <rFont val="宋体"/>
        <charset val="204"/>
      </rPr>
      <t>已完成</t>
    </r>
  </si>
  <si>
    <r>
      <rPr>
        <sz val="9"/>
        <color rgb="FF000000"/>
        <rFont val="宋体"/>
        <charset val="204"/>
      </rPr>
      <t>设备</t>
    </r>
  </si>
  <si>
    <r>
      <rPr>
        <sz val="9"/>
        <color rgb="FF000000"/>
        <rFont val="Arial"/>
        <charset val="204"/>
      </rPr>
      <t>155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</si>
  <si>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11</t>
    </r>
    <r>
      <rPr>
        <sz val="9"/>
        <color rgb="FF000000"/>
        <rFont val="宋体"/>
        <charset val="204"/>
      </rPr>
      <t>票，</t>
    </r>
    <r>
      <rPr>
        <sz val="9"/>
        <color rgb="FF000000"/>
        <rFont val="Arial"/>
        <charset val="204"/>
      </rPr>
      <t>7</t>
    </r>
    <r>
      <rPr>
        <sz val="9"/>
        <color rgb="FF000000"/>
        <rFont val="宋体"/>
        <charset val="204"/>
      </rPr>
      <t>家供应商</t>
    </r>
  </si>
  <si>
    <t>2</t>
  </si>
  <si>
    <t>Batch 2</t>
  </si>
  <si>
    <t>MV MM AMBER V.10-4861</t>
  </si>
  <si>
    <r>
      <rPr>
        <sz val="9"/>
        <color rgb="FF000000"/>
        <rFont val="宋体"/>
        <charset val="204"/>
      </rPr>
      <t>散杂船</t>
    </r>
    <r>
      <rPr>
        <sz val="9"/>
        <color rgb="FF000000"/>
        <rFont val="Arial"/>
        <charset val="204"/>
      </rPr>
      <t>Bulk cargo ship</t>
    </r>
  </si>
  <si>
    <t>104861ZJG103</t>
  </si>
  <si>
    <r>
      <rPr>
        <sz val="9"/>
        <color rgb="FF000000"/>
        <rFont val="宋体"/>
        <charset val="204"/>
      </rPr>
      <t>张家港港新</t>
    </r>
    <r>
      <rPr>
        <sz val="9"/>
        <color rgb="FF000000"/>
        <rFont val="Arial"/>
        <charset val="204"/>
      </rPr>
      <t>Gangxin ZhangJiagang</t>
    </r>
  </si>
  <si>
    <t>Pasir Gudang</t>
  </si>
  <si>
    <t>2024/4/9</t>
  </si>
  <si>
    <t>2024/4/17</t>
  </si>
  <si>
    <t>2024/4/20</t>
  </si>
  <si>
    <r>
      <rPr>
        <sz val="9"/>
        <color rgb="FF000000"/>
        <rFont val="Arial"/>
        <charset val="204"/>
      </rPr>
      <t>22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</si>
  <si>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票，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家供应商</t>
    </r>
  </si>
  <si>
    <t>3</t>
  </si>
  <si>
    <t>Ship 2</t>
  </si>
  <si>
    <r>
      <rPr>
        <sz val="9"/>
        <color rgb="FF000000"/>
        <rFont val="Arial"/>
        <charset val="204"/>
      </rPr>
      <t>MV  MIMASAKA</t>
    </r>
    <r>
      <rPr>
        <sz val="9"/>
        <color rgb="FF000000"/>
        <rFont val="宋体"/>
        <charset val="204"/>
      </rPr>
      <t>Ⅲ</t>
    </r>
    <r>
      <rPr>
        <sz val="9"/>
        <color rgb="FF000000"/>
        <rFont val="Arial"/>
        <charset val="204"/>
      </rPr>
      <t xml:space="preserve">/9562831 </t>
    </r>
  </si>
  <si>
    <t>MMS24128SHATLA01 MMS24128SHATLA02 MMS24128SHATLA03 MMS24128SHATLA05 MMS24128SHATLA06 MMS24128SHATLA07 MMS24128SHATLA08 MMS24128SHATLA09</t>
  </si>
  <si>
    <r>
      <rPr>
        <sz val="9"/>
        <color rgb="FF000000"/>
        <rFont val="宋体"/>
        <charset val="204"/>
      </rPr>
      <t>上海十区</t>
    </r>
    <r>
      <rPr>
        <sz val="9"/>
        <color rgb="FF000000"/>
        <rFont val="Arial"/>
        <charset val="204"/>
      </rPr>
      <t>Shanghai 10 Area</t>
    </r>
  </si>
  <si>
    <t>2024/4/19</t>
  </si>
  <si>
    <t>2024/5/3</t>
  </si>
  <si>
    <r>
      <rPr>
        <sz val="9"/>
        <color rgb="FF000000"/>
        <rFont val="Arial"/>
        <charset val="204"/>
      </rPr>
      <t>112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</si>
  <si>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7</t>
    </r>
    <r>
      <rPr>
        <sz val="9"/>
        <color rgb="FF000000"/>
        <rFont val="宋体"/>
        <charset val="204"/>
      </rPr>
      <t>家供应商</t>
    </r>
  </si>
  <si>
    <t>4</t>
  </si>
  <si>
    <t>Batch 3</t>
  </si>
  <si>
    <r>
      <rPr>
        <sz val="9"/>
        <color rgb="FF000000"/>
        <rFont val="Arial"/>
        <charset val="204"/>
      </rPr>
      <t>MV YUZHOUQIHANG</t>
    </r>
    <r>
      <rPr>
        <sz val="9"/>
        <color rgb="FF000000"/>
        <rFont val="宋体"/>
        <charset val="204"/>
      </rPr>
      <t>钰洲启航</t>
    </r>
  </si>
  <si>
    <r>
      <rPr>
        <sz val="9"/>
        <color rgb="FF000000"/>
        <rFont val="宋体"/>
        <charset val="204"/>
      </rPr>
      <t>滚装船</t>
    </r>
    <r>
      <rPr>
        <sz val="9"/>
        <color rgb="FF000000"/>
        <rFont val="Arial"/>
        <charset val="204"/>
      </rPr>
      <t>Ro-ro ship</t>
    </r>
  </si>
  <si>
    <t>YZQH2024ZJG003 YZQH2404ZJG004 YZQH2024ZJG006</t>
  </si>
  <si>
    <r>
      <rPr>
        <sz val="9"/>
        <color rgb="FF000000"/>
        <rFont val="宋体"/>
        <charset val="204"/>
      </rPr>
      <t>靖江</t>
    </r>
    <r>
      <rPr>
        <sz val="9"/>
        <color rgb="FF000000"/>
        <rFont val="Arial"/>
        <charset val="204"/>
      </rPr>
      <t>JingJiang</t>
    </r>
  </si>
  <si>
    <t>2024/5/24</t>
  </si>
  <si>
    <t>2024/5/25~</t>
  </si>
  <si>
    <t>制氢炉、加氢反应器、加热炉</t>
  </si>
  <si>
    <r>
      <rPr>
        <sz val="9"/>
        <color rgb="FF000000"/>
        <rFont val="Arial"/>
        <charset val="204"/>
      </rPr>
      <t>26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</si>
  <si>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票，</t>
    </r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家供应商</t>
    </r>
  </si>
  <si>
    <t>5</t>
  </si>
  <si>
    <t>MV MIKAWA</t>
  </si>
  <si>
    <t>MKW24166SHTJLG01~09</t>
  </si>
  <si>
    <r>
      <rPr>
        <sz val="9"/>
        <color rgb="FF000000"/>
        <rFont val="宋体"/>
        <charset val="204"/>
      </rPr>
      <t>上海</t>
    </r>
    <r>
      <rPr>
        <sz val="9"/>
        <color rgb="FF000000"/>
        <rFont val="Arial"/>
        <charset val="204"/>
      </rPr>
      <t>Shanghai</t>
    </r>
  </si>
  <si>
    <t>2024/5/10</t>
  </si>
  <si>
    <t>2024/5/18</t>
  </si>
  <si>
    <t>2024/5/18~22</t>
  </si>
  <si>
    <r>
      <rPr>
        <sz val="9"/>
        <color rgb="FF000000"/>
        <rFont val="Arial"/>
        <charset val="204"/>
      </rPr>
      <t>201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</si>
  <si>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9</t>
    </r>
    <r>
      <rPr>
        <sz val="9"/>
        <color rgb="FF000000"/>
        <rFont val="宋体"/>
        <charset val="204"/>
      </rPr>
      <t>票，</t>
    </r>
    <r>
      <rPr>
        <sz val="9"/>
        <color rgb="FF000000"/>
        <rFont val="Arial"/>
        <charset val="204"/>
      </rPr>
      <t>8</t>
    </r>
    <r>
      <rPr>
        <sz val="9"/>
        <color rgb="FF000000"/>
        <rFont val="宋体"/>
        <charset val="204"/>
      </rPr>
      <t>家供应商</t>
    </r>
  </si>
  <si>
    <t>6</t>
  </si>
  <si>
    <t>Batch 4</t>
  </si>
  <si>
    <t>EVER BLISS 1973-087S</t>
  </si>
  <si>
    <r>
      <rPr>
        <sz val="9"/>
        <color rgb="FF000000"/>
        <rFont val="宋体"/>
        <charset val="204"/>
      </rPr>
      <t>集装箱</t>
    </r>
    <r>
      <rPr>
        <sz val="9"/>
        <color rgb="FF000000"/>
        <rFont val="Arial"/>
        <charset val="204"/>
      </rPr>
      <t>Container ship</t>
    </r>
  </si>
  <si>
    <t>EGLV142401262734</t>
  </si>
  <si>
    <t>2024/5/17</t>
  </si>
  <si>
    <t>2024/5/23</t>
  </si>
  <si>
    <t>2024/5/28</t>
  </si>
  <si>
    <r>
      <rPr>
        <sz val="9"/>
        <color rgb="FF000000"/>
        <rFont val="宋体"/>
        <charset val="204"/>
      </rPr>
      <t>压滤机</t>
    </r>
  </si>
  <si>
    <t>2x40GP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</si>
  <si>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家供应商，隆源</t>
    </r>
  </si>
  <si>
    <t>7</t>
  </si>
  <si>
    <t>SEASPAN LUMACO 420S</t>
  </si>
  <si>
    <t>MAEU278528630 MAEU278528629
MAEU278528627</t>
  </si>
  <si>
    <t>2024/5/21</t>
  </si>
  <si>
    <t>2024/6/6</t>
  </si>
  <si>
    <t>2024/6/13</t>
  </si>
  <si>
    <r>
      <rPr>
        <sz val="9"/>
        <color rgb="FF000000"/>
        <rFont val="宋体"/>
        <charset val="204"/>
      </rPr>
      <t>混合器、安全阀、不锈钢阀门</t>
    </r>
  </si>
  <si>
    <t>2x40GP+1x40GP+3x40HQ</t>
  </si>
  <si>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家供应商，阿法拉伐、阀泰、凯斯通</t>
    </r>
  </si>
  <si>
    <t>8</t>
  </si>
  <si>
    <t>MAEU278528628</t>
  </si>
  <si>
    <r>
      <rPr>
        <sz val="9"/>
        <color rgb="FF000000"/>
        <rFont val="宋体"/>
        <charset val="204"/>
      </rPr>
      <t>泵</t>
    </r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</si>
  <si>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家供应商，里瓦</t>
    </r>
  </si>
  <si>
    <t>9</t>
  </si>
  <si>
    <t>Batch 5</t>
  </si>
  <si>
    <t>REN JIAN 15 V.422S</t>
  </si>
  <si>
    <t>MAEU278528872</t>
  </si>
  <si>
    <t>2024/6/8</t>
  </si>
  <si>
    <t>2024/6/25</t>
  </si>
  <si>
    <t>2024/6/28</t>
  </si>
  <si>
    <r>
      <rPr>
        <sz val="9"/>
        <color rgb="FF000000"/>
        <rFont val="宋体"/>
        <charset val="204"/>
      </rPr>
      <t>阀门</t>
    </r>
  </si>
  <si>
    <t>3x40HQ</t>
  </si>
  <si>
    <r>
      <rPr>
        <sz val="9"/>
        <color rgb="FF000000"/>
        <rFont val="宋体"/>
        <charset val="204"/>
      </rPr>
      <t>凯斯通</t>
    </r>
  </si>
  <si>
    <t>10</t>
  </si>
  <si>
    <r>
      <rPr>
        <sz val="9"/>
        <rFont val="Arial"/>
        <charset val="204"/>
      </rPr>
      <t>MV.NAGAMOTO(</t>
    </r>
    <r>
      <rPr>
        <sz val="9"/>
        <rFont val="宋体"/>
        <charset val="204"/>
      </rPr>
      <t>永源</t>
    </r>
    <r>
      <rPr>
        <sz val="9"/>
        <rFont val="Arial"/>
        <charset val="204"/>
      </rPr>
      <t>) </t>
    </r>
  </si>
  <si>
    <t>NG24228SHATLA01/02~12</t>
  </si>
  <si>
    <r>
      <rPr>
        <sz val="9"/>
        <color rgb="FF000000"/>
        <rFont val="Arial"/>
        <charset val="204"/>
      </rPr>
      <t>上海九区</t>
    </r>
    <r>
      <rPr>
        <sz val="9"/>
        <color rgb="FF000000"/>
        <rFont val="Arial"/>
        <charset val="204"/>
      </rPr>
      <t>Shanghai 9 Area</t>
    </r>
  </si>
  <si>
    <t>2024/7/4</t>
  </si>
  <si>
    <t>2024/7/5~14</t>
  </si>
  <si>
    <t>已完成</t>
  </si>
  <si>
    <t>设备、压缩机、第一批罐板</t>
  </si>
  <si>
    <r>
      <rPr>
        <sz val="9"/>
        <color rgb="FF000000"/>
        <rFont val="Arial"/>
        <charset val="204"/>
      </rPr>
      <t>443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</si>
  <si>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10</t>
    </r>
    <r>
      <rPr>
        <sz val="9"/>
        <color rgb="FF000000"/>
        <rFont val="宋体"/>
        <charset val="204"/>
      </rPr>
      <t>家供应商</t>
    </r>
    <r>
      <rPr>
        <sz val="9"/>
        <color rgb="FF000000"/>
        <rFont val="Arial"/>
        <charset val="204"/>
      </rPr>
      <t>,11</t>
    </r>
    <r>
      <rPr>
        <sz val="9"/>
        <color rgb="FF000000"/>
        <rFont val="宋体"/>
        <charset val="204"/>
      </rPr>
      <t>票</t>
    </r>
  </si>
  <si>
    <t>11</t>
  </si>
  <si>
    <t>Ship 3</t>
  </si>
  <si>
    <t>SITC YUNCHENG V.2407S</t>
  </si>
  <si>
    <t>757410435631</t>
  </si>
  <si>
    <t>2024/6/24</t>
  </si>
  <si>
    <t>2024/7/10</t>
  </si>
  <si>
    <t>2024/7/13</t>
  </si>
  <si>
    <r>
      <rPr>
        <sz val="9"/>
        <color rgb="FF000000"/>
        <rFont val="宋体"/>
        <charset val="204"/>
      </rPr>
      <t>压缩机</t>
    </r>
  </si>
  <si>
    <t>1x40OT+2x40HQ</t>
  </si>
  <si>
    <r>
      <rPr>
        <sz val="9"/>
        <color rgb="FF000000"/>
        <rFont val="宋体"/>
        <charset val="204"/>
      </rPr>
      <t>复盛易利达</t>
    </r>
  </si>
  <si>
    <t>12</t>
  </si>
  <si>
    <t>Ship 4</t>
  </si>
  <si>
    <t>MCC SHENZHEN 425W</t>
  </si>
  <si>
    <t>241281934</t>
  </si>
  <si>
    <t>2024/6/30</t>
  </si>
  <si>
    <t>2024/7/16</t>
  </si>
  <si>
    <t>2024/8/1</t>
  </si>
  <si>
    <t>18x40HQ</t>
  </si>
  <si>
    <r>
      <rPr>
        <sz val="9"/>
        <color rgb="FF000000"/>
        <rFont val="宋体"/>
        <charset val="204"/>
      </rPr>
      <t>远大</t>
    </r>
  </si>
  <si>
    <t>13</t>
  </si>
  <si>
    <t>CIF 1</t>
  </si>
  <si>
    <t xml:space="preserve">PEYTON LYNN C 060 </t>
  </si>
  <si>
    <t>VEJS24087221</t>
  </si>
  <si>
    <t>COPENHAGEN</t>
  </si>
  <si>
    <t>2024/8/4</t>
  </si>
  <si>
    <t>2024/8/9</t>
  </si>
  <si>
    <r>
      <rPr>
        <sz val="9"/>
        <color rgb="FF000000"/>
        <rFont val="Arial"/>
        <charset val="204"/>
      </rPr>
      <t>4</t>
    </r>
    <r>
      <rPr>
        <sz val="9"/>
        <color rgb="FF000000"/>
        <rFont val="宋体"/>
        <charset val="204"/>
      </rPr>
      <t>台卧螺离心机</t>
    </r>
  </si>
  <si>
    <t>4x40HC</t>
  </si>
  <si>
    <t>Alfa Laval(Demark)</t>
  </si>
  <si>
    <t>14</t>
  </si>
  <si>
    <t>CIF 2</t>
  </si>
  <si>
    <t>MERETE MAERSK / 423E</t>
  </si>
  <si>
    <t>STO0181738</t>
  </si>
  <si>
    <t>GOTHENBURG</t>
  </si>
  <si>
    <t>2024/6/4</t>
  </si>
  <si>
    <t>2024/8/10</t>
  </si>
  <si>
    <t>2024/8/17</t>
  </si>
  <si>
    <r>
      <rPr>
        <sz val="9"/>
        <color rgb="FF000000"/>
        <rFont val="Arial"/>
        <charset val="204"/>
      </rPr>
      <t>6</t>
    </r>
    <r>
      <rPr>
        <sz val="9"/>
        <color rgb="FF000000"/>
        <rFont val="宋体"/>
        <charset val="204"/>
      </rPr>
      <t>台碟式离心机</t>
    </r>
  </si>
  <si>
    <t>1x20DC+1x40DC</t>
  </si>
  <si>
    <t>Alfa Laval(Sweden)</t>
  </si>
  <si>
    <t>15</t>
  </si>
  <si>
    <t>CIF 3</t>
  </si>
  <si>
    <t>WAN HAI 369 / E004</t>
  </si>
  <si>
    <t>BOMS24098678</t>
  </si>
  <si>
    <t>NHAVA SHEVA</t>
  </si>
  <si>
    <t>2024/7/17</t>
  </si>
  <si>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台废渣卧螺离心机</t>
    </r>
  </si>
  <si>
    <t>1x40GP</t>
  </si>
  <si>
    <t>Alfa Laval(India)</t>
  </si>
  <si>
    <t>16</t>
  </si>
  <si>
    <t>CIF 4</t>
  </si>
  <si>
    <t>HANNAH SCHULTE V.0034S</t>
  </si>
  <si>
    <t>SITGSHAUK85197</t>
  </si>
  <si>
    <t>2024/7/22</t>
  </si>
  <si>
    <t>2024/8/6</t>
  </si>
  <si>
    <t>2024/8/13</t>
  </si>
  <si>
    <t>碟式离心机配件</t>
  </si>
  <si>
    <t>Alfa Laval(China)</t>
  </si>
  <si>
    <t>17</t>
  </si>
  <si>
    <t>CIF 5</t>
  </si>
  <si>
    <t>/</t>
  </si>
  <si>
    <t xml:space="preserve"> PLO 26, JALAN CECAIR , JOHOR PORT, 81707, PASIR GUDANG JOHOR</t>
  </si>
  <si>
    <t>Plo 170, Mukim Sungai Tiram Taman Perindustrian Tanjung Langsat 81700 Pasir Gudang, Johor, Malaysia</t>
  </si>
  <si>
    <t>2024/8/19</t>
  </si>
  <si>
    <t>96台调节阀</t>
  </si>
  <si>
    <t xml:space="preserve">4 x 40ft </t>
  </si>
  <si>
    <t>Fisher(WSM)</t>
  </si>
  <si>
    <t>18</t>
  </si>
  <si>
    <t>CIF 6</t>
  </si>
  <si>
    <t>EVER BLISS 2022093S</t>
  </si>
  <si>
    <r>
      <rPr>
        <sz val="9"/>
        <rFont val="宋体"/>
        <charset val="204"/>
      </rPr>
      <t>集装箱</t>
    </r>
    <r>
      <rPr>
        <sz val="9"/>
        <rFont val="Arial"/>
        <charset val="204"/>
      </rPr>
      <t>Container ship</t>
    </r>
  </si>
  <si>
    <t>6402968340</t>
  </si>
  <si>
    <t xml:space="preserve">Houston </t>
  </si>
  <si>
    <t>2024/12/8</t>
  </si>
  <si>
    <t>17台进口开关阀</t>
  </si>
  <si>
    <t>4x40HQ+1x20GP</t>
  </si>
  <si>
    <t>栢励嵘ECO-MAS-HVO-C-I-22039</t>
  </si>
  <si>
    <t>19</t>
  </si>
  <si>
    <t>Batch 6</t>
  </si>
  <si>
    <t xml:space="preserve">MV. MIKAVA V.S24273 </t>
  </si>
  <si>
    <t>MKW24273CSTJLS01~15</t>
  </si>
  <si>
    <r>
      <rPr>
        <sz val="9"/>
        <color rgb="FF000000"/>
        <rFont val="宋体"/>
        <charset val="204"/>
      </rPr>
      <t>常熟</t>
    </r>
    <r>
      <rPr>
        <sz val="9"/>
        <color rgb="FF000000"/>
        <rFont val="Arial"/>
        <charset val="204"/>
      </rPr>
      <t>Changshu</t>
    </r>
  </si>
  <si>
    <t>2024/8/21</t>
  </si>
  <si>
    <t>2024/8/31</t>
  </si>
  <si>
    <t>2024/8/31~9/7</t>
  </si>
  <si>
    <t>第二批罐板、成套包设备等</t>
  </si>
  <si>
    <r>
      <rPr>
        <sz val="9"/>
        <color rgb="FF000000"/>
        <rFont val="Arial"/>
        <charset val="204"/>
      </rPr>
      <t>772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</si>
  <si>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14</t>
    </r>
    <r>
      <rPr>
        <sz val="9"/>
        <color rgb="FF000000"/>
        <rFont val="宋体"/>
        <charset val="204"/>
      </rPr>
      <t>家供应商</t>
    </r>
    <r>
      <rPr>
        <sz val="9"/>
        <color rgb="FF000000"/>
        <rFont val="Arial"/>
        <charset val="204"/>
      </rPr>
      <t>,16</t>
    </r>
    <r>
      <rPr>
        <sz val="9"/>
        <color rgb="FF000000"/>
        <rFont val="宋体"/>
        <charset val="204"/>
      </rPr>
      <t>票</t>
    </r>
  </si>
  <si>
    <t>20</t>
  </si>
  <si>
    <t>甲供Party A</t>
  </si>
  <si>
    <t>Batch 7</t>
  </si>
  <si>
    <t>SITC MAKASSAR/2414S</t>
  </si>
  <si>
    <t>SITGSHAU010002</t>
  </si>
  <si>
    <t>塔内件</t>
  </si>
  <si>
    <t>9x40HQ</t>
  </si>
  <si>
    <t>北京泽华</t>
  </si>
  <si>
    <t>21</t>
  </si>
  <si>
    <t>KMTC PENANG V.2408S</t>
  </si>
  <si>
    <t>SITGSHAU010004</t>
  </si>
  <si>
    <t>2024/8/16</t>
  </si>
  <si>
    <t>2024/8/27</t>
  </si>
  <si>
    <t>2024/8/30</t>
  </si>
  <si>
    <t>循环水系统</t>
  </si>
  <si>
    <t>11x40HQ+1x20GP+2x40OT</t>
  </si>
  <si>
    <t>江苏海鸥（330成套包）</t>
  </si>
  <si>
    <t>22</t>
  </si>
  <si>
    <t>HANNAH SCHULTE V0035S</t>
  </si>
  <si>
    <t>SITGSHAU010007</t>
  </si>
  <si>
    <t>2024/8/26</t>
  </si>
  <si>
    <t>2024/9/4</t>
  </si>
  <si>
    <t>2024/9/9</t>
  </si>
  <si>
    <t>流量计、变送器</t>
  </si>
  <si>
    <t>1x40HQ+1x20GP</t>
  </si>
  <si>
    <t>拼柜（张家港凯胜、伊米克、唯莫）</t>
  </si>
  <si>
    <t>23</t>
  </si>
  <si>
    <t>SITC YUNCHENG V.2409S</t>
  </si>
  <si>
    <t>SITGSHAU010005</t>
  </si>
  <si>
    <t>2024/8/24</t>
  </si>
  <si>
    <t>2024/9/5</t>
  </si>
  <si>
    <t>2024/9/9~9/13</t>
  </si>
  <si>
    <t>白土输送系统</t>
  </si>
  <si>
    <t>5x40HQ</t>
  </si>
  <si>
    <t>章鼓</t>
  </si>
  <si>
    <t>24</t>
  </si>
  <si>
    <t>Ship 5</t>
  </si>
  <si>
    <t>SITC MAKASSAR V.2415S</t>
  </si>
  <si>
    <t>SITGSHAU010011</t>
  </si>
  <si>
    <r>
      <rPr>
        <sz val="9"/>
        <rFont val="宋体"/>
        <charset val="204"/>
      </rPr>
      <t>上海</t>
    </r>
    <r>
      <rPr>
        <sz val="9"/>
        <rFont val="Arial"/>
        <charset val="204"/>
      </rPr>
      <t>Shanghai</t>
    </r>
  </si>
  <si>
    <t>2024/9/1</t>
  </si>
  <si>
    <t>2024/9/10</t>
  </si>
  <si>
    <t>2024/9/18~19</t>
  </si>
  <si>
    <t>DSC&amp;SIS</t>
  </si>
  <si>
    <t>艾默生ECO-MAS-HVO-C-I-22017</t>
  </si>
  <si>
    <t>25</t>
  </si>
  <si>
    <r>
      <rPr>
        <sz val="9"/>
        <rFont val="宋体"/>
        <charset val="204"/>
      </rPr>
      <t>甲供</t>
    </r>
    <r>
      <rPr>
        <sz val="9"/>
        <rFont val="Arial"/>
        <charset val="204"/>
      </rPr>
      <t>Party A</t>
    </r>
  </si>
  <si>
    <t>Batch 8</t>
  </si>
  <si>
    <t>MV VENUS</t>
  </si>
  <si>
    <r>
      <rPr>
        <sz val="9"/>
        <rFont val="宋体"/>
        <charset val="204"/>
      </rPr>
      <t>散货船</t>
    </r>
    <r>
      <rPr>
        <sz val="9"/>
        <rFont val="Arial"/>
        <charset val="204"/>
      </rPr>
      <t>Bulk Cargo ship</t>
    </r>
  </si>
  <si>
    <t xml:space="preserve">VN24328DGGPAG02/06/07
</t>
  </si>
  <si>
    <r>
      <rPr>
        <sz val="9"/>
        <rFont val="宋体"/>
        <charset val="204"/>
      </rPr>
      <t>东莞</t>
    </r>
    <r>
      <rPr>
        <sz val="9"/>
        <rFont val="Arial"/>
        <charset val="204"/>
      </rPr>
      <t>DongGuan</t>
    </r>
  </si>
  <si>
    <t>2024/9/18</t>
  </si>
  <si>
    <t>2024/9/24</t>
  </si>
  <si>
    <t>2024/9/25~9/27</t>
  </si>
  <si>
    <r>
      <rPr>
        <sz val="9"/>
        <rFont val="Arial"/>
        <charset val="204"/>
      </rPr>
      <t>390</t>
    </r>
    <r>
      <rPr>
        <sz val="9"/>
        <rFont val="宋体"/>
        <charset val="204"/>
      </rPr>
      <t>单元剩余设备、第三批预制罐板</t>
    </r>
  </si>
  <si>
    <t>34件</t>
  </si>
  <si>
    <t>柘科2票、AnnJoo1票</t>
  </si>
  <si>
    <t>26</t>
  </si>
  <si>
    <t>Batch 9</t>
  </si>
  <si>
    <t xml:space="preserve">Ship 1 </t>
  </si>
  <si>
    <t>SITC YUNCHENG V.2411S</t>
  </si>
  <si>
    <t>757410799290
SXPGC24104351</t>
  </si>
  <si>
    <t>2024/10/27</t>
  </si>
  <si>
    <t>开关阀</t>
  </si>
  <si>
    <t>4x40HQ</t>
  </si>
  <si>
    <t>上海自动化ECO-MAS-HVO-C-I-23013</t>
  </si>
  <si>
    <t>27</t>
  </si>
  <si>
    <t xml:space="preserve">Ship 2 </t>
  </si>
  <si>
    <t>YM COOPERATION V.039S</t>
  </si>
  <si>
    <t>SITGSHAU010015</t>
  </si>
  <si>
    <t>2024/11/8</t>
  </si>
  <si>
    <t>7x40HQ</t>
  </si>
  <si>
    <t>28</t>
  </si>
  <si>
    <t>质量流量计</t>
  </si>
  <si>
    <t>江苏圣若亚ECO-MAS-HVO-C-I-23015A(拼箱)</t>
  </si>
  <si>
    <t>29</t>
  </si>
  <si>
    <t xml:space="preserve">Ship 3 </t>
  </si>
  <si>
    <t>EVER BRAVE V.1991-077S</t>
  </si>
  <si>
    <r>
      <rPr>
        <sz val="9"/>
        <color theme="1"/>
        <rFont val="宋体"/>
        <charset val="204"/>
      </rPr>
      <t>集装箱</t>
    </r>
    <r>
      <rPr>
        <sz val="9"/>
        <color theme="1"/>
        <rFont val="Arial"/>
        <charset val="204"/>
      </rPr>
      <t>Container ship</t>
    </r>
  </si>
  <si>
    <t>EGLV142403113485</t>
  </si>
  <si>
    <r>
      <rPr>
        <sz val="9"/>
        <color theme="1"/>
        <rFont val="宋体"/>
        <charset val="204"/>
      </rPr>
      <t>上海</t>
    </r>
    <r>
      <rPr>
        <sz val="9"/>
        <color theme="1"/>
        <rFont val="Arial"/>
        <charset val="204"/>
      </rPr>
      <t>Shanghai</t>
    </r>
  </si>
  <si>
    <t>2024/9/27</t>
  </si>
  <si>
    <t>2024/10/3</t>
  </si>
  <si>
    <t>2024/10/19</t>
  </si>
  <si>
    <t>调节阀</t>
  </si>
  <si>
    <t>2x40HQ</t>
  </si>
  <si>
    <t>吴忠仪表ECO-MAS-HVO-C-I-23014</t>
  </si>
  <si>
    <t>30</t>
  </si>
  <si>
    <t xml:space="preserve">Ship 4 </t>
  </si>
  <si>
    <t>EVER VERA V.1994-003S</t>
  </si>
  <si>
    <t>142403123910</t>
  </si>
  <si>
    <t>2024/10/18</t>
  </si>
  <si>
    <t>程控阀（PCC合同外）</t>
  </si>
  <si>
    <t>1x40HQ</t>
  </si>
  <si>
    <t>上海汉兴ECO-MAS-CQ-C-E-22003-3</t>
  </si>
  <si>
    <t>31</t>
  </si>
  <si>
    <t>Batch 10</t>
  </si>
  <si>
    <t>SITC MAKASSAR 2502S</t>
  </si>
  <si>
    <t>KMTCSHAN498746</t>
  </si>
  <si>
    <t>2025/1/28</t>
  </si>
  <si>
    <r>
      <rPr>
        <sz val="9"/>
        <rFont val="Arial"/>
        <charset val="204"/>
      </rPr>
      <t>DI</t>
    </r>
    <r>
      <rPr>
        <sz val="9"/>
        <rFont val="宋体"/>
        <charset val="204"/>
      </rPr>
      <t>反渗透膜</t>
    </r>
  </si>
  <si>
    <t>1x20GP</t>
  </si>
  <si>
    <t>山东格瑞310成套包-ECRF01-310-PE-C-0001</t>
  </si>
  <si>
    <t>32</t>
  </si>
  <si>
    <t>Batch 11</t>
  </si>
  <si>
    <t>EVER VAST V.2020010S</t>
  </si>
  <si>
    <t>142500636102</t>
  </si>
  <si>
    <t>2025/4/6</t>
  </si>
  <si>
    <t>增补材料(PCC合同外）</t>
  </si>
  <si>
    <t>山东章鼓、北京泽华，1票</t>
  </si>
  <si>
    <t>33</t>
  </si>
  <si>
    <t>Batch 12</t>
  </si>
  <si>
    <t>EVER VERSE V.2025-001S</t>
  </si>
  <si>
    <t>142501056282</t>
  </si>
  <si>
    <t>2025/5/13</t>
  </si>
  <si>
    <t>吸附剂(PCC合同外）</t>
  </si>
  <si>
    <t>34</t>
  </si>
  <si>
    <t>OOCL BELGIUM 608S</t>
  </si>
  <si>
    <t>OOLU2158764000</t>
  </si>
  <si>
    <t>2025/5/29</t>
  </si>
  <si>
    <r>
      <rPr>
        <sz val="9"/>
        <rFont val="宋体"/>
        <charset val="204"/>
      </rPr>
      <t>上海汉兴ECO-MAS-CQ-C-E-22003-3</t>
    </r>
    <r>
      <rPr>
        <sz val="9"/>
        <color rgb="FFFF0000"/>
        <rFont val="宋体"/>
        <charset val="204"/>
      </rPr>
      <t>，活性炭</t>
    </r>
  </si>
  <si>
    <t>35</t>
  </si>
  <si>
    <t>Batch 13</t>
  </si>
  <si>
    <t>D7331</t>
  </si>
  <si>
    <r>
      <rPr>
        <sz val="9"/>
        <rFont val="宋体"/>
        <charset val="204"/>
      </rPr>
      <t>空运</t>
    </r>
    <r>
      <rPr>
        <sz val="9"/>
        <rFont val="Arial"/>
        <charset val="204"/>
      </rPr>
      <t>Air</t>
    </r>
  </si>
  <si>
    <t>843-15352805</t>
  </si>
  <si>
    <t>KUL</t>
  </si>
  <si>
    <t>2025/6/13</t>
  </si>
  <si>
    <t>加热炉自动点火系统(PCC合同外）</t>
  </si>
  <si>
    <t>1185kg</t>
  </si>
  <si>
    <t>托普</t>
  </si>
  <si>
    <t>36</t>
  </si>
  <si>
    <t>Batch 14</t>
  </si>
  <si>
    <t>OOCL BELGIUM V.609S</t>
  </si>
  <si>
    <t>OOLU2159537490</t>
  </si>
  <si>
    <t>2025/6/22</t>
  </si>
  <si>
    <t>HVO加药装置（PCC合同外）</t>
  </si>
  <si>
    <t>1x20FR</t>
  </si>
  <si>
    <t>里瓦ECO-MAS-HVO-C-E-22035</t>
  </si>
  <si>
    <t>37</t>
  </si>
  <si>
    <t>Batch 15</t>
  </si>
  <si>
    <t>O37605</t>
  </si>
  <si>
    <r>
      <rPr>
        <sz val="9"/>
        <rFont val="宋体"/>
        <charset val="204"/>
      </rPr>
      <t>深圳</t>
    </r>
    <r>
      <rPr>
        <sz val="9"/>
        <rFont val="Arial"/>
        <charset val="204"/>
      </rPr>
      <t>ShenZhen</t>
    </r>
  </si>
  <si>
    <t>2025/7/2</t>
  </si>
  <si>
    <t>2025/7/5</t>
  </si>
  <si>
    <r>
      <rPr>
        <sz val="9"/>
        <color rgb="FF000000"/>
        <rFont val="宋体"/>
        <charset val="204"/>
      </rPr>
      <t>气动开关蝶阀（</t>
    </r>
    <r>
      <rPr>
        <sz val="9"/>
        <color rgb="FF000000"/>
        <rFont val="Arial"/>
        <charset val="204"/>
      </rPr>
      <t>PCC</t>
    </r>
    <r>
      <rPr>
        <sz val="9"/>
        <color rgb="FF000000"/>
        <rFont val="宋体"/>
        <charset val="204"/>
      </rPr>
      <t>合同外）</t>
    </r>
  </si>
  <si>
    <t>417kg</t>
  </si>
  <si>
    <t>上海自动化（灰清）</t>
  </si>
  <si>
    <t>38</t>
  </si>
  <si>
    <t>Batch 16</t>
  </si>
  <si>
    <t>Ship 1-DAP</t>
  </si>
  <si>
    <r>
      <rPr>
        <sz val="9"/>
        <color rgb="FFFF0000"/>
        <rFont val="宋体"/>
        <charset val="204"/>
      </rPr>
      <t>集装箱</t>
    </r>
    <r>
      <rPr>
        <sz val="9"/>
        <color rgb="FFFF0000"/>
        <rFont val="Arial"/>
        <charset val="204"/>
      </rPr>
      <t>Container ship</t>
    </r>
  </si>
  <si>
    <r>
      <rPr>
        <sz val="9"/>
        <color rgb="FFFF0000"/>
        <rFont val="宋体"/>
        <charset val="204"/>
      </rPr>
      <t>上海</t>
    </r>
    <r>
      <rPr>
        <sz val="9"/>
        <color rgb="FFFF0000"/>
        <rFont val="Arial"/>
        <charset val="204"/>
      </rPr>
      <t>Shanghai</t>
    </r>
  </si>
  <si>
    <t>等需要时再安排</t>
  </si>
  <si>
    <t>生产中</t>
  </si>
  <si>
    <t>催化剂(PCC合同外）</t>
  </si>
  <si>
    <t>ECO-MAS-HVO-C-M-22038</t>
  </si>
  <si>
    <r>
      <rPr>
        <b/>
        <sz val="14"/>
        <color rgb="FF000000"/>
        <rFont val="宋体"/>
        <charset val="204"/>
      </rPr>
      <t>乙供工程主材物流状态跟踪表</t>
    </r>
    <r>
      <rPr>
        <b/>
        <sz val="14"/>
        <color rgb="FF000000"/>
        <rFont val="Arial"/>
        <charset val="204"/>
      </rPr>
      <t>Logistics Status Report (Party B)</t>
    </r>
  </si>
  <si>
    <r>
      <rPr>
        <b/>
        <sz val="10"/>
        <color rgb="FF000000"/>
        <rFont val="宋体"/>
        <charset val="204"/>
      </rPr>
      <t>货物类别</t>
    </r>
    <r>
      <rPr>
        <b/>
        <sz val="10"/>
        <color rgb="FF000000"/>
        <rFont val="Arial"/>
        <charset val="204"/>
      </rPr>
      <t>Goods category</t>
    </r>
  </si>
  <si>
    <r>
      <rPr>
        <b/>
        <sz val="10"/>
        <color rgb="FF000000"/>
        <rFont val="宋体"/>
        <charset val="204"/>
      </rPr>
      <t>货物件数</t>
    </r>
    <r>
      <rPr>
        <b/>
        <sz val="10"/>
        <color rgb="FF000000"/>
        <rFont val="Arial"/>
        <charset val="204"/>
      </rPr>
      <t>Package quantity</t>
    </r>
  </si>
  <si>
    <r>
      <rPr>
        <b/>
        <sz val="10"/>
        <color rgb="FF000000"/>
        <rFont val="宋体"/>
        <charset val="204"/>
      </rPr>
      <t>备注</t>
    </r>
    <r>
      <rPr>
        <b/>
        <sz val="10"/>
        <color rgb="FF000000"/>
        <rFont val="Arial"/>
        <charset val="204"/>
      </rPr>
      <t>Notes</t>
    </r>
  </si>
  <si>
    <r>
      <rPr>
        <sz val="9"/>
        <color rgb="FF000000"/>
        <rFont val="宋体"/>
        <charset val="204"/>
      </rPr>
      <t>乙供</t>
    </r>
    <r>
      <rPr>
        <sz val="9"/>
        <color rgb="FF000000"/>
        <rFont val="Arial"/>
        <charset val="204"/>
      </rPr>
      <t>Party B</t>
    </r>
  </si>
  <si>
    <t xml:space="preserve">AS PATRIA V.2403S </t>
  </si>
  <si>
    <t>SITGSHAUQ112965</t>
  </si>
  <si>
    <t>2024/3/29</t>
  </si>
  <si>
    <t>2024/4/11</t>
  </si>
  <si>
    <t>2024/4/16</t>
  </si>
  <si>
    <r>
      <rPr>
        <sz val="9"/>
        <color rgb="FF000000"/>
        <rFont val="宋体"/>
        <charset val="204"/>
      </rPr>
      <t>附塔管线材料</t>
    </r>
  </si>
  <si>
    <t>附塔管线材料</t>
  </si>
  <si>
    <t xml:space="preserve">EVER BURLY V.1967-063S </t>
  </si>
  <si>
    <t>EGLV142400763004</t>
  </si>
  <si>
    <t>2024/4/2</t>
  </si>
  <si>
    <t>2024/4/10</t>
  </si>
  <si>
    <t>2024/4/19~2024/4/20</t>
  </si>
  <si>
    <t>ZHONG GU NAN NING 2402W</t>
  </si>
  <si>
    <t>CKCOSHA3080336</t>
  </si>
  <si>
    <t>Kelang North</t>
  </si>
  <si>
    <r>
      <rPr>
        <b/>
        <sz val="9"/>
        <color rgb="FF000000"/>
        <rFont val="宋体"/>
        <charset val="204"/>
      </rPr>
      <t>非施工主材</t>
    </r>
    <r>
      <rPr>
        <sz val="9"/>
        <color rgb="FF000000"/>
        <rFont val="宋体"/>
        <charset val="204"/>
      </rPr>
      <t>（施工机具）</t>
    </r>
  </si>
  <si>
    <t>储罐队、电仪队（出入买）</t>
  </si>
  <si>
    <t>Structure-Batch 1</t>
  </si>
  <si>
    <t>XIN SU ZHOU 256S</t>
  </si>
  <si>
    <t>OOLU2736127030</t>
  </si>
  <si>
    <r>
      <rPr>
        <sz val="9"/>
        <color rgb="FF000000"/>
        <rFont val="宋体"/>
        <charset val="204"/>
      </rPr>
      <t>天津</t>
    </r>
    <r>
      <rPr>
        <sz val="9"/>
        <color rgb="FF000000"/>
        <rFont val="Arial"/>
        <charset val="204"/>
      </rPr>
      <t>TianJin</t>
    </r>
  </si>
  <si>
    <t>2024/4/30</t>
  </si>
  <si>
    <t>2024/5/19</t>
  </si>
  <si>
    <t>2024/5/22~23</t>
  </si>
  <si>
    <r>
      <rPr>
        <sz val="9"/>
        <color rgb="FF000000"/>
        <rFont val="宋体"/>
        <charset val="204"/>
      </rPr>
      <t>钢结构</t>
    </r>
  </si>
  <si>
    <t>15x40HQ</t>
  </si>
  <si>
    <r>
      <rPr>
        <sz val="9"/>
        <color rgb="FF000000"/>
        <rFont val="宋体"/>
        <charset val="204"/>
      </rPr>
      <t>杭萧</t>
    </r>
    <r>
      <rPr>
        <sz val="9"/>
        <color rgb="FF000000"/>
        <rFont val="Arial"/>
        <charset val="204"/>
      </rPr>
      <t>,178.768t</t>
    </r>
  </si>
  <si>
    <t>Structure-Batch 2</t>
  </si>
  <si>
    <t>COSCOHAIFA/119S</t>
  </si>
  <si>
    <t>COAU7249908270</t>
  </si>
  <si>
    <t>2024/5/9</t>
  </si>
  <si>
    <t>2024/5/26</t>
  </si>
  <si>
    <t>2024/5/29</t>
  </si>
  <si>
    <t>12x40HQ</t>
  </si>
  <si>
    <r>
      <rPr>
        <sz val="9"/>
        <color rgb="FF000000"/>
        <rFont val="宋体"/>
        <charset val="204"/>
      </rPr>
      <t>杭萧，</t>
    </r>
    <r>
      <rPr>
        <sz val="9"/>
        <color rgb="FF000000"/>
        <rFont val="Arial"/>
        <charset val="204"/>
      </rPr>
      <t>131.036t</t>
    </r>
  </si>
  <si>
    <t>Structure-Batch 3</t>
  </si>
  <si>
    <t>XIN FANG CHENG  282S</t>
  </si>
  <si>
    <t>COAU7250286140</t>
  </si>
  <si>
    <t>2024/5/27</t>
  </si>
  <si>
    <t>2024/6/16</t>
  </si>
  <si>
    <t>2024/6/19</t>
  </si>
  <si>
    <t>6x40HQ</t>
  </si>
  <si>
    <r>
      <rPr>
        <sz val="9"/>
        <color rgb="FF000000"/>
        <rFont val="宋体"/>
        <charset val="204"/>
      </rPr>
      <t>杭萧，</t>
    </r>
    <r>
      <rPr>
        <sz val="9"/>
        <color rgb="FF000000"/>
        <rFont val="Arial"/>
        <charset val="204"/>
      </rPr>
      <t>78.98t</t>
    </r>
  </si>
  <si>
    <t>Structure-Batch 4</t>
  </si>
  <si>
    <t xml:space="preserve">AS NORA/0XW5ZS1NC10XW5ZSSITC </t>
  </si>
  <si>
    <t>AMJ0143777</t>
  </si>
  <si>
    <t>2024/7/9</t>
  </si>
  <si>
    <t>14x40HQ</t>
  </si>
  <si>
    <r>
      <rPr>
        <sz val="9"/>
        <color rgb="FF000000"/>
        <rFont val="宋体"/>
        <charset val="204"/>
      </rPr>
      <t>杭萧，</t>
    </r>
    <r>
      <rPr>
        <sz val="9"/>
        <color rgb="FF000000"/>
        <rFont val="Arial"/>
        <charset val="204"/>
      </rPr>
      <t>209.785t</t>
    </r>
  </si>
  <si>
    <t>YUNCHENG /06WIOS1NC/</t>
  </si>
  <si>
    <t>Structure-Batch 5</t>
  </si>
  <si>
    <t>EVER CONFORM 0013-047S</t>
  </si>
  <si>
    <t>141400659179</t>
  </si>
  <si>
    <t>2024/7/20</t>
  </si>
  <si>
    <t>2024/7/26</t>
  </si>
  <si>
    <r>
      <rPr>
        <sz val="9"/>
        <color rgb="FF000000"/>
        <rFont val="宋体"/>
        <charset val="204"/>
      </rPr>
      <t>杭萧</t>
    </r>
    <r>
      <rPr>
        <sz val="9"/>
        <color rgb="FF000000"/>
        <rFont val="Arial"/>
        <charset val="204"/>
      </rPr>
      <t>,212.492t</t>
    </r>
  </si>
  <si>
    <t>Structure-Batch 6</t>
  </si>
  <si>
    <t>EVER ONWARD 0018-028S</t>
  </si>
  <si>
    <t>141400796079</t>
  </si>
  <si>
    <t>2024/7/18</t>
  </si>
  <si>
    <r>
      <rPr>
        <sz val="9"/>
        <color rgb="FF000000"/>
        <rFont val="宋体"/>
        <charset val="204"/>
      </rPr>
      <t>杭萧</t>
    </r>
    <r>
      <rPr>
        <sz val="9"/>
        <color rgb="FF000000"/>
        <rFont val="Arial"/>
        <charset val="204"/>
      </rPr>
      <t>,210t</t>
    </r>
  </si>
  <si>
    <t>Structure-Batch 7</t>
  </si>
  <si>
    <t xml:space="preserve">EVER BIRTH
0755-083S </t>
  </si>
  <si>
    <t>141400795952</t>
  </si>
  <si>
    <t>10x40HQ</t>
  </si>
  <si>
    <r>
      <rPr>
        <sz val="9"/>
        <color rgb="FF000000"/>
        <rFont val="宋体"/>
        <charset val="204"/>
      </rPr>
      <t>杭萧，</t>
    </r>
    <r>
      <rPr>
        <sz val="9"/>
        <color rgb="FF000000"/>
        <rFont val="Arial"/>
        <charset val="204"/>
      </rPr>
      <t>132.6t</t>
    </r>
  </si>
  <si>
    <t>Structure-Batch 8</t>
  </si>
  <si>
    <t>EVER BIRTH 0755-083S</t>
  </si>
  <si>
    <t>141400795960</t>
  </si>
  <si>
    <r>
      <rPr>
        <sz val="9"/>
        <color rgb="FF000000"/>
        <rFont val="宋体"/>
        <charset val="204"/>
      </rPr>
      <t>杭萧，</t>
    </r>
    <r>
      <rPr>
        <sz val="9"/>
        <color rgb="FF000000"/>
        <rFont val="Arial"/>
        <charset val="204"/>
      </rPr>
      <t>105.575t</t>
    </r>
  </si>
  <si>
    <r>
      <rPr>
        <sz val="9"/>
        <rFont val="宋体"/>
        <charset val="204"/>
      </rPr>
      <t>乙供</t>
    </r>
    <r>
      <rPr>
        <sz val="9"/>
        <rFont val="Arial"/>
        <charset val="204"/>
      </rPr>
      <t>Party B</t>
    </r>
  </si>
  <si>
    <t>Structure-Batch 9</t>
  </si>
  <si>
    <t>COSCO HAIFA 123S</t>
  </si>
  <si>
    <t>COAU7252672240</t>
  </si>
  <si>
    <r>
      <rPr>
        <sz val="9"/>
        <rFont val="宋体"/>
        <charset val="204"/>
      </rPr>
      <t>天津</t>
    </r>
    <r>
      <rPr>
        <sz val="9"/>
        <rFont val="Arial"/>
        <charset val="204"/>
      </rPr>
      <t>TianJin</t>
    </r>
  </si>
  <si>
    <t>2024//9/6</t>
  </si>
  <si>
    <r>
      <rPr>
        <sz val="9"/>
        <rFont val="宋体"/>
        <charset val="204"/>
      </rPr>
      <t>钢结构</t>
    </r>
  </si>
  <si>
    <t>30x40HQ</t>
  </si>
  <si>
    <r>
      <rPr>
        <sz val="9"/>
        <rFont val="宋体"/>
        <charset val="204"/>
      </rPr>
      <t>杭萧，</t>
    </r>
    <r>
      <rPr>
        <sz val="9"/>
        <rFont val="Arial"/>
        <charset val="204"/>
      </rPr>
      <t>392.057t</t>
    </r>
  </si>
  <si>
    <t>Structure-Batch 10</t>
  </si>
  <si>
    <t>EVER BUILD 0762-066S</t>
  </si>
  <si>
    <t>141401023252</t>
  </si>
  <si>
    <r>
      <rPr>
        <sz val="9"/>
        <rFont val="宋体"/>
        <charset val="204"/>
      </rPr>
      <t>杭萧</t>
    </r>
    <r>
      <rPr>
        <sz val="9"/>
        <rFont val="Arial"/>
        <charset val="204"/>
      </rPr>
      <t>,139.143t</t>
    </r>
  </si>
  <si>
    <t>Structure-Batch 11</t>
  </si>
  <si>
    <t>SEASPAN BRISBANE/0748-001S</t>
  </si>
  <si>
    <t>141401022816</t>
  </si>
  <si>
    <t>25x40HQ</t>
  </si>
  <si>
    <t>杭萧，492.594t</t>
  </si>
  <si>
    <t>Structure-Batch 12</t>
  </si>
  <si>
    <t>EVER CREATE/0823-061A</t>
  </si>
  <si>
    <t>141401060972</t>
  </si>
  <si>
    <t>2024/10/28~29</t>
  </si>
  <si>
    <r>
      <rPr>
        <sz val="9"/>
        <rFont val="宋体"/>
        <charset val="204"/>
      </rPr>
      <t>杭萧，</t>
    </r>
    <r>
      <rPr>
        <sz val="9"/>
        <rFont val="Arial"/>
        <charset val="204"/>
      </rPr>
      <t>624.945t</t>
    </r>
  </si>
  <si>
    <t>Structure-Batch 13</t>
  </si>
  <si>
    <t>EVER BREED 0767-090S</t>
  </si>
  <si>
    <t>141401110022</t>
  </si>
  <si>
    <t>31x40HQ</t>
  </si>
  <si>
    <r>
      <rPr>
        <sz val="9"/>
        <rFont val="宋体"/>
        <charset val="204"/>
      </rPr>
      <t>杭萧，</t>
    </r>
    <r>
      <rPr>
        <sz val="9"/>
        <rFont val="Arial"/>
        <charset val="204"/>
      </rPr>
      <t>559.051t</t>
    </r>
  </si>
  <si>
    <t>Structure-Batch 14</t>
  </si>
  <si>
    <t>ITAL UNICA/180S</t>
  </si>
  <si>
    <t>141401140100</t>
  </si>
  <si>
    <t>2024/12/13~</t>
  </si>
  <si>
    <r>
      <rPr>
        <sz val="9"/>
        <rFont val="宋体"/>
        <charset val="204"/>
      </rPr>
      <t>杭萧</t>
    </r>
    <r>
      <rPr>
        <sz val="9"/>
        <rFont val="Arial"/>
        <charset val="204"/>
      </rPr>
      <t>,198.469t</t>
    </r>
  </si>
  <si>
    <t>Structure-Batch 15</t>
  </si>
  <si>
    <t>SUNNY DAISY/2414E</t>
  </si>
  <si>
    <t>KMTCXGG2746227</t>
  </si>
  <si>
    <r>
      <rPr>
        <sz val="9"/>
        <rFont val="宋体"/>
        <charset val="204"/>
      </rPr>
      <t>杭萧，</t>
    </r>
    <r>
      <rPr>
        <sz val="9"/>
        <rFont val="Arial"/>
        <charset val="204"/>
      </rPr>
      <t>72.842t</t>
    </r>
  </si>
  <si>
    <t>Structure-Batch 16</t>
  </si>
  <si>
    <t>EVER BREED/092S</t>
  </si>
  <si>
    <t>141401368127</t>
  </si>
  <si>
    <t>8x40HQ</t>
  </si>
  <si>
    <r>
      <rPr>
        <sz val="9"/>
        <rFont val="宋体"/>
        <charset val="204"/>
      </rPr>
      <t>杭萧</t>
    </r>
    <r>
      <rPr>
        <sz val="9"/>
        <rFont val="Arial"/>
        <charset val="204"/>
      </rPr>
      <t>,149.132t</t>
    </r>
  </si>
  <si>
    <t>Structure-Batch 17</t>
  </si>
  <si>
    <t>UNI-PROBITY 0839-377A</t>
  </si>
  <si>
    <t>141401486562</t>
  </si>
  <si>
    <r>
      <rPr>
        <sz val="9"/>
        <rFont val="宋体"/>
        <charset val="204"/>
      </rPr>
      <t>杭萧</t>
    </r>
    <r>
      <rPr>
        <sz val="9"/>
        <rFont val="Arial"/>
        <charset val="204"/>
      </rPr>
      <t>,92.984t</t>
    </r>
  </si>
  <si>
    <t>Structure-Batch 18</t>
  </si>
  <si>
    <t>141500039369</t>
  </si>
  <si>
    <t>杭萧,35.399t</t>
  </si>
  <si>
    <t>Structure-Batch 19</t>
  </si>
  <si>
    <t>EVER CONVEY 0846-092A</t>
  </si>
  <si>
    <t>141500140183</t>
  </si>
  <si>
    <t>TANJUNG PELEPAS</t>
  </si>
  <si>
    <r>
      <rPr>
        <sz val="9"/>
        <rFont val="宋体"/>
        <charset val="204"/>
      </rPr>
      <t>杭萧</t>
    </r>
    <r>
      <rPr>
        <sz val="9"/>
        <rFont val="Arial"/>
        <charset val="204"/>
      </rPr>
      <t>,6.79t</t>
    </r>
  </si>
  <si>
    <r>
      <rPr>
        <sz val="9"/>
        <color rgb="FF000000"/>
        <rFont val="Arial"/>
        <charset val="204"/>
      </rPr>
      <t>NG24228SHATLA13</t>
    </r>
    <r>
      <rPr>
        <sz val="9"/>
        <color rgb="FF000000"/>
        <rFont val="宋体"/>
        <charset val="204"/>
      </rPr>
      <t>、</t>
    </r>
    <r>
      <rPr>
        <sz val="9"/>
        <color rgb="FF000000"/>
        <rFont val="Arial"/>
        <charset val="204"/>
      </rPr>
      <t>14</t>
    </r>
  </si>
  <si>
    <r>
      <rPr>
        <sz val="9"/>
        <color rgb="FF000000"/>
        <rFont val="宋体"/>
        <charset val="204"/>
      </rPr>
      <t>上海九区</t>
    </r>
    <r>
      <rPr>
        <sz val="9"/>
        <color rgb="FF000000"/>
        <rFont val="Arial"/>
        <charset val="204"/>
      </rPr>
      <t>Shanghai 9 Area</t>
    </r>
  </si>
  <si>
    <r>
      <rPr>
        <sz val="9"/>
        <color rgb="FF000000"/>
        <rFont val="宋体"/>
        <charset val="204"/>
      </rPr>
      <t>储罐附件、钢格板、平衡梁、施工机具</t>
    </r>
  </si>
  <si>
    <r>
      <rPr>
        <sz val="9"/>
        <color rgb="FF000000"/>
        <rFont val="Arial"/>
        <charset val="204"/>
      </rPr>
      <t>22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+26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+18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</si>
  <si>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NCC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票</t>
    </r>
  </si>
  <si>
    <t>SYNERGY BUSAN / 424S</t>
  </si>
  <si>
    <t>MAEU241199395</t>
  </si>
  <si>
    <t>2024/6/22</t>
  </si>
  <si>
    <t>2024/7/7</t>
  </si>
  <si>
    <r>
      <rPr>
        <sz val="9"/>
        <color rgb="FF000000"/>
        <rFont val="Arial"/>
        <charset val="204"/>
      </rPr>
      <t>NCC</t>
    </r>
    <r>
      <rPr>
        <sz val="9"/>
        <color rgb="FF000000"/>
        <rFont val="宋体"/>
        <charset val="204"/>
      </rPr>
      <t>（出入买）</t>
    </r>
  </si>
  <si>
    <t>SYNERGY BUSAN/424S</t>
  </si>
  <si>
    <t>MAEU278742810</t>
  </si>
  <si>
    <r>
      <rPr>
        <sz val="9"/>
        <color rgb="FF000000"/>
        <rFont val="宋体"/>
        <charset val="204"/>
      </rPr>
      <t>储罐附件、管道支架</t>
    </r>
  </si>
  <si>
    <r>
      <rPr>
        <sz val="9"/>
        <color rgb="FF000000"/>
        <rFont val="Arial"/>
        <charset val="204"/>
      </rPr>
      <t>NCC</t>
    </r>
    <r>
      <rPr>
        <sz val="9"/>
        <color rgb="FF000000"/>
        <rFont val="宋体"/>
        <charset val="204"/>
      </rPr>
      <t>预制</t>
    </r>
  </si>
  <si>
    <t>MCC SHENZHEN V.425W</t>
  </si>
  <si>
    <t>278742868
278742878</t>
  </si>
  <si>
    <t>2024/7/1</t>
  </si>
  <si>
    <t>2024/8/2</t>
  </si>
  <si>
    <t>NCC</t>
  </si>
  <si>
    <t>乙供Party B</t>
  </si>
  <si>
    <t>重吊船Heavy cargo ship</t>
  </si>
  <si>
    <t>MKW24273CSTJLS16~18</t>
  </si>
  <si>
    <r>
      <rPr>
        <sz val="9"/>
        <color rgb="FF000000"/>
        <rFont val="宋体"/>
        <charset val="204"/>
      </rPr>
      <t>第二批储罐附件、第一批工艺管道及支架，</t>
    </r>
    <r>
      <rPr>
        <sz val="9"/>
        <color rgb="FF000000"/>
        <rFont val="Arial"/>
        <charset val="204"/>
      </rPr>
      <t>OSBL</t>
    </r>
    <r>
      <rPr>
        <sz val="9"/>
        <color rgb="FF000000"/>
        <rFont val="宋体"/>
        <charset val="204"/>
      </rPr>
      <t>钢格栅，地管及消防阀门，</t>
    </r>
    <r>
      <rPr>
        <sz val="9"/>
        <color rgb="FF000000"/>
        <rFont val="Arial"/>
        <charset val="204"/>
      </rPr>
      <t>ISBL</t>
    </r>
    <r>
      <rPr>
        <sz val="9"/>
        <color rgb="FF000000"/>
        <rFont val="宋体"/>
        <charset val="204"/>
      </rPr>
      <t>垫片</t>
    </r>
  </si>
  <si>
    <r>
      <rPr>
        <sz val="9"/>
        <color rgb="FF000000"/>
        <rFont val="Arial"/>
        <charset val="204"/>
      </rPr>
      <t>184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</si>
  <si>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NCC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票</t>
    </r>
  </si>
  <si>
    <t>EVER BEAMY V.1981-060S</t>
  </si>
  <si>
    <t>集装箱Container ship</t>
  </si>
  <si>
    <t>EGLV142402265452</t>
  </si>
  <si>
    <t>上海Shanghai</t>
  </si>
  <si>
    <t>2024/7/25</t>
  </si>
  <si>
    <t>UG batch 1</t>
  </si>
  <si>
    <t>OOCL LE HAVRE 186S</t>
  </si>
  <si>
    <t>OOLU2741943470</t>
  </si>
  <si>
    <t>天津TianJin</t>
  </si>
  <si>
    <t>2024/6/29</t>
  </si>
  <si>
    <t>2024/7/19</t>
  </si>
  <si>
    <t>2024/7/30</t>
  </si>
  <si>
    <r>
      <rPr>
        <sz val="9"/>
        <color rgb="FF000000"/>
        <rFont val="宋体"/>
        <charset val="204"/>
      </rPr>
      <t>地管</t>
    </r>
  </si>
  <si>
    <t>6x40OT</t>
  </si>
  <si>
    <t>NCC,134671kg</t>
  </si>
  <si>
    <t>UG batch 2</t>
  </si>
  <si>
    <t>UNI-PROBITY 0811-368A</t>
  </si>
  <si>
    <t>141400722407</t>
  </si>
  <si>
    <t>2024/7/11</t>
  </si>
  <si>
    <t>6x40OQ</t>
  </si>
  <si>
    <t>NCC,151758kg</t>
  </si>
  <si>
    <t>UG batch 3</t>
  </si>
  <si>
    <t>XIN QING DAO S232</t>
  </si>
  <si>
    <t>OOLU2742022980</t>
  </si>
  <si>
    <t>2024//7/15</t>
  </si>
  <si>
    <t>2024/8/7</t>
  </si>
  <si>
    <t>4x40OT+1x40OQ</t>
  </si>
  <si>
    <t>NCC,130614kg</t>
  </si>
  <si>
    <t>UG batch 4</t>
  </si>
  <si>
    <t>033E516257</t>
  </si>
  <si>
    <t>2x40FO</t>
  </si>
  <si>
    <t>NCC,54928kg</t>
  </si>
  <si>
    <t>UG batch 5</t>
  </si>
  <si>
    <t>033EA01063</t>
  </si>
  <si>
    <t>3x40FO</t>
  </si>
  <si>
    <t>NCC,79734kg</t>
  </si>
  <si>
    <t>UG batch 6</t>
  </si>
  <si>
    <t>Ship 6</t>
  </si>
  <si>
    <t>EVER CREATE 
0810-056A</t>
  </si>
  <si>
    <t>141400686435</t>
  </si>
  <si>
    <t>2024/7/2</t>
  </si>
  <si>
    <r>
      <rPr>
        <sz val="9"/>
        <color rgb="FF000000"/>
        <rFont val="宋体"/>
        <charset val="204"/>
      </rPr>
      <t>地管管件</t>
    </r>
    <r>
      <rPr>
        <sz val="9"/>
        <color rgb="FF000000"/>
        <rFont val="Arial"/>
        <charset val="204"/>
      </rPr>
      <t>(</t>
    </r>
    <r>
      <rPr>
        <sz val="9"/>
        <color rgb="FF000000"/>
        <rFont val="宋体"/>
        <charset val="204"/>
      </rPr>
      <t>不使用免税表）</t>
    </r>
  </si>
  <si>
    <t>NCC,36470kg,384pcs(Form E)</t>
  </si>
  <si>
    <t>UG batch 7</t>
  </si>
  <si>
    <t>Ship 7</t>
  </si>
  <si>
    <t>EVER OBEY
0194-029S</t>
  </si>
  <si>
    <t>14040250659</t>
  </si>
  <si>
    <t>2024/8/20</t>
  </si>
  <si>
    <t>2024/9/2</t>
  </si>
  <si>
    <t>1x40FO</t>
  </si>
  <si>
    <t>NCC,23380kg,1095pcs(Form E)</t>
  </si>
  <si>
    <t>UG batch 8</t>
  </si>
  <si>
    <t>Ship 8</t>
  </si>
  <si>
    <t>EVER OPTIMA\0196-027S</t>
  </si>
  <si>
    <t>140402586511</t>
  </si>
  <si>
    <r>
      <rPr>
        <sz val="9"/>
        <color rgb="FF000000"/>
        <rFont val="宋体"/>
        <charset val="204"/>
      </rPr>
      <t>青岛</t>
    </r>
    <r>
      <rPr>
        <sz val="9"/>
        <color rgb="FF000000"/>
        <rFont val="Arial"/>
        <charset val="204"/>
      </rPr>
      <t>QingDao</t>
    </r>
  </si>
  <si>
    <t>2024/9/13</t>
  </si>
  <si>
    <t>2024/9/14</t>
  </si>
  <si>
    <t>2x40OT</t>
  </si>
  <si>
    <t>NCC,31726kg</t>
  </si>
  <si>
    <t>SURABAYA VOYAGER 2406S</t>
  </si>
  <si>
    <t xml:space="preserve">SITGSHPK010002 </t>
  </si>
  <si>
    <t>KELANG NORTH</t>
  </si>
  <si>
    <t>2024/8/25</t>
  </si>
  <si>
    <t>2024/9/3</t>
  </si>
  <si>
    <t>2024/9/8</t>
  </si>
  <si>
    <r>
      <rPr>
        <b/>
        <sz val="9"/>
        <color rgb="FF000000"/>
        <rFont val="宋体"/>
        <charset val="204"/>
      </rPr>
      <t>非施工主材</t>
    </r>
    <r>
      <rPr>
        <sz val="9"/>
        <color rgb="FF000000"/>
        <rFont val="宋体"/>
        <charset val="204"/>
      </rPr>
      <t>（焊材、厨具、热处理材料、劳保用品等）</t>
    </r>
  </si>
  <si>
    <t>39</t>
  </si>
  <si>
    <t>MV YANGTZE AMBITION</t>
  </si>
  <si>
    <r>
      <rPr>
        <sz val="9"/>
        <color rgb="FF000000"/>
        <rFont val="宋体"/>
        <charset val="204"/>
      </rPr>
      <t>散货船</t>
    </r>
    <r>
      <rPr>
        <sz val="9"/>
        <color rgb="FF000000"/>
        <rFont val="Arial"/>
        <charset val="204"/>
      </rPr>
      <t>Bulk Cargo ship</t>
    </r>
  </si>
  <si>
    <t>YA2407SG02</t>
  </si>
  <si>
    <t>2024/9/1~9/2</t>
  </si>
  <si>
    <r>
      <rPr>
        <sz val="9"/>
        <color rgb="FF000000"/>
        <rFont val="宋体"/>
        <charset val="204"/>
      </rPr>
      <t>第二批工艺管道（</t>
    </r>
    <r>
      <rPr>
        <sz val="9"/>
        <color rgb="FF000000"/>
        <rFont val="Arial"/>
        <charset val="204"/>
      </rPr>
      <t>1000</t>
    </r>
    <r>
      <rPr>
        <sz val="9"/>
        <color rgb="FF000000"/>
        <rFont val="宋体"/>
        <charset val="204"/>
      </rPr>
      <t>吨，</t>
    </r>
    <r>
      <rPr>
        <sz val="9"/>
        <color rgb="FF000000"/>
        <rFont val="Arial"/>
        <charset val="204"/>
      </rPr>
      <t>2100m3</t>
    </r>
    <r>
      <rPr>
        <sz val="9"/>
        <color rgb="FF000000"/>
        <rFont val="宋体"/>
        <charset val="204"/>
      </rPr>
      <t>）、</t>
    </r>
    <r>
      <rPr>
        <sz val="9"/>
        <color rgb="FF000000"/>
        <rFont val="Arial"/>
        <charset val="204"/>
      </rPr>
      <t>U700&amp;800*900</t>
    </r>
    <r>
      <rPr>
        <sz val="9"/>
        <color rgb="FF000000"/>
        <rFont val="宋体"/>
        <charset val="204"/>
      </rPr>
      <t>碳钢中低压阀门</t>
    </r>
    <r>
      <rPr>
        <sz val="9"/>
        <color rgb="FF000000"/>
        <rFont val="Arial"/>
        <charset val="204"/>
      </rPr>
      <t>&amp;</t>
    </r>
    <r>
      <rPr>
        <sz val="9"/>
        <color rgb="FF000000"/>
        <rFont val="宋体"/>
        <charset val="204"/>
      </rPr>
      <t>螺栓</t>
    </r>
  </si>
  <si>
    <r>
      <rPr>
        <sz val="9"/>
        <color rgb="FF000000"/>
        <rFont val="Arial"/>
        <charset val="204"/>
      </rPr>
      <t>191</t>
    </r>
    <r>
      <rPr>
        <sz val="9"/>
        <color rgb="FF000000"/>
        <rFont val="宋体"/>
        <charset val="204"/>
      </rPr>
      <t>件</t>
    </r>
  </si>
  <si>
    <r>
      <rPr>
        <sz val="9"/>
        <color rgb="FF000000"/>
        <rFont val="Arial"/>
        <charset val="204"/>
      </rPr>
      <t>NCC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票</t>
    </r>
  </si>
  <si>
    <t>40</t>
  </si>
  <si>
    <t>KMTC TIANJIN V.2409S</t>
  </si>
  <si>
    <t>SITGSHAU010012</t>
  </si>
  <si>
    <t>2024/9/21</t>
  </si>
  <si>
    <r>
      <rPr>
        <b/>
        <sz val="9"/>
        <color rgb="FF000000"/>
        <rFont val="宋体"/>
        <charset val="204"/>
      </rPr>
      <t>非施工主材</t>
    </r>
    <r>
      <rPr>
        <sz val="9"/>
        <color rgb="FF000000"/>
        <rFont val="宋体"/>
        <charset val="204"/>
      </rPr>
      <t>（焊材、厨具）</t>
    </r>
  </si>
  <si>
    <t>41</t>
  </si>
  <si>
    <t>SITC MAKASSAR V. 2415S</t>
  </si>
  <si>
    <t>SITGSHAU010013</t>
  </si>
  <si>
    <t>2024/9/11</t>
  </si>
  <si>
    <t>2024/9/20</t>
  </si>
  <si>
    <r>
      <rPr>
        <sz val="9"/>
        <color rgb="FF000000"/>
        <rFont val="宋体"/>
        <charset val="204"/>
      </rPr>
      <t>变压器</t>
    </r>
  </si>
  <si>
    <t>1x20GP+1x40HQ+2x40OT IG</t>
  </si>
  <si>
    <t>42</t>
  </si>
  <si>
    <t>VN24328DGGPAG01/03</t>
  </si>
  <si>
    <r>
      <rPr>
        <sz val="9"/>
        <color rgb="FF000000"/>
        <rFont val="宋体"/>
        <charset val="204"/>
      </rPr>
      <t>东莞</t>
    </r>
    <r>
      <rPr>
        <sz val="9"/>
        <color rgb="FF000000"/>
        <rFont val="Arial"/>
        <charset val="204"/>
      </rPr>
      <t>DongGuan</t>
    </r>
  </si>
  <si>
    <r>
      <rPr>
        <sz val="9"/>
        <color rgb="FF000000"/>
        <rFont val="宋体"/>
        <charset val="204"/>
      </rPr>
      <t>第三批工艺管道、第三批预制储罐附件、储罐附件（湖北天信）、钢格栅、桥架（</t>
    </r>
    <r>
      <rPr>
        <sz val="9"/>
        <color rgb="FF000000"/>
        <rFont val="Arial"/>
        <charset val="204"/>
      </rPr>
      <t>720</t>
    </r>
    <r>
      <rPr>
        <sz val="9"/>
        <color rgb="FF000000"/>
        <rFont val="宋体"/>
        <charset val="204"/>
      </rPr>
      <t>米）</t>
    </r>
  </si>
  <si>
    <r>
      <rPr>
        <sz val="9"/>
        <color rgb="FF000000"/>
        <rFont val="Arial"/>
        <charset val="204"/>
      </rPr>
      <t>154</t>
    </r>
    <r>
      <rPr>
        <sz val="9"/>
        <color rgb="FF000000"/>
        <rFont val="宋体"/>
        <charset val="204"/>
      </rPr>
      <t>件</t>
    </r>
  </si>
  <si>
    <t>NCC，2票</t>
  </si>
  <si>
    <t>43</t>
  </si>
  <si>
    <t>EGLV142403134938</t>
  </si>
  <si>
    <t>2024/10/4</t>
  </si>
  <si>
    <t>2024/10/16</t>
  </si>
  <si>
    <r>
      <rPr>
        <b/>
        <sz val="9"/>
        <color rgb="FF000000"/>
        <rFont val="宋体"/>
        <charset val="204"/>
      </rPr>
      <t>非施工主材</t>
    </r>
    <r>
      <rPr>
        <sz val="9"/>
        <color rgb="FF000000"/>
        <rFont val="宋体"/>
        <charset val="204"/>
      </rPr>
      <t>（焊材、施工机具、吊车垫板），</t>
    </r>
    <r>
      <rPr>
        <b/>
        <sz val="9"/>
        <color rgb="FF000000"/>
        <rFont val="宋体"/>
        <charset val="204"/>
      </rPr>
      <t>主材</t>
    </r>
    <r>
      <rPr>
        <sz val="9"/>
        <color rgb="FF000000"/>
        <rFont val="宋体"/>
        <charset val="204"/>
      </rPr>
      <t>（洗眼器、电缆终端头）</t>
    </r>
  </si>
  <si>
    <t>44</t>
  </si>
  <si>
    <r>
      <rPr>
        <b/>
        <sz val="9"/>
        <color rgb="FF000000"/>
        <rFont val="宋体"/>
        <charset val="204"/>
      </rPr>
      <t>非施工主材</t>
    </r>
    <r>
      <rPr>
        <sz val="9"/>
        <color rgb="FF000000"/>
        <rFont val="宋体"/>
        <charset val="204"/>
      </rPr>
      <t>（焊材、施工机具），</t>
    </r>
    <r>
      <rPr>
        <b/>
        <sz val="9"/>
        <color rgb="FF000000"/>
        <rFont val="宋体"/>
        <charset val="204"/>
      </rPr>
      <t>主材</t>
    </r>
    <r>
      <rPr>
        <sz val="9"/>
        <color rgb="FF000000"/>
        <rFont val="宋体"/>
        <charset val="204"/>
      </rPr>
      <t>（疏水阀</t>
    </r>
    <r>
      <rPr>
        <sz val="9"/>
        <color rgb="FF000000"/>
        <rFont val="Arial"/>
        <charset val="204"/>
      </rPr>
      <t>705</t>
    </r>
    <r>
      <rPr>
        <sz val="9"/>
        <color rgb="FF000000"/>
        <rFont val="宋体"/>
        <charset val="204"/>
      </rPr>
      <t>台、过滤器</t>
    </r>
    <r>
      <rPr>
        <sz val="9"/>
        <color rgb="FF000000"/>
        <rFont val="Arial"/>
        <charset val="204"/>
      </rPr>
      <t>31</t>
    </r>
    <r>
      <rPr>
        <sz val="9"/>
        <color rgb="FF000000"/>
        <rFont val="宋体"/>
        <charset val="204"/>
      </rPr>
      <t>台）</t>
    </r>
  </si>
  <si>
    <t>45</t>
  </si>
  <si>
    <t>TIANJIN VOYAGER V.2403S</t>
  </si>
  <si>
    <t>SITGSHPK010005</t>
  </si>
  <si>
    <t>2024/10/6</t>
  </si>
  <si>
    <t>2024/10/13</t>
  </si>
  <si>
    <r>
      <rPr>
        <b/>
        <sz val="9"/>
        <color rgb="FF000000"/>
        <rFont val="宋体"/>
        <charset val="204"/>
      </rPr>
      <t>非施工主材</t>
    </r>
    <r>
      <rPr>
        <sz val="9"/>
        <color rgb="FF000000"/>
        <rFont val="宋体"/>
        <charset val="204"/>
      </rPr>
      <t>（防腐队施工机具、吊车垫板、焊材）</t>
    </r>
    <r>
      <rPr>
        <sz val="9"/>
        <color rgb="FF000000"/>
        <rFont val="Arial"/>
        <charset val="204"/>
      </rPr>
      <t>,</t>
    </r>
    <r>
      <rPr>
        <sz val="9"/>
        <color rgb="FF000000"/>
        <rFont val="宋体"/>
        <charset val="204"/>
      </rPr>
      <t>主材（镀锌螺栓</t>
    </r>
    <r>
      <rPr>
        <sz val="9"/>
        <color rgb="FF000000"/>
        <rFont val="Arial"/>
        <charset val="204"/>
      </rPr>
      <t>,MCT</t>
    </r>
    <r>
      <rPr>
        <sz val="9"/>
        <color rgb="FF000000"/>
        <rFont val="宋体"/>
        <charset val="204"/>
      </rPr>
      <t>）</t>
    </r>
  </si>
  <si>
    <t>46</t>
  </si>
  <si>
    <t>SITGSHPK010004</t>
  </si>
  <si>
    <r>
      <rPr>
        <sz val="9"/>
        <color rgb="FF000000"/>
        <rFont val="宋体"/>
        <charset val="204"/>
      </rPr>
      <t>防爆灯具（华荣）</t>
    </r>
  </si>
  <si>
    <t>47</t>
  </si>
  <si>
    <t>EVER BLISS 1992-091S</t>
  </si>
  <si>
    <t>EGLV142402995263</t>
  </si>
  <si>
    <t>2024/10/5</t>
  </si>
  <si>
    <r>
      <rPr>
        <sz val="9"/>
        <color rgb="FF000000"/>
        <rFont val="宋体"/>
        <charset val="204"/>
      </rPr>
      <t>防爆灯具配件及操作柱（华荣）</t>
    </r>
  </si>
  <si>
    <t>48</t>
  </si>
  <si>
    <t>AM BERYL/S24362</t>
  </si>
  <si>
    <t>AM24362SHPG01/02/03</t>
  </si>
  <si>
    <t>2024/10/11</t>
  </si>
  <si>
    <t>2024/10/24</t>
  </si>
  <si>
    <t>2024/10/25~27</t>
  </si>
  <si>
    <r>
      <rPr>
        <sz val="9"/>
        <color rgb="FF000000"/>
        <rFont val="宋体"/>
        <charset val="204"/>
      </rPr>
      <t>第四批工艺管道，成品罐，第二批工艺阀门（江苏大高中低压、凯斯通高压）</t>
    </r>
    <r>
      <rPr>
        <sz val="9"/>
        <color rgb="FF000000"/>
        <rFont val="Arial"/>
        <charset val="204"/>
      </rPr>
      <t>,</t>
    </r>
    <r>
      <rPr>
        <sz val="9"/>
        <color rgb="FF000000"/>
        <rFont val="宋体"/>
        <charset val="204"/>
      </rPr>
      <t>消防地管阀门、减压阀（安徽铜都），桥架（天康），增补成品管道支架（圣泰），</t>
    </r>
    <r>
      <rPr>
        <sz val="9"/>
        <color rgb="FF000000"/>
        <rFont val="Arial"/>
        <charset val="204"/>
      </rPr>
      <t>17417</t>
    </r>
    <r>
      <rPr>
        <sz val="9"/>
        <color rgb="FF000000"/>
        <rFont val="宋体"/>
        <charset val="204"/>
      </rPr>
      <t>套螺栓（二标），第四批甲供罐板</t>
    </r>
  </si>
  <si>
    <t>188</t>
  </si>
  <si>
    <r>
      <rPr>
        <sz val="9"/>
        <rFont val="Arial"/>
        <charset val="204"/>
      </rPr>
      <t>NCC</t>
    </r>
    <r>
      <rPr>
        <sz val="9"/>
        <rFont val="宋体"/>
        <charset val="204"/>
      </rPr>
      <t>，</t>
    </r>
    <r>
      <rPr>
        <sz val="9"/>
        <rFont val="Arial"/>
        <charset val="204"/>
      </rPr>
      <t>3</t>
    </r>
    <r>
      <rPr>
        <sz val="9"/>
        <rFont val="宋体"/>
        <charset val="204"/>
      </rPr>
      <t>票</t>
    </r>
  </si>
  <si>
    <t>49</t>
  </si>
  <si>
    <t>EVER BLISS V.1997-092S</t>
  </si>
  <si>
    <t>EGLV142403306224</t>
  </si>
  <si>
    <t>2024/11/4</t>
  </si>
  <si>
    <r>
      <rPr>
        <sz val="9"/>
        <color rgb="FF000000"/>
        <rFont val="宋体"/>
        <charset val="204"/>
      </rPr>
      <t>仪表接线箱</t>
    </r>
  </si>
  <si>
    <t>50</t>
  </si>
  <si>
    <t>SITGSHAU010016</t>
  </si>
  <si>
    <r>
      <rPr>
        <sz val="9"/>
        <color rgb="FF000000"/>
        <rFont val="Arial"/>
        <charset val="204"/>
      </rPr>
      <t>MOV</t>
    </r>
    <r>
      <rPr>
        <sz val="9"/>
        <color rgb="FF000000"/>
        <rFont val="宋体"/>
        <charset val="204"/>
      </rPr>
      <t>（</t>
    </r>
    <r>
      <rPr>
        <sz val="9"/>
        <color rgb="FF000000"/>
        <rFont val="Arial"/>
        <charset val="204"/>
      </rPr>
      <t>Rotork)</t>
    </r>
    <r>
      <rPr>
        <sz val="9"/>
        <color rgb="FF000000"/>
        <rFont val="宋体"/>
        <charset val="204"/>
      </rPr>
      <t>、配电箱（华荣）</t>
    </r>
    <r>
      <rPr>
        <sz val="9"/>
        <color rgb="FFFF0000"/>
        <rFont val="宋体"/>
        <charset val="204"/>
      </rPr>
      <t>、奥利达（甲供剩余）</t>
    </r>
  </si>
  <si>
    <t>2X40HQ</t>
  </si>
  <si>
    <t>51</t>
  </si>
  <si>
    <t>EVER VAST V.1998-005S</t>
  </si>
  <si>
    <t>EGLV142403447502</t>
  </si>
  <si>
    <t>2024/11/15</t>
  </si>
  <si>
    <r>
      <rPr>
        <b/>
        <sz val="9"/>
        <color rgb="FF000000"/>
        <rFont val="宋体"/>
        <charset val="204"/>
      </rPr>
      <t>辅材：</t>
    </r>
    <r>
      <rPr>
        <sz val="9"/>
        <color rgb="FF000000"/>
        <rFont val="宋体"/>
        <charset val="204"/>
      </rPr>
      <t>工作服</t>
    </r>
    <r>
      <rPr>
        <sz val="9"/>
        <rFont val="宋体"/>
        <charset val="204"/>
      </rPr>
      <t>、质保资料、焊材等</t>
    </r>
  </si>
  <si>
    <t>52</t>
  </si>
  <si>
    <t>MV PULAU YOZORA</t>
  </si>
  <si>
    <t>PY24391SHPG07,08,10</t>
  </si>
  <si>
    <t>2024/11/7</t>
  </si>
  <si>
    <r>
      <rPr>
        <b/>
        <sz val="9"/>
        <color rgb="FF000000"/>
        <rFont val="宋体"/>
        <charset val="204"/>
      </rPr>
      <t>主材：</t>
    </r>
    <r>
      <rPr>
        <sz val="9"/>
        <color rgb="FF000000"/>
        <rFont val="Arial"/>
        <charset val="204"/>
      </rPr>
      <t xml:space="preserve">
</t>
    </r>
    <r>
      <rPr>
        <sz val="9"/>
        <rFont val="宋体"/>
        <charset val="204"/>
      </rPr>
      <t>无水击加热器</t>
    </r>
    <r>
      <rPr>
        <sz val="9"/>
        <rFont val="Arial"/>
        <charset val="204"/>
      </rPr>
      <t>(</t>
    </r>
    <r>
      <rPr>
        <sz val="9"/>
        <rFont val="宋体"/>
        <charset val="204"/>
      </rPr>
      <t>天信</t>
    </r>
    <r>
      <rPr>
        <sz val="9"/>
        <rFont val="Arial"/>
        <charset val="204"/>
      </rPr>
      <t>)</t>
    </r>
    <r>
      <rPr>
        <sz val="9"/>
        <rFont val="宋体"/>
        <charset val="204"/>
      </rPr>
      <t>、垫片（增补）、旋转喷射器（江阴节能）、减温减压阀（青岛高远）、垫片（备）、金属软管（百新）、安全阀（</t>
    </r>
    <r>
      <rPr>
        <sz val="9"/>
        <rFont val="Arial"/>
        <charset val="204"/>
      </rPr>
      <t>Leser</t>
    </r>
    <r>
      <rPr>
        <sz val="9"/>
        <rFont val="宋体"/>
        <charset val="204"/>
      </rPr>
      <t>）、限流孔板（温州捷达）、皂角装车鹤管、高压工艺阀门（剩余</t>
    </r>
    <r>
      <rPr>
        <sz val="9"/>
        <rFont val="Arial"/>
        <charset val="204"/>
      </rPr>
      <t>23</t>
    </r>
    <r>
      <rPr>
        <sz val="9"/>
        <rFont val="宋体"/>
        <charset val="204"/>
      </rPr>
      <t>台）、高压备品阀门</t>
    </r>
    <r>
      <rPr>
        <sz val="9"/>
        <rFont val="Arial"/>
        <charset val="204"/>
      </rPr>
      <t>90</t>
    </r>
    <r>
      <rPr>
        <sz val="9"/>
        <rFont val="宋体"/>
        <charset val="204"/>
      </rPr>
      <t>台，增补阀门</t>
    </r>
    <r>
      <rPr>
        <sz val="9"/>
        <rFont val="Arial"/>
        <charset val="204"/>
      </rPr>
      <t>155</t>
    </r>
    <r>
      <rPr>
        <sz val="9"/>
        <rFont val="宋体"/>
        <charset val="204"/>
      </rPr>
      <t>台，剩余管段</t>
    </r>
    <r>
      <rPr>
        <sz val="9"/>
        <rFont val="Arial"/>
        <charset val="204"/>
      </rPr>
      <t>5</t>
    </r>
    <r>
      <rPr>
        <sz val="9"/>
        <rFont val="宋体"/>
        <charset val="204"/>
      </rPr>
      <t>、</t>
    </r>
    <r>
      <rPr>
        <sz val="9"/>
        <rFont val="Arial"/>
        <charset val="204"/>
      </rPr>
      <t>PIV</t>
    </r>
    <r>
      <rPr>
        <sz val="9"/>
        <rFont val="宋体"/>
        <charset val="204"/>
      </rPr>
      <t>阀（昇瑞）、过滤器（启东）、仪表管阀件（海纬）</t>
    </r>
    <r>
      <rPr>
        <sz val="9"/>
        <color rgb="FFFF0000"/>
        <rFont val="Arial"/>
        <charset val="204"/>
      </rPr>
      <t xml:space="preserve">
</t>
    </r>
    <r>
      <rPr>
        <b/>
        <sz val="9"/>
        <color rgb="FF000000"/>
        <rFont val="宋体"/>
        <charset val="204"/>
      </rPr>
      <t>辅材：</t>
    </r>
    <r>
      <rPr>
        <sz val="9"/>
        <color rgb="FF000000"/>
        <rFont val="宋体"/>
        <charset val="204"/>
      </rPr>
      <t>电仪队物资、试水工装（泵、阀）、试压用压力表</t>
    </r>
  </si>
  <si>
    <t>160</t>
  </si>
  <si>
    <t>53</t>
  </si>
  <si>
    <t>SITC MAKASSAR V.2418S</t>
  </si>
  <si>
    <t xml:space="preserve">SITGSHAU010017 </t>
  </si>
  <si>
    <t>2024/11/30</t>
  </si>
  <si>
    <r>
      <rPr>
        <sz val="9"/>
        <color rgb="FF000000"/>
        <rFont val="Arial"/>
        <charset val="204"/>
      </rPr>
      <t>Offsite-ELE-004</t>
    </r>
    <r>
      <rPr>
        <sz val="9"/>
        <color rgb="FF000000"/>
        <rFont val="宋体"/>
        <charset val="204"/>
      </rPr>
      <t>低压柜、</t>
    </r>
    <r>
      <rPr>
        <sz val="9"/>
        <color rgb="FF000000"/>
        <rFont val="Arial"/>
        <charset val="204"/>
      </rPr>
      <t>Offsite-ELE-011</t>
    </r>
    <r>
      <rPr>
        <sz val="9"/>
        <color rgb="FF000000"/>
        <rFont val="宋体"/>
        <charset val="204"/>
      </rPr>
      <t>隔离柜、</t>
    </r>
    <r>
      <rPr>
        <sz val="9"/>
        <color rgb="FF000000"/>
        <rFont val="Arial"/>
        <charset val="204"/>
      </rPr>
      <t>Offsite-ICS-002</t>
    </r>
    <r>
      <rPr>
        <sz val="9"/>
        <color rgb="FF000000"/>
        <rFont val="宋体"/>
        <charset val="204"/>
      </rPr>
      <t>超声波流量计、</t>
    </r>
    <r>
      <rPr>
        <sz val="9"/>
        <color rgb="FF000000"/>
        <rFont val="Arial"/>
        <charset val="204"/>
      </rPr>
      <t>MCT</t>
    </r>
    <r>
      <rPr>
        <sz val="9"/>
        <color rgb="FF000000"/>
        <rFont val="宋体"/>
        <charset val="204"/>
      </rPr>
      <t>备品备件、仪表阀件</t>
    </r>
    <r>
      <rPr>
        <sz val="9"/>
        <color rgb="FF000000"/>
        <rFont val="Arial"/>
        <charset val="204"/>
      </rPr>
      <t>(Parker)</t>
    </r>
    <r>
      <rPr>
        <sz val="9"/>
        <color rgb="FF000000"/>
        <rFont val="宋体"/>
        <charset val="204"/>
      </rPr>
      <t>、</t>
    </r>
    <r>
      <rPr>
        <sz val="9"/>
        <color rgb="FF000000"/>
        <rFont val="Arial"/>
        <charset val="204"/>
      </rPr>
      <t>Offsite-ICS-011</t>
    </r>
    <r>
      <rPr>
        <sz val="9"/>
        <color rgb="FF000000"/>
        <rFont val="宋体"/>
        <charset val="204"/>
      </rPr>
      <t>仪表管件（</t>
    </r>
    <r>
      <rPr>
        <sz val="9"/>
        <color rgb="FF000000"/>
        <rFont val="Arial"/>
        <charset val="204"/>
      </rPr>
      <t>Hylok</t>
    </r>
    <r>
      <rPr>
        <sz val="9"/>
        <color rgb="FF000000"/>
        <rFont val="宋体"/>
        <charset val="204"/>
      </rPr>
      <t>）、</t>
    </r>
    <r>
      <rPr>
        <sz val="9"/>
        <color rgb="FF000000"/>
        <rFont val="Arial"/>
        <charset val="204"/>
      </rPr>
      <t>Offsite-ICS-007</t>
    </r>
    <r>
      <rPr>
        <sz val="9"/>
        <color rgb="FF000000"/>
        <rFont val="宋体"/>
        <charset val="204"/>
      </rPr>
      <t>质量流量计、</t>
    </r>
    <r>
      <rPr>
        <sz val="9"/>
        <color rgb="FF000000"/>
        <rFont val="Arial"/>
        <charset val="204"/>
      </rPr>
      <t>Offsite-ICS-001</t>
    </r>
    <r>
      <rPr>
        <sz val="9"/>
        <color rgb="FF000000"/>
        <rFont val="宋体"/>
        <charset val="204"/>
      </rPr>
      <t>雷达液位计</t>
    </r>
    <r>
      <rPr>
        <sz val="9"/>
        <color rgb="FF000000"/>
        <rFont val="Arial"/>
        <charset val="204"/>
      </rPr>
      <t>17</t>
    </r>
    <r>
      <rPr>
        <sz val="9"/>
        <color rgb="FF000000"/>
        <rFont val="宋体"/>
        <charset val="204"/>
      </rPr>
      <t>台、</t>
    </r>
    <r>
      <rPr>
        <sz val="9"/>
        <color rgb="FF000000"/>
        <rFont val="Arial"/>
        <charset val="204"/>
      </rPr>
      <t>Offsite-ICS-003</t>
    </r>
    <r>
      <rPr>
        <sz val="9"/>
        <color rgb="FF000000"/>
        <rFont val="宋体"/>
        <charset val="204"/>
      </rPr>
      <t>音叉液位开关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台、</t>
    </r>
    <r>
      <rPr>
        <sz val="9"/>
        <color rgb="FF000000"/>
        <rFont val="Arial"/>
        <charset val="204"/>
      </rPr>
      <t>Offsite-TAN-023</t>
    </r>
    <r>
      <rPr>
        <sz val="9"/>
        <color rgb="FF000000"/>
        <rFont val="宋体"/>
        <charset val="204"/>
      </rPr>
      <t>蒸汽闭锁阀</t>
    </r>
    <r>
      <rPr>
        <sz val="9"/>
        <color rgb="FF000000"/>
        <rFont val="Arial"/>
        <charset val="204"/>
      </rPr>
      <t>/</t>
    </r>
    <r>
      <rPr>
        <sz val="9"/>
        <color rgb="FF000000"/>
        <rFont val="宋体"/>
        <charset val="204"/>
      </rPr>
      <t>量油尺、</t>
    </r>
    <r>
      <rPr>
        <sz val="9"/>
        <color rgb="FF000000"/>
        <rFont val="Arial"/>
        <charset val="204"/>
      </rPr>
      <t>Offsite-ICS-004</t>
    </r>
    <r>
      <rPr>
        <sz val="9"/>
        <color rgb="FF000000"/>
        <rFont val="宋体"/>
        <charset val="204"/>
      </rPr>
      <t>节流装置、</t>
    </r>
    <r>
      <rPr>
        <sz val="9"/>
        <color rgb="FF000000"/>
        <rFont val="Arial"/>
        <charset val="204"/>
      </rPr>
      <t>Offsite-ICS-005</t>
    </r>
    <r>
      <rPr>
        <sz val="9"/>
        <color rgb="FF000000"/>
        <rFont val="宋体"/>
        <charset val="204"/>
      </rPr>
      <t>温度计</t>
    </r>
    <r>
      <rPr>
        <sz val="9"/>
        <color rgb="FF000000"/>
        <rFont val="Arial"/>
        <charset val="204"/>
      </rPr>
      <t>237</t>
    </r>
    <r>
      <rPr>
        <sz val="9"/>
        <color rgb="FF000000"/>
        <rFont val="宋体"/>
        <charset val="204"/>
      </rPr>
      <t>台、热电偶</t>
    </r>
    <r>
      <rPr>
        <sz val="9"/>
        <color rgb="FF000000"/>
        <rFont val="Arial"/>
        <charset val="204"/>
      </rPr>
      <t>404</t>
    </r>
    <r>
      <rPr>
        <sz val="9"/>
        <color rgb="FF000000"/>
        <rFont val="宋体"/>
        <charset val="204"/>
      </rPr>
      <t>台、热电阻</t>
    </r>
    <r>
      <rPr>
        <sz val="9"/>
        <color rgb="FF000000"/>
        <rFont val="Arial"/>
        <charset val="204"/>
      </rPr>
      <t>36</t>
    </r>
    <r>
      <rPr>
        <sz val="9"/>
        <color rgb="FF000000"/>
        <rFont val="宋体"/>
        <charset val="204"/>
      </rPr>
      <t>台，温度变送器</t>
    </r>
    <r>
      <rPr>
        <sz val="9"/>
        <color rgb="FF000000"/>
        <rFont val="Arial"/>
        <charset val="204"/>
      </rPr>
      <t>49</t>
    </r>
    <r>
      <rPr>
        <sz val="9"/>
        <color rgb="FF000000"/>
        <rFont val="宋体"/>
        <charset val="204"/>
      </rPr>
      <t>台（雅斯科）、</t>
    </r>
    <r>
      <rPr>
        <sz val="9"/>
        <color rgb="FF000000"/>
        <rFont val="Arial"/>
        <charset val="204"/>
      </rPr>
      <t>Offsite-ICS-016</t>
    </r>
    <r>
      <rPr>
        <sz val="9"/>
        <color rgb="FF000000"/>
        <rFont val="宋体"/>
        <charset val="204"/>
      </rPr>
      <t>压力表</t>
    </r>
    <r>
      <rPr>
        <sz val="9"/>
        <color rgb="FF000000"/>
        <rFont val="Arial"/>
        <charset val="204"/>
      </rPr>
      <t>620</t>
    </r>
    <r>
      <rPr>
        <sz val="9"/>
        <color rgb="FF000000"/>
        <rFont val="宋体"/>
        <charset val="204"/>
      </rPr>
      <t>台</t>
    </r>
  </si>
  <si>
    <t>54</t>
  </si>
  <si>
    <t>YM COOPERATION V.040S</t>
  </si>
  <si>
    <t>I228472051</t>
  </si>
  <si>
    <r>
      <rPr>
        <sz val="9"/>
        <rFont val="宋体"/>
        <charset val="204"/>
      </rPr>
      <t>厦门</t>
    </r>
    <r>
      <rPr>
        <sz val="9"/>
        <rFont val="Arial"/>
        <charset val="204"/>
      </rPr>
      <t>Xiamen</t>
    </r>
  </si>
  <si>
    <t>2024/12/12</t>
  </si>
  <si>
    <r>
      <rPr>
        <sz val="9"/>
        <color rgb="FF000000"/>
        <rFont val="Arial"/>
        <charset val="204"/>
      </rPr>
      <t>Offsite-ELE-003</t>
    </r>
    <r>
      <rPr>
        <sz val="9"/>
        <color rgb="FF000000"/>
        <rFont val="宋体"/>
        <charset val="204"/>
      </rPr>
      <t>中压柜</t>
    </r>
  </si>
  <si>
    <t>55</t>
  </si>
  <si>
    <t>EVER BRAVE V.2001-079S</t>
  </si>
  <si>
    <t>EGLV142403861317</t>
  </si>
  <si>
    <t>2024/12/5</t>
  </si>
  <si>
    <r>
      <rPr>
        <sz val="9"/>
        <color rgb="FF000000"/>
        <rFont val="宋体"/>
        <charset val="204"/>
      </rPr>
      <t>增补管段</t>
    </r>
    <r>
      <rPr>
        <sz val="9"/>
        <color rgb="FF000000"/>
        <rFont val="Arial"/>
        <charset val="204"/>
      </rPr>
      <t>6</t>
    </r>
  </si>
  <si>
    <t>56</t>
  </si>
  <si>
    <t>ST SUCCESS 026S</t>
  </si>
  <si>
    <t xml:space="preserve">KMTCSHAN241192 </t>
  </si>
  <si>
    <t>2024/12/20</t>
  </si>
  <si>
    <r>
      <rPr>
        <sz val="9"/>
        <rFont val="Arial"/>
        <charset val="204"/>
      </rPr>
      <t>Offsite-ELE-029</t>
    </r>
    <r>
      <rPr>
        <sz val="9"/>
        <rFont val="宋体"/>
        <charset val="204"/>
      </rPr>
      <t>软启动柜、</t>
    </r>
    <r>
      <rPr>
        <sz val="9"/>
        <rFont val="Arial"/>
        <charset val="204"/>
      </rPr>
      <t>Offsite-ELE-010</t>
    </r>
    <r>
      <rPr>
        <sz val="9"/>
        <rFont val="宋体"/>
        <charset val="204"/>
      </rPr>
      <t>变频器、</t>
    </r>
    <r>
      <rPr>
        <sz val="9"/>
        <rFont val="Arial"/>
        <charset val="204"/>
      </rPr>
      <t>Offsite-ELE-009-EMCS</t>
    </r>
    <r>
      <rPr>
        <sz val="9"/>
        <rFont val="宋体"/>
        <charset val="204"/>
      </rPr>
      <t>、</t>
    </r>
    <r>
      <rPr>
        <sz val="9"/>
        <rFont val="Arial"/>
        <charset val="204"/>
      </rPr>
      <t>Offsite-ELE-014-MV</t>
    </r>
    <r>
      <rPr>
        <sz val="9"/>
        <rFont val="宋体"/>
        <charset val="204"/>
      </rPr>
      <t>母线桥、</t>
    </r>
    <r>
      <rPr>
        <sz val="9"/>
        <rFont val="Arial"/>
        <charset val="204"/>
      </rPr>
      <t>Offsite-PIP-006</t>
    </r>
    <r>
      <rPr>
        <sz val="9"/>
        <rFont val="宋体"/>
        <charset val="204"/>
      </rPr>
      <t>低压阀门（备）</t>
    </r>
  </si>
  <si>
    <t>1x40OT+
1x40HQ+1x20GP</t>
  </si>
  <si>
    <t>57</t>
  </si>
  <si>
    <t>KMTC NINGBO V.2412S</t>
  </si>
  <si>
    <t>SITGSHAU010020</t>
  </si>
  <si>
    <t>2024/12/21</t>
  </si>
  <si>
    <r>
      <rPr>
        <sz val="9"/>
        <rFont val="宋体"/>
        <charset val="204"/>
      </rPr>
      <t>增补管道</t>
    </r>
    <r>
      <rPr>
        <sz val="9"/>
        <rFont val="Arial"/>
        <charset val="204"/>
      </rPr>
      <t>7</t>
    </r>
    <r>
      <rPr>
        <sz val="9"/>
        <rFont val="宋体"/>
        <charset val="204"/>
      </rPr>
      <t>（含</t>
    </r>
    <r>
      <rPr>
        <sz val="9"/>
        <rFont val="Arial"/>
        <charset val="204"/>
      </rPr>
      <t>parker</t>
    </r>
    <r>
      <rPr>
        <sz val="9"/>
        <rFont val="宋体"/>
        <charset val="204"/>
      </rPr>
      <t>仪表管）、型钢等</t>
    </r>
  </si>
  <si>
    <t>58</t>
  </si>
  <si>
    <t>KMTC PENANG V.2412S</t>
  </si>
  <si>
    <r>
      <rPr>
        <sz val="9"/>
        <color rgb="FF000000"/>
        <rFont val="Arial"/>
        <charset val="204"/>
      </rPr>
      <t>KMTCSHAN269453</t>
    </r>
    <r>
      <rPr>
        <sz val="9"/>
        <color rgb="FF000000"/>
        <rFont val="宋体"/>
        <charset val="204"/>
      </rPr>
      <t>、</t>
    </r>
    <r>
      <rPr>
        <sz val="9"/>
        <color rgb="FF000000"/>
        <rFont val="Arial"/>
        <charset val="204"/>
      </rPr>
      <t>KMTCSHAN274885</t>
    </r>
  </si>
  <si>
    <t>2024/12/22</t>
  </si>
  <si>
    <r>
      <rPr>
        <sz val="9"/>
        <color rgb="FF000000"/>
        <rFont val="宋体"/>
        <charset val="204"/>
      </rPr>
      <t>管道</t>
    </r>
    <r>
      <rPr>
        <sz val="9"/>
        <color rgb="FF000000"/>
        <rFont val="Arial"/>
        <charset val="204"/>
      </rPr>
      <t>&amp;</t>
    </r>
    <r>
      <rPr>
        <sz val="9"/>
        <color rgb="FF000000"/>
        <rFont val="宋体"/>
        <charset val="204"/>
      </rPr>
      <t>储罐油漆（佐敦）</t>
    </r>
  </si>
  <si>
    <t>59</t>
  </si>
  <si>
    <t>SITC MAKASSAR V.2501S</t>
  </si>
  <si>
    <r>
      <rPr>
        <sz val="9"/>
        <color rgb="FF000000"/>
        <rFont val="Arial"/>
        <charset val="204"/>
      </rPr>
      <t>KMTCSHAN300587</t>
    </r>
    <r>
      <rPr>
        <sz val="9"/>
        <color rgb="FF000000"/>
        <rFont val="宋体"/>
        <charset val="204"/>
      </rPr>
      <t>、</t>
    </r>
    <r>
      <rPr>
        <sz val="9"/>
        <color rgb="FF000000"/>
        <rFont val="Arial"/>
        <charset val="204"/>
      </rPr>
      <t>KMTCSHAN308602</t>
    </r>
  </si>
  <si>
    <t>2024/12/28</t>
  </si>
  <si>
    <t>60</t>
  </si>
  <si>
    <t>SITC MAKASSAR  2502S</t>
  </si>
  <si>
    <t>SITDSHAUQ217049</t>
  </si>
  <si>
    <r>
      <rPr>
        <sz val="9"/>
        <color rgb="FF000000"/>
        <rFont val="宋体"/>
        <charset val="204"/>
      </rPr>
      <t>储罐内壁油漆（国际）</t>
    </r>
  </si>
  <si>
    <t>3x40HQ+1x20RF</t>
  </si>
  <si>
    <t>61</t>
  </si>
  <si>
    <t>SITGSHAU010023</t>
  </si>
  <si>
    <r>
      <rPr>
        <b/>
        <sz val="9"/>
        <rFont val="宋体"/>
        <charset val="204"/>
      </rPr>
      <t>辅材</t>
    </r>
    <r>
      <rPr>
        <sz val="9"/>
        <rFont val="宋体"/>
        <charset val="204"/>
      </rPr>
      <t>（绳形加热器、焊材、电仪队物资）</t>
    </r>
    <r>
      <rPr>
        <sz val="9"/>
        <rFont val="Arial"/>
        <charset val="204"/>
      </rPr>
      <t xml:space="preserve">
</t>
    </r>
    <r>
      <rPr>
        <b/>
        <sz val="9"/>
        <rFont val="宋体"/>
        <charset val="204"/>
      </rPr>
      <t>主材</t>
    </r>
    <r>
      <rPr>
        <sz val="9"/>
        <rFont val="宋体"/>
        <charset val="204"/>
      </rPr>
      <t>（桥架、螺栓、铭牌、接地板）</t>
    </r>
  </si>
  <si>
    <t>62</t>
  </si>
  <si>
    <t>SITGSHAU010022</t>
  </si>
  <si>
    <r>
      <rPr>
        <sz val="9"/>
        <rFont val="Arial"/>
        <charset val="204"/>
      </rPr>
      <t>390</t>
    </r>
    <r>
      <rPr>
        <sz val="9"/>
        <rFont val="宋体"/>
        <charset val="204"/>
      </rPr>
      <t>疏水阀</t>
    </r>
    <r>
      <rPr>
        <sz val="9"/>
        <rFont val="Arial"/>
        <charset val="204"/>
      </rPr>
      <t>&amp;</t>
    </r>
    <r>
      <rPr>
        <sz val="9"/>
        <rFont val="宋体"/>
        <charset val="204"/>
      </rPr>
      <t>过滤器（甲供）、电缆终端接头铜鼻子、</t>
    </r>
    <r>
      <rPr>
        <sz val="9"/>
        <rFont val="Arial"/>
        <charset val="204"/>
      </rPr>
      <t>Offsite-ICS-003</t>
    </r>
    <r>
      <rPr>
        <sz val="9"/>
        <rFont val="宋体"/>
        <charset val="204"/>
      </rPr>
      <t>音叉液位开关</t>
    </r>
    <r>
      <rPr>
        <sz val="9"/>
        <rFont val="Arial"/>
        <charset val="204"/>
      </rPr>
      <t>78</t>
    </r>
    <r>
      <rPr>
        <sz val="9"/>
        <rFont val="宋体"/>
        <charset val="204"/>
      </rPr>
      <t>台、</t>
    </r>
    <r>
      <rPr>
        <sz val="9"/>
        <rFont val="Arial"/>
        <charset val="204"/>
      </rPr>
      <t>Offsite-ICS-001</t>
    </r>
    <r>
      <rPr>
        <sz val="9"/>
        <rFont val="宋体"/>
        <charset val="204"/>
      </rPr>
      <t>雷达液位计</t>
    </r>
    <r>
      <rPr>
        <sz val="9"/>
        <rFont val="Arial"/>
        <charset val="204"/>
      </rPr>
      <t>27</t>
    </r>
    <r>
      <rPr>
        <sz val="9"/>
        <rFont val="宋体"/>
        <charset val="204"/>
      </rPr>
      <t>台、</t>
    </r>
    <r>
      <rPr>
        <sz val="9"/>
        <rFont val="Arial"/>
        <charset val="204"/>
      </rPr>
      <t>Offsite-PIP-023</t>
    </r>
    <r>
      <rPr>
        <sz val="9"/>
        <rFont val="宋体"/>
        <charset val="204"/>
      </rPr>
      <t>减压阀（铜都）、</t>
    </r>
    <r>
      <rPr>
        <sz val="9"/>
        <rFont val="Arial"/>
        <charset val="204"/>
      </rPr>
      <t>Offsite-ICS-020</t>
    </r>
    <r>
      <rPr>
        <sz val="9"/>
        <rFont val="宋体"/>
        <charset val="204"/>
      </rPr>
      <t>电动清管阀、</t>
    </r>
    <r>
      <rPr>
        <sz val="9"/>
        <rFont val="Arial"/>
        <charset val="204"/>
      </rPr>
      <t>Offsite-ELE-026</t>
    </r>
    <r>
      <rPr>
        <sz val="9"/>
        <rFont val="宋体"/>
        <charset val="204"/>
      </rPr>
      <t>穿线盒</t>
    </r>
    <r>
      <rPr>
        <sz val="9"/>
        <rFont val="Arial"/>
        <charset val="204"/>
      </rPr>
      <t>&amp;</t>
    </r>
    <r>
      <rPr>
        <sz val="9"/>
        <rFont val="宋体"/>
        <charset val="204"/>
      </rPr>
      <t>防爆金属软管、</t>
    </r>
    <r>
      <rPr>
        <sz val="9"/>
        <rFont val="Arial"/>
        <charset val="204"/>
      </rPr>
      <t>Offsite-ICS-017</t>
    </r>
    <r>
      <rPr>
        <sz val="9"/>
        <rFont val="宋体"/>
        <charset val="204"/>
      </rPr>
      <t>浮筒液位计、压力表</t>
    </r>
    <r>
      <rPr>
        <sz val="9"/>
        <rFont val="Arial"/>
        <charset val="204"/>
      </rPr>
      <t>12</t>
    </r>
    <r>
      <rPr>
        <sz val="9"/>
        <rFont val="宋体"/>
        <charset val="204"/>
      </rPr>
      <t>台</t>
    </r>
  </si>
  <si>
    <t>63</t>
  </si>
  <si>
    <t>SITGSHAU010024</t>
  </si>
  <si>
    <r>
      <rPr>
        <sz val="9"/>
        <rFont val="Arial"/>
        <charset val="204"/>
      </rPr>
      <t>Offsite-TEL-002</t>
    </r>
    <r>
      <rPr>
        <sz val="9"/>
        <rFont val="宋体"/>
        <charset val="204"/>
      </rPr>
      <t>炉内高温摄像头、</t>
    </r>
    <r>
      <rPr>
        <sz val="9"/>
        <rFont val="Arial"/>
        <charset val="204"/>
      </rPr>
      <t>Offsite-PIP-006</t>
    </r>
    <r>
      <rPr>
        <sz val="9"/>
        <rFont val="宋体"/>
        <charset val="204"/>
      </rPr>
      <t>阀门（</t>
    </r>
    <r>
      <rPr>
        <sz val="9"/>
        <rFont val="Arial"/>
        <charset val="204"/>
      </rPr>
      <t>260</t>
    </r>
    <r>
      <rPr>
        <sz val="9"/>
        <rFont val="宋体"/>
        <charset val="204"/>
      </rPr>
      <t>单元）</t>
    </r>
    <r>
      <rPr>
        <sz val="9"/>
        <rFont val="Arial"/>
        <charset val="204"/>
      </rPr>
      <t>93</t>
    </r>
    <r>
      <rPr>
        <sz val="9"/>
        <rFont val="宋体"/>
        <charset val="204"/>
      </rPr>
      <t>台、</t>
    </r>
    <r>
      <rPr>
        <sz val="9"/>
        <rFont val="Arial"/>
        <charset val="204"/>
      </rPr>
      <t>Offsite-PIP-007</t>
    </r>
    <r>
      <rPr>
        <sz val="9"/>
        <rFont val="宋体"/>
        <charset val="204"/>
      </rPr>
      <t>高压阀门（备、增补）</t>
    </r>
    <r>
      <rPr>
        <sz val="9"/>
        <rFont val="Arial"/>
        <charset val="204"/>
      </rPr>
      <t>90</t>
    </r>
    <r>
      <rPr>
        <sz val="9"/>
        <rFont val="宋体"/>
        <charset val="204"/>
      </rPr>
      <t>台</t>
    </r>
    <r>
      <rPr>
        <sz val="9"/>
        <rFont val="Arial"/>
        <charset val="204"/>
      </rPr>
      <t>+56</t>
    </r>
    <r>
      <rPr>
        <sz val="9"/>
        <rFont val="宋体"/>
        <charset val="204"/>
      </rPr>
      <t>台</t>
    </r>
    <r>
      <rPr>
        <sz val="9"/>
        <rFont val="Arial"/>
        <charset val="204"/>
      </rPr>
      <t>+6</t>
    </r>
    <r>
      <rPr>
        <sz val="9"/>
        <rFont val="宋体"/>
        <charset val="204"/>
      </rPr>
      <t>台、</t>
    </r>
    <r>
      <rPr>
        <sz val="9"/>
        <rFont val="Arial"/>
        <charset val="204"/>
      </rPr>
      <t>Offsite-PIP-014</t>
    </r>
    <r>
      <rPr>
        <sz val="9"/>
        <rFont val="宋体"/>
        <charset val="204"/>
      </rPr>
      <t>视镜、</t>
    </r>
    <r>
      <rPr>
        <sz val="9"/>
        <rFont val="Arial"/>
        <charset val="204"/>
      </rPr>
      <t>Offsite-PIP-017</t>
    </r>
    <r>
      <rPr>
        <sz val="9"/>
        <rFont val="宋体"/>
        <charset val="204"/>
      </rPr>
      <t>阻火器、</t>
    </r>
    <r>
      <rPr>
        <sz val="9"/>
        <rFont val="Arial"/>
        <charset val="204"/>
      </rPr>
      <t>Offsite-PIP-020</t>
    </r>
    <r>
      <rPr>
        <sz val="9"/>
        <rFont val="宋体"/>
        <charset val="204"/>
      </rPr>
      <t>密闭取样器、</t>
    </r>
    <r>
      <rPr>
        <sz val="9"/>
        <rFont val="Arial"/>
        <charset val="204"/>
      </rPr>
      <t>Offsite-ICS-019</t>
    </r>
    <r>
      <rPr>
        <sz val="9"/>
        <rFont val="宋体"/>
        <charset val="204"/>
      </rPr>
      <t>磁翻板液位计</t>
    </r>
    <r>
      <rPr>
        <sz val="9"/>
        <rFont val="Arial"/>
        <charset val="204"/>
      </rPr>
      <t>37</t>
    </r>
    <r>
      <rPr>
        <sz val="9"/>
        <rFont val="宋体"/>
        <charset val="204"/>
      </rPr>
      <t>台</t>
    </r>
  </si>
  <si>
    <t>1x40HQ+2x20GP</t>
  </si>
  <si>
    <t>64</t>
  </si>
  <si>
    <t>OOCL AUSTRALIA V.262S</t>
  </si>
  <si>
    <t>OOLU2753339630</t>
  </si>
  <si>
    <r>
      <rPr>
        <sz val="9"/>
        <color rgb="FF000000"/>
        <rFont val="宋体"/>
        <charset val="204"/>
      </rPr>
      <t>青岛</t>
    </r>
    <r>
      <rPr>
        <sz val="9"/>
        <color rgb="FF000000"/>
        <rFont val="Arial"/>
        <charset val="204"/>
      </rPr>
      <t>Qingdao</t>
    </r>
  </si>
  <si>
    <t>2024/12/31</t>
  </si>
  <si>
    <t>2025/1/17</t>
  </si>
  <si>
    <r>
      <rPr>
        <sz val="9"/>
        <rFont val="Arial"/>
        <charset val="204"/>
      </rPr>
      <t>Onsite-INP-004</t>
    </r>
    <r>
      <rPr>
        <sz val="9"/>
        <rFont val="宋体"/>
        <charset val="204"/>
      </rPr>
      <t>硅酸铝卷毡（管道）</t>
    </r>
    <r>
      <rPr>
        <sz val="9"/>
        <rFont val="Arial"/>
        <charset val="204"/>
      </rPr>
      <t>1</t>
    </r>
  </si>
  <si>
    <t>65</t>
  </si>
  <si>
    <t>Batch 17</t>
  </si>
  <si>
    <t>TS NANSHA 24013S</t>
  </si>
  <si>
    <t>KMTCSHAN392577</t>
  </si>
  <si>
    <t>2025/1/5</t>
  </si>
  <si>
    <t>2025/1/14</t>
  </si>
  <si>
    <r>
      <rPr>
        <sz val="9"/>
        <rFont val="宋体"/>
        <charset val="204"/>
      </rPr>
      <t>增补管道</t>
    </r>
    <r>
      <rPr>
        <sz val="9"/>
        <rFont val="Arial"/>
        <charset val="204"/>
      </rPr>
      <t>8</t>
    </r>
    <r>
      <rPr>
        <sz val="9"/>
        <rFont val="宋体"/>
        <charset val="204"/>
      </rPr>
      <t>、板材、型材</t>
    </r>
    <r>
      <rPr>
        <sz val="9"/>
        <rFont val="Arial"/>
        <charset val="204"/>
      </rPr>
      <t>,Offsite-ICS-010</t>
    </r>
    <r>
      <rPr>
        <sz val="9"/>
        <rFont val="宋体"/>
        <charset val="204"/>
      </rPr>
      <t>储罐计量系统，</t>
    </r>
    <r>
      <rPr>
        <sz val="9"/>
        <rFont val="Arial"/>
        <charset val="204"/>
      </rPr>
      <t>Offsite-PIP-022</t>
    </r>
    <r>
      <rPr>
        <sz val="9"/>
        <rFont val="宋体"/>
        <charset val="204"/>
      </rPr>
      <t>手动清管阀</t>
    </r>
    <r>
      <rPr>
        <sz val="9"/>
        <rFont val="Arial"/>
        <charset val="204"/>
      </rPr>
      <t>1</t>
    </r>
    <r>
      <rPr>
        <sz val="9"/>
        <rFont val="宋体"/>
        <charset val="204"/>
      </rPr>
      <t>台、增补螺栓</t>
    </r>
    <r>
      <rPr>
        <sz val="9"/>
        <rFont val="Arial"/>
        <charset val="204"/>
      </rPr>
      <t>2</t>
    </r>
    <r>
      <rPr>
        <sz val="9"/>
        <rFont val="宋体"/>
        <charset val="204"/>
      </rPr>
      <t>箱，</t>
    </r>
    <r>
      <rPr>
        <sz val="9"/>
        <rFont val="Arial"/>
        <charset val="204"/>
      </rPr>
      <t>Offsite-ICS-019</t>
    </r>
    <r>
      <rPr>
        <sz val="9"/>
        <rFont val="宋体"/>
        <charset val="204"/>
      </rPr>
      <t>磁致伸缩液位计</t>
    </r>
    <r>
      <rPr>
        <sz val="9"/>
        <rFont val="Arial"/>
        <charset val="204"/>
      </rPr>
      <t>5</t>
    </r>
    <r>
      <rPr>
        <sz val="9"/>
        <rFont val="宋体"/>
        <charset val="204"/>
      </rPr>
      <t>台，</t>
    </r>
    <r>
      <rPr>
        <sz val="9"/>
        <rFont val="Arial"/>
        <charset val="204"/>
      </rPr>
      <t>ND50</t>
    </r>
    <r>
      <rPr>
        <sz val="9"/>
        <rFont val="宋体"/>
        <charset val="204"/>
      </rPr>
      <t>镀锌管</t>
    </r>
    <r>
      <rPr>
        <sz val="9"/>
        <rFont val="Arial"/>
        <charset val="204"/>
      </rPr>
      <t>4</t>
    </r>
    <r>
      <rPr>
        <sz val="9"/>
        <rFont val="宋体"/>
        <charset val="204"/>
      </rPr>
      <t>根</t>
    </r>
  </si>
  <si>
    <t>66</t>
  </si>
  <si>
    <t>YM COOPERATION 041S</t>
  </si>
  <si>
    <t>KMTCSHAN408060</t>
  </si>
  <si>
    <t>2025/1/8</t>
  </si>
  <si>
    <t>2025/1/19</t>
  </si>
  <si>
    <r>
      <rPr>
        <sz val="9"/>
        <color rgb="FF000000"/>
        <rFont val="Arial"/>
        <charset val="204"/>
      </rPr>
      <t>Offsite-ICS-019</t>
    </r>
    <r>
      <rPr>
        <sz val="9"/>
        <color rgb="FF000000"/>
        <rFont val="宋体"/>
        <charset val="204"/>
      </rPr>
      <t>磁翻板液位计（</t>
    </r>
    <r>
      <rPr>
        <sz val="9"/>
        <color rgb="FF000000"/>
        <rFont val="Arial"/>
        <charset val="204"/>
      </rPr>
      <t>77</t>
    </r>
    <r>
      <rPr>
        <sz val="9"/>
        <color rgb="FF000000"/>
        <rFont val="宋体"/>
        <charset val="204"/>
      </rPr>
      <t>台），管件</t>
    </r>
    <r>
      <rPr>
        <sz val="9"/>
        <color rgb="FF000000"/>
        <rFont val="Arial"/>
        <charset val="204"/>
      </rPr>
      <t>1107</t>
    </r>
    <r>
      <rPr>
        <sz val="9"/>
        <color rgb="FF000000"/>
        <rFont val="宋体"/>
        <charset val="204"/>
      </rPr>
      <t>个，螺栓</t>
    </r>
    <r>
      <rPr>
        <sz val="9"/>
        <color rgb="FF000000"/>
        <rFont val="Arial"/>
        <charset val="204"/>
      </rPr>
      <t>17567</t>
    </r>
    <r>
      <rPr>
        <sz val="9"/>
        <color rgb="FF000000"/>
        <rFont val="宋体"/>
        <charset val="204"/>
      </rPr>
      <t>套，</t>
    </r>
    <r>
      <rPr>
        <sz val="9"/>
        <color rgb="FF000000"/>
        <rFont val="Arial"/>
        <charset val="204"/>
      </rPr>
      <t>Offsite-ICS-010</t>
    </r>
    <r>
      <rPr>
        <sz val="9"/>
        <color rgb="FF000000"/>
        <rFont val="宋体"/>
        <charset val="204"/>
      </rPr>
      <t>储罐计量系统，变径接头，法兰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片</t>
    </r>
  </si>
  <si>
    <t>67</t>
  </si>
  <si>
    <t>SPIL KARTINI /068S</t>
  </si>
  <si>
    <t>OOLU2753610520</t>
  </si>
  <si>
    <t>2025/1/18</t>
  </si>
  <si>
    <t>2025/2/3</t>
  </si>
  <si>
    <r>
      <rPr>
        <sz val="9"/>
        <rFont val="Arial"/>
        <charset val="204"/>
      </rPr>
      <t>Onsite-INP-004</t>
    </r>
    <r>
      <rPr>
        <sz val="9"/>
        <rFont val="宋体"/>
        <charset val="204"/>
      </rPr>
      <t>硅酸铝卷毡（设备）</t>
    </r>
    <r>
      <rPr>
        <sz val="9"/>
        <rFont val="Arial"/>
        <charset val="204"/>
      </rPr>
      <t>2</t>
    </r>
  </si>
  <si>
    <t>68</t>
  </si>
  <si>
    <t>ST SUCCESS V.0027S</t>
  </si>
  <si>
    <t>SITGSHAU010026</t>
  </si>
  <si>
    <t>2025/1/27</t>
  </si>
  <si>
    <r>
      <rPr>
        <sz val="9"/>
        <color rgb="FF000000"/>
        <rFont val="Arial"/>
        <charset val="204"/>
      </rPr>
      <t>Offsite-TAN-027</t>
    </r>
    <r>
      <rPr>
        <sz val="9"/>
        <color rgb="FF000000"/>
        <rFont val="宋体"/>
        <charset val="204"/>
      </rPr>
      <t>消防喷淋管</t>
    </r>
    <r>
      <rPr>
        <sz val="9"/>
        <color rgb="FF000000"/>
        <rFont val="Arial"/>
        <charset val="204"/>
      </rPr>
      <t>(</t>
    </r>
    <r>
      <rPr>
        <sz val="9"/>
        <color rgb="FF000000"/>
        <rFont val="宋体"/>
        <charset val="204"/>
      </rPr>
      <t>第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批），</t>
    </r>
    <r>
      <rPr>
        <sz val="9"/>
        <color rgb="FF000000"/>
        <rFont val="Arial"/>
        <charset val="204"/>
      </rPr>
      <t>Offsite-ICS-006</t>
    </r>
    <r>
      <rPr>
        <sz val="9"/>
        <color rgb="FF000000"/>
        <rFont val="宋体"/>
        <charset val="204"/>
      </rPr>
      <t>压力变送器（</t>
    </r>
    <r>
      <rPr>
        <sz val="9"/>
        <color rgb="FF000000"/>
        <rFont val="Arial"/>
        <charset val="204"/>
      </rPr>
      <t>66</t>
    </r>
    <r>
      <rPr>
        <sz val="9"/>
        <color rgb="FF000000"/>
        <rFont val="宋体"/>
        <charset val="204"/>
      </rPr>
      <t>台），</t>
    </r>
    <r>
      <rPr>
        <sz val="9"/>
        <color rgb="FF000000"/>
        <rFont val="Arial"/>
        <charset val="204"/>
      </rPr>
      <t>620</t>
    </r>
    <r>
      <rPr>
        <sz val="9"/>
        <color rgb="FF000000"/>
        <rFont val="宋体"/>
        <charset val="204"/>
      </rPr>
      <t>单元</t>
    </r>
    <r>
      <rPr>
        <sz val="9"/>
        <color rgb="FF000000"/>
        <rFont val="Arial"/>
        <charset val="204"/>
      </rPr>
      <t>UPS</t>
    </r>
    <r>
      <rPr>
        <sz val="9"/>
        <color rgb="FF000000"/>
        <rFont val="宋体"/>
        <charset val="204"/>
      </rPr>
      <t>，西门子母线（增补），垫片（增补），</t>
    </r>
    <r>
      <rPr>
        <sz val="9"/>
        <color rgb="FF000000"/>
        <rFont val="Arial"/>
        <charset val="204"/>
      </rPr>
      <t>900</t>
    </r>
    <r>
      <rPr>
        <sz val="9"/>
        <color rgb="FF000000"/>
        <rFont val="宋体"/>
        <charset val="204"/>
      </rPr>
      <t>取样器</t>
    </r>
    <r>
      <rPr>
        <sz val="9"/>
        <color rgb="FF000000"/>
        <rFont val="Arial"/>
        <charset val="204"/>
      </rPr>
      <t>8</t>
    </r>
    <r>
      <rPr>
        <sz val="9"/>
        <color rgb="FF000000"/>
        <rFont val="宋体"/>
        <charset val="204"/>
      </rPr>
      <t>台</t>
    </r>
    <r>
      <rPr>
        <sz val="9"/>
        <color rgb="FF000000"/>
        <rFont val="Arial"/>
        <charset val="204"/>
      </rPr>
      <t>+</t>
    </r>
    <r>
      <rPr>
        <sz val="9"/>
        <color rgb="FF000000"/>
        <rFont val="宋体"/>
        <charset val="204"/>
      </rPr>
      <t>视镜</t>
    </r>
    <r>
      <rPr>
        <sz val="9"/>
        <color rgb="FF000000"/>
        <rFont val="Arial"/>
        <charset val="204"/>
      </rPr>
      <t>22</t>
    </r>
    <r>
      <rPr>
        <sz val="9"/>
        <color rgb="FF000000"/>
        <rFont val="宋体"/>
        <charset val="204"/>
      </rPr>
      <t>台，氧化锆分析仪（横河），气体分析仪（</t>
    </r>
    <r>
      <rPr>
        <sz val="9"/>
        <color rgb="FF000000"/>
        <rFont val="Arial"/>
        <charset val="204"/>
      </rPr>
      <t>ABB</t>
    </r>
    <r>
      <rPr>
        <sz val="9"/>
        <color rgb="FF000000"/>
        <rFont val="宋体"/>
        <charset val="204"/>
      </rPr>
      <t>），防爆金属软管（</t>
    </r>
    <r>
      <rPr>
        <sz val="9"/>
        <color rgb="FF000000"/>
        <rFont val="Arial"/>
        <charset val="204"/>
      </rPr>
      <t>19</t>
    </r>
    <r>
      <rPr>
        <sz val="9"/>
        <color rgb="FF000000"/>
        <rFont val="宋体"/>
        <charset val="204"/>
      </rPr>
      <t>根），航空障碍灯接线箱</t>
    </r>
    <r>
      <rPr>
        <sz val="9"/>
        <color rgb="FF000000"/>
        <rFont val="Arial"/>
        <charset val="204"/>
      </rPr>
      <t>7</t>
    </r>
    <r>
      <rPr>
        <sz val="9"/>
        <color rgb="FF000000"/>
        <rFont val="宋体"/>
        <charset val="204"/>
      </rPr>
      <t>个及防爆软管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根，压力表</t>
    </r>
    <r>
      <rPr>
        <sz val="9"/>
        <color rgb="FF000000"/>
        <rFont val="Arial"/>
        <charset val="204"/>
      </rPr>
      <t>5</t>
    </r>
    <r>
      <rPr>
        <sz val="9"/>
        <color rgb="FF000000"/>
        <rFont val="宋体"/>
        <charset val="204"/>
      </rPr>
      <t>块，增补仪表管（海纬），</t>
    </r>
    <r>
      <rPr>
        <sz val="9"/>
        <color rgb="FF000000"/>
        <rFont val="Arial"/>
        <charset val="204"/>
      </rPr>
      <t>390</t>
    </r>
    <r>
      <rPr>
        <sz val="9"/>
        <color rgb="FF000000"/>
        <rFont val="宋体"/>
        <charset val="204"/>
      </rPr>
      <t>地面火炬摄像头，</t>
    </r>
    <r>
      <rPr>
        <sz val="9"/>
        <color rgb="FF000000"/>
        <rFont val="Arial"/>
        <charset val="204"/>
      </rPr>
      <t>ISBL&amp;</t>
    </r>
    <r>
      <rPr>
        <sz val="9"/>
        <color rgb="FF000000"/>
        <rFont val="宋体"/>
        <charset val="204"/>
      </rPr>
      <t>地管增补阀门</t>
    </r>
    <r>
      <rPr>
        <sz val="9"/>
        <color rgb="FF000000"/>
        <rFont val="Arial"/>
        <charset val="204"/>
      </rPr>
      <t>58</t>
    </r>
    <r>
      <rPr>
        <sz val="9"/>
        <color rgb="FF000000"/>
        <rFont val="宋体"/>
        <charset val="204"/>
      </rPr>
      <t>台（大阀），装修队物资（部分）</t>
    </r>
  </si>
  <si>
    <t>69</t>
  </si>
  <si>
    <t>EVER VAST V.2008-007S</t>
  </si>
  <si>
    <t>EGLV142550085290</t>
  </si>
  <si>
    <t>2025/1/24</t>
  </si>
  <si>
    <t>2025/1/31</t>
  </si>
  <si>
    <r>
      <rPr>
        <sz val="9"/>
        <color rgb="FF000000"/>
        <rFont val="Arial"/>
        <charset val="204"/>
      </rPr>
      <t>Offsite-TAN-027</t>
    </r>
    <r>
      <rPr>
        <sz val="9"/>
        <color rgb="FF000000"/>
        <rFont val="宋体"/>
        <charset val="204"/>
      </rPr>
      <t>消防喷淋管</t>
    </r>
    <r>
      <rPr>
        <sz val="9"/>
        <color rgb="FF000000"/>
        <rFont val="Arial"/>
        <charset val="204"/>
      </rPr>
      <t>(</t>
    </r>
    <r>
      <rPr>
        <sz val="9"/>
        <color rgb="FF000000"/>
        <rFont val="宋体"/>
        <charset val="204"/>
      </rPr>
      <t>第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批</t>
    </r>
    <r>
      <rPr>
        <sz val="9"/>
        <color rgb="FF000000"/>
        <rFont val="Arial"/>
        <charset val="204"/>
      </rPr>
      <t>-</t>
    </r>
    <r>
      <rPr>
        <sz val="9"/>
        <color rgb="FF000000"/>
        <rFont val="宋体"/>
        <charset val="204"/>
      </rPr>
      <t>直管部分）</t>
    </r>
  </si>
  <si>
    <t>1x45HQ</t>
  </si>
  <si>
    <t>70</t>
  </si>
  <si>
    <t>SITC MAKASSAR V.2502S</t>
  </si>
  <si>
    <t>KMTCSHAN490785</t>
  </si>
  <si>
    <r>
      <rPr>
        <sz val="9"/>
        <color rgb="FF000000"/>
        <rFont val="Arial"/>
        <charset val="204"/>
      </rPr>
      <t>Offsite-TAN-027</t>
    </r>
    <r>
      <rPr>
        <sz val="9"/>
        <color rgb="FF000000"/>
        <rFont val="宋体"/>
        <charset val="204"/>
      </rPr>
      <t>消防喷淋管（第</t>
    </r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批），</t>
    </r>
    <r>
      <rPr>
        <sz val="9"/>
        <color rgb="FF000000"/>
        <rFont val="Arial"/>
        <charset val="204"/>
      </rPr>
      <t>Offsite-ELE-017</t>
    </r>
    <r>
      <rPr>
        <sz val="9"/>
        <color rgb="FF000000"/>
        <rFont val="宋体"/>
        <charset val="204"/>
      </rPr>
      <t>伴热带</t>
    </r>
    <r>
      <rPr>
        <sz val="9"/>
        <color rgb="FF000000"/>
        <rFont val="Arial"/>
        <charset val="204"/>
      </rPr>
      <t>8</t>
    </r>
    <r>
      <rPr>
        <sz val="9"/>
        <color rgb="FF000000"/>
        <rFont val="宋体"/>
        <charset val="204"/>
      </rPr>
      <t>箱，加热炉环管，罐内壁角钢，增补管件（实华），</t>
    </r>
    <r>
      <rPr>
        <sz val="9"/>
        <color rgb="FF000000"/>
        <rFont val="Arial"/>
        <charset val="204"/>
      </rPr>
      <t>2205</t>
    </r>
    <r>
      <rPr>
        <sz val="9"/>
        <color rgb="FF000000"/>
        <rFont val="宋体"/>
        <charset val="204"/>
      </rPr>
      <t>钢管及其他钢管，增补钢格栅</t>
    </r>
    <r>
      <rPr>
        <sz val="9"/>
        <color rgb="FF000000"/>
        <rFont val="Arial"/>
        <charset val="204"/>
      </rPr>
      <t>44</t>
    </r>
    <r>
      <rPr>
        <sz val="9"/>
        <color rgb="FF000000"/>
        <rFont val="宋体"/>
        <charset val="204"/>
      </rPr>
      <t>块，桥架连接片</t>
    </r>
    <r>
      <rPr>
        <sz val="9"/>
        <color rgb="FF000000"/>
        <rFont val="Arial"/>
        <charset val="204"/>
      </rPr>
      <t>200</t>
    </r>
    <r>
      <rPr>
        <sz val="9"/>
        <color rgb="FF000000"/>
        <rFont val="宋体"/>
        <charset val="204"/>
      </rPr>
      <t>片，桥架螺丝</t>
    </r>
    <r>
      <rPr>
        <sz val="9"/>
        <color rgb="FF000000"/>
        <rFont val="Arial"/>
        <charset val="204"/>
      </rPr>
      <t>1600</t>
    </r>
    <r>
      <rPr>
        <sz val="9"/>
        <color rgb="FF000000"/>
        <rFont val="宋体"/>
        <charset val="204"/>
      </rPr>
      <t>套，剩余钢板，滤清器，热处理机</t>
    </r>
  </si>
  <si>
    <t>71</t>
  </si>
  <si>
    <t>FF Batch1</t>
  </si>
  <si>
    <t>EVER OPTIMA 0218\032S</t>
  </si>
  <si>
    <t>140500101180</t>
  </si>
  <si>
    <t>2025/2/1</t>
  </si>
  <si>
    <t>2025/2/10</t>
  </si>
  <si>
    <r>
      <rPr>
        <sz val="9"/>
        <color rgb="FF000000"/>
        <rFont val="Arial"/>
        <charset val="204"/>
      </rPr>
      <t>510</t>
    </r>
    <r>
      <rPr>
        <sz val="9"/>
        <color rgb="FF000000"/>
        <rFont val="宋体"/>
        <charset val="204"/>
      </rPr>
      <t>单元消防管道</t>
    </r>
  </si>
  <si>
    <r>
      <rPr>
        <sz val="9"/>
        <color rgb="FF000000"/>
        <rFont val="Arial"/>
        <charset val="204"/>
      </rPr>
      <t>NCC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46220kg</t>
    </r>
  </si>
  <si>
    <t>72</t>
  </si>
  <si>
    <t>FF Batch2</t>
  </si>
  <si>
    <t>XIN SU ZHOU 265S</t>
  </si>
  <si>
    <t>COAU7256536400</t>
  </si>
  <si>
    <t>2025/1/25</t>
  </si>
  <si>
    <r>
      <rPr>
        <sz val="9"/>
        <color rgb="FF000000"/>
        <rFont val="Arial"/>
        <charset val="204"/>
      </rPr>
      <t>510</t>
    </r>
    <r>
      <rPr>
        <sz val="9"/>
        <color rgb="FF000000"/>
        <rFont val="宋体"/>
        <charset val="204"/>
      </rPr>
      <t>单元消防管件</t>
    </r>
  </si>
  <si>
    <r>
      <rPr>
        <sz val="9"/>
        <color rgb="FF000000"/>
        <rFont val="Arial"/>
        <charset val="204"/>
      </rPr>
      <t>NCC(Form e)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13060kg</t>
    </r>
  </si>
  <si>
    <t>73</t>
  </si>
  <si>
    <t>Batch 18</t>
  </si>
  <si>
    <t>EVER VERA 2013-007S</t>
  </si>
  <si>
    <t>142500096468</t>
  </si>
  <si>
    <t>2025/2/18</t>
  </si>
  <si>
    <r>
      <rPr>
        <sz val="9"/>
        <rFont val="宋体"/>
        <charset val="204"/>
      </rPr>
      <t>热电偶，增补屋面材料，剩余消防喷淋管</t>
    </r>
    <r>
      <rPr>
        <sz val="9"/>
        <rFont val="Arial"/>
        <charset val="204"/>
      </rPr>
      <t>3</t>
    </r>
    <r>
      <rPr>
        <sz val="9"/>
        <rFont val="宋体"/>
        <charset val="204"/>
      </rPr>
      <t>包，金属软管</t>
    </r>
    <r>
      <rPr>
        <sz val="9"/>
        <rFont val="Arial"/>
        <charset val="204"/>
      </rPr>
      <t>1</t>
    </r>
    <r>
      <rPr>
        <sz val="9"/>
        <rFont val="宋体"/>
        <charset val="204"/>
      </rPr>
      <t>根，</t>
    </r>
    <r>
      <rPr>
        <sz val="9"/>
        <rFont val="Arial"/>
        <charset val="204"/>
      </rPr>
      <t>Offsite-ICS-006</t>
    </r>
    <r>
      <rPr>
        <sz val="9"/>
        <rFont val="宋体"/>
        <charset val="204"/>
      </rPr>
      <t>压力变送器（</t>
    </r>
    <r>
      <rPr>
        <sz val="9"/>
        <rFont val="Arial"/>
        <charset val="204"/>
      </rPr>
      <t>58</t>
    </r>
    <r>
      <rPr>
        <sz val="9"/>
        <rFont val="宋体"/>
        <charset val="204"/>
      </rPr>
      <t>台），增补支架（中圣），</t>
    </r>
    <r>
      <rPr>
        <sz val="9"/>
        <rFont val="Arial"/>
        <charset val="204"/>
      </rPr>
      <t>Offsite-ELE-017</t>
    </r>
    <r>
      <rPr>
        <sz val="9"/>
        <rFont val="宋体"/>
        <charset val="204"/>
      </rPr>
      <t>伴热带剩余</t>
    </r>
    <r>
      <rPr>
        <sz val="9"/>
        <rFont val="Arial"/>
        <charset val="204"/>
      </rPr>
      <t>8</t>
    </r>
    <r>
      <rPr>
        <sz val="9"/>
        <rFont val="宋体"/>
        <charset val="204"/>
      </rPr>
      <t>箱</t>
    </r>
  </si>
  <si>
    <t>74</t>
  </si>
  <si>
    <t>Batch 19</t>
  </si>
  <si>
    <t>EVER OPTIMA / 0222-033S</t>
  </si>
  <si>
    <t>140500229747</t>
  </si>
  <si>
    <t>2025/3/7</t>
  </si>
  <si>
    <r>
      <rPr>
        <sz val="9"/>
        <color rgb="FF000000"/>
        <rFont val="Arial"/>
        <charset val="204"/>
      </rPr>
      <t>Onsite-INP-004</t>
    </r>
    <r>
      <rPr>
        <sz val="9"/>
        <color rgb="FF000000"/>
        <rFont val="宋体"/>
        <charset val="204"/>
      </rPr>
      <t>硅酸铝卷毡</t>
    </r>
    <r>
      <rPr>
        <sz val="9"/>
        <color rgb="FF000000"/>
        <rFont val="Arial"/>
        <charset val="204"/>
      </rPr>
      <t>3</t>
    </r>
  </si>
  <si>
    <t>75</t>
  </si>
  <si>
    <t xml:space="preserve">YM COOPERATION V.043S </t>
  </si>
  <si>
    <t>I237011976</t>
  </si>
  <si>
    <t>2025/3/10</t>
  </si>
  <si>
    <r>
      <rPr>
        <sz val="9"/>
        <color rgb="FF000000"/>
        <rFont val="宋体"/>
        <charset val="204"/>
      </rPr>
      <t>增补消防阀门</t>
    </r>
    <r>
      <rPr>
        <sz val="9"/>
        <color rgb="FF000000"/>
        <rFont val="Arial"/>
        <charset val="204"/>
      </rPr>
      <t>86</t>
    </r>
    <r>
      <rPr>
        <sz val="9"/>
        <color rgb="FF000000"/>
        <rFont val="宋体"/>
        <charset val="204"/>
      </rPr>
      <t>个（铜都），增补管件，压力表备品备件</t>
    </r>
    <r>
      <rPr>
        <sz val="9"/>
        <color rgb="FF000000"/>
        <rFont val="Arial"/>
        <charset val="204"/>
      </rPr>
      <t>33</t>
    </r>
    <r>
      <rPr>
        <sz val="9"/>
        <color rgb="FF000000"/>
        <rFont val="宋体"/>
        <charset val="204"/>
      </rPr>
      <t>块，螺栓1140套，接线端子</t>
    </r>
    <r>
      <rPr>
        <sz val="9"/>
        <color rgb="FF000000"/>
        <rFont val="Arial"/>
        <charset val="204"/>
      </rPr>
      <t>5378</t>
    </r>
    <r>
      <rPr>
        <sz val="9"/>
        <color rgb="FF000000"/>
        <rFont val="宋体"/>
        <charset val="204"/>
      </rPr>
      <t>套</t>
    </r>
  </si>
  <si>
    <t>76</t>
  </si>
  <si>
    <t>I237011989</t>
  </si>
  <si>
    <r>
      <rPr>
        <sz val="9"/>
        <color rgb="FF000000"/>
        <rFont val="Arial"/>
        <charset val="204"/>
      </rPr>
      <t>Onsite-INP-005</t>
    </r>
    <r>
      <rPr>
        <sz val="9"/>
        <color rgb="FF000000"/>
        <rFont val="宋体"/>
        <charset val="204"/>
      </rPr>
      <t>聚氨酯管壳</t>
    </r>
  </si>
  <si>
    <t>77</t>
  </si>
  <si>
    <t>EVER VAST V.2016-009S</t>
  </si>
  <si>
    <t>EGLV142500317022</t>
  </si>
  <si>
    <t>2025/3/9</t>
  </si>
  <si>
    <r>
      <rPr>
        <sz val="9"/>
        <color rgb="FF000000"/>
        <rFont val="宋体"/>
        <charset val="204"/>
      </rPr>
      <t>第一批内浮盘</t>
    </r>
    <r>
      <rPr>
        <sz val="9"/>
        <color rgb="FF000000"/>
        <rFont val="Arial"/>
        <charset val="204"/>
      </rPr>
      <t>(T2101,T3103,T2104,T2015)</t>
    </r>
  </si>
  <si>
    <t>78</t>
  </si>
  <si>
    <r>
      <rPr>
        <sz val="9"/>
        <color rgb="FF000000"/>
        <rFont val="宋体"/>
        <charset val="204"/>
      </rPr>
      <t>钢格栅，手动清管分配器</t>
    </r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个，阀门</t>
    </r>
    <r>
      <rPr>
        <sz val="9"/>
        <color rgb="FF000000"/>
        <rFont val="Arial"/>
        <charset val="204"/>
      </rPr>
      <t>86</t>
    </r>
    <r>
      <rPr>
        <sz val="9"/>
        <color rgb="FF000000"/>
        <rFont val="宋体"/>
        <charset val="204"/>
      </rPr>
      <t>台（凯斯通）</t>
    </r>
    <r>
      <rPr>
        <sz val="9"/>
        <color rgb="FF000000"/>
        <rFont val="Arial"/>
        <charset val="204"/>
      </rPr>
      <t>,</t>
    </r>
    <r>
      <rPr>
        <sz val="9"/>
        <color rgb="FF000000"/>
        <rFont val="宋体"/>
        <charset val="204"/>
      </rPr>
      <t>阀门（大高），法兰</t>
    </r>
    <r>
      <rPr>
        <sz val="9"/>
        <color rgb="FF000000"/>
        <rFont val="Arial"/>
        <charset val="204"/>
      </rPr>
      <t>&amp;</t>
    </r>
    <r>
      <rPr>
        <sz val="9"/>
        <color rgb="FF000000"/>
        <rFont val="宋体"/>
        <charset val="204"/>
      </rPr>
      <t>垫片</t>
    </r>
    <r>
      <rPr>
        <sz val="9"/>
        <color rgb="FF000000"/>
        <rFont val="Arial"/>
        <charset val="204"/>
      </rPr>
      <t>&amp;</t>
    </r>
    <r>
      <rPr>
        <sz val="9"/>
        <color rgb="FF000000"/>
        <rFont val="宋体"/>
        <charset val="204"/>
      </rPr>
      <t>管子（沈鼓），</t>
    </r>
    <r>
      <rPr>
        <sz val="9"/>
        <color rgb="FF000000"/>
        <rFont val="Arial"/>
        <charset val="204"/>
      </rPr>
      <t>6625</t>
    </r>
    <r>
      <rPr>
        <sz val="9"/>
        <color rgb="FF000000"/>
        <rFont val="宋体"/>
        <charset val="204"/>
      </rPr>
      <t>管子</t>
    </r>
    <r>
      <rPr>
        <sz val="9"/>
        <color rgb="FF000000"/>
        <rFont val="Arial"/>
        <charset val="204"/>
      </rPr>
      <t>&amp;</t>
    </r>
    <r>
      <rPr>
        <sz val="9"/>
        <color rgb="FF000000"/>
        <rFont val="宋体"/>
        <charset val="204"/>
      </rPr>
      <t>管件</t>
    </r>
    <r>
      <rPr>
        <sz val="9"/>
        <color rgb="FF000000"/>
        <rFont val="Arial"/>
        <charset val="204"/>
      </rPr>
      <t>&amp;</t>
    </r>
    <r>
      <rPr>
        <sz val="9"/>
        <color rgb="FF000000"/>
        <rFont val="宋体"/>
        <charset val="204"/>
      </rPr>
      <t>阀门，不锈钢管（武进</t>
    </r>
    <r>
      <rPr>
        <sz val="9"/>
        <color rgb="FF000000"/>
        <rFont val="Arial"/>
        <charset val="204"/>
      </rPr>
      <t>114</t>
    </r>
    <r>
      <rPr>
        <sz val="9"/>
        <color rgb="FF000000"/>
        <rFont val="宋体"/>
        <charset val="204"/>
      </rPr>
      <t>厚壁管），桥架连接片</t>
    </r>
  </si>
  <si>
    <t>79</t>
  </si>
  <si>
    <t>EVER VERA V.2017-008S</t>
  </si>
  <si>
    <t>EGLV142500419097</t>
  </si>
  <si>
    <t>2025/3/19</t>
  </si>
  <si>
    <r>
      <rPr>
        <sz val="9"/>
        <color rgb="FF000000"/>
        <rFont val="Arial"/>
        <charset val="204"/>
      </rPr>
      <t>Onsite-INP-004</t>
    </r>
    <r>
      <rPr>
        <sz val="9"/>
        <color rgb="FF000000"/>
        <rFont val="宋体"/>
        <charset val="204"/>
      </rPr>
      <t>硅酸铝管壳，剩余硅酸铝卷毡</t>
    </r>
  </si>
  <si>
    <t>80</t>
  </si>
  <si>
    <t>EVER VIVE V.2018-002S</t>
  </si>
  <si>
    <t>142500576354</t>
  </si>
  <si>
    <t>2025/3/22</t>
  </si>
  <si>
    <r>
      <rPr>
        <sz val="9"/>
        <color rgb="FF000000"/>
        <rFont val="Arial"/>
        <charset val="204"/>
      </rPr>
      <t>700&amp;800</t>
    </r>
    <r>
      <rPr>
        <sz val="9"/>
        <color rgb="FF000000"/>
        <rFont val="宋体"/>
        <charset val="204"/>
      </rPr>
      <t>单元蒸汽喷淋环管，电伴热供电小屋，增补螺栓，</t>
    </r>
    <r>
      <rPr>
        <sz val="9"/>
        <rFont val="宋体"/>
        <charset val="204"/>
      </rPr>
      <t>增补垫片，</t>
    </r>
    <r>
      <rPr>
        <sz val="9"/>
        <color rgb="FF000000"/>
        <rFont val="宋体"/>
        <charset val="204"/>
      </rPr>
      <t>不锈钢管及仪表配件</t>
    </r>
    <r>
      <rPr>
        <sz val="9"/>
        <rFont val="宋体"/>
        <charset val="204"/>
      </rPr>
      <t>，桥架配件</t>
    </r>
  </si>
  <si>
    <t>81</t>
  </si>
  <si>
    <t>EVER VERT V.2019-005S</t>
  </si>
  <si>
    <t>142500558372</t>
  </si>
  <si>
    <t>2025/4/1</t>
  </si>
  <si>
    <r>
      <rPr>
        <sz val="9"/>
        <color rgb="FF000000"/>
        <rFont val="宋体"/>
        <charset val="204"/>
      </rPr>
      <t>第二批内浮盘</t>
    </r>
    <r>
      <rPr>
        <sz val="9"/>
        <color rgb="FF000000"/>
        <rFont val="Arial"/>
        <charset val="204"/>
      </rPr>
      <t>(T2201,T2202,T2203)</t>
    </r>
    <r>
      <rPr>
        <sz val="9"/>
        <color rgb="FF000000"/>
        <rFont val="宋体"/>
        <charset val="204"/>
      </rPr>
      <t>，剩余硅酸铝管壳，电伴热电缆辅材，温度仪表，仪表管阀件，法兰盖</t>
    </r>
  </si>
  <si>
    <t>82</t>
  </si>
  <si>
    <t>TS NANSHA V.25003S</t>
  </si>
  <si>
    <t>KMTCSHAN737378</t>
  </si>
  <si>
    <t>2025/3/29</t>
  </si>
  <si>
    <r>
      <rPr>
        <sz val="9"/>
        <rFont val="宋体"/>
        <charset val="204"/>
      </rPr>
      <t>第三批内浮盘</t>
    </r>
    <r>
      <rPr>
        <sz val="9"/>
        <rFont val="Arial"/>
        <charset val="204"/>
      </rPr>
      <t>(T2204,T2205)</t>
    </r>
    <r>
      <rPr>
        <sz val="9"/>
        <rFont val="宋体"/>
        <charset val="204"/>
      </rPr>
      <t>，剩余硅酸铝管壳</t>
    </r>
  </si>
  <si>
    <t>83</t>
  </si>
  <si>
    <t>Batch 20</t>
  </si>
  <si>
    <t>KMTC TIANJIN 2502S</t>
  </si>
  <si>
    <t>KMTCSHAN685297</t>
  </si>
  <si>
    <t>2025/3/27</t>
  </si>
  <si>
    <r>
      <rPr>
        <sz val="9"/>
        <color rgb="FF000000"/>
        <rFont val="Arial"/>
        <charset val="204"/>
      </rPr>
      <t>400</t>
    </r>
    <r>
      <rPr>
        <sz val="9"/>
        <color rgb="FF000000"/>
        <rFont val="宋体"/>
        <charset val="204"/>
      </rPr>
      <t>罐内壁防腐材料，第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批</t>
    </r>
    <r>
      <rPr>
        <sz val="9"/>
        <color rgb="FF000000"/>
        <rFont val="Arial"/>
        <charset val="204"/>
      </rPr>
      <t>-</t>
    </r>
    <r>
      <rPr>
        <sz val="9"/>
        <color rgb="FF000000"/>
        <rFont val="宋体"/>
        <charset val="204"/>
      </rPr>
      <t>普货</t>
    </r>
  </si>
  <si>
    <t>3x20GP</t>
  </si>
  <si>
    <r>
      <rPr>
        <sz val="9"/>
        <color rgb="FF000000"/>
        <rFont val="宋体"/>
        <charset val="204"/>
      </rPr>
      <t>特防，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票</t>
    </r>
  </si>
  <si>
    <t>84</t>
  </si>
  <si>
    <t>KMTCHKG5642280</t>
  </si>
  <si>
    <r>
      <rPr>
        <sz val="9"/>
        <color rgb="FF000000"/>
        <rFont val="宋体"/>
        <charset val="204"/>
      </rPr>
      <t>香港</t>
    </r>
    <r>
      <rPr>
        <sz val="9"/>
        <color rgb="FF000000"/>
        <rFont val="Arial"/>
        <charset val="204"/>
      </rPr>
      <t>Hongkong</t>
    </r>
  </si>
  <si>
    <t>PORT KLANG NORTH PORT</t>
  </si>
  <si>
    <t>2025/3/21</t>
  </si>
  <si>
    <t>2025/3/28</t>
  </si>
  <si>
    <r>
      <rPr>
        <sz val="9"/>
        <color rgb="FF000000"/>
        <rFont val="Arial"/>
        <charset val="204"/>
      </rPr>
      <t>400</t>
    </r>
    <r>
      <rPr>
        <sz val="9"/>
        <color rgb="FF000000"/>
        <rFont val="宋体"/>
        <charset val="204"/>
      </rPr>
      <t>罐内壁防腐材料，第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批</t>
    </r>
    <r>
      <rPr>
        <sz val="9"/>
        <color rgb="FF000000"/>
        <rFont val="Arial"/>
        <charset val="204"/>
      </rPr>
      <t>-</t>
    </r>
    <r>
      <rPr>
        <sz val="9"/>
        <color rgb="FF000000"/>
        <rFont val="宋体"/>
        <charset val="204"/>
      </rPr>
      <t>普危</t>
    </r>
  </si>
  <si>
    <t>85</t>
  </si>
  <si>
    <t>WAN HAI 312 S251</t>
  </si>
  <si>
    <r>
      <rPr>
        <sz val="9"/>
        <color rgb="FF000000"/>
        <rFont val="宋体"/>
        <charset val="204"/>
      </rPr>
      <t>南沙港</t>
    </r>
    <r>
      <rPr>
        <sz val="9"/>
        <color rgb="FF000000"/>
        <rFont val="Arial"/>
        <charset val="204"/>
      </rPr>
      <t>NANSHA NEW PORT</t>
    </r>
  </si>
  <si>
    <t>2025/3/31</t>
  </si>
  <si>
    <r>
      <rPr>
        <sz val="9"/>
        <color rgb="FF000000"/>
        <rFont val="Arial"/>
        <charset val="204"/>
      </rPr>
      <t>400</t>
    </r>
    <r>
      <rPr>
        <sz val="9"/>
        <color rgb="FF000000"/>
        <rFont val="宋体"/>
        <charset val="204"/>
      </rPr>
      <t>罐内壁防腐材料，第</t>
    </r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批</t>
    </r>
    <r>
      <rPr>
        <sz val="9"/>
        <color rgb="FF000000"/>
        <rFont val="Arial"/>
        <charset val="204"/>
      </rPr>
      <t>-</t>
    </r>
    <r>
      <rPr>
        <sz val="9"/>
        <color rgb="FF000000"/>
        <rFont val="宋体"/>
        <charset val="204"/>
      </rPr>
      <t>高危</t>
    </r>
  </si>
  <si>
    <r>
      <rPr>
        <sz val="9"/>
        <color rgb="FF000000"/>
        <rFont val="Arial"/>
        <charset val="204"/>
      </rPr>
      <t>4</t>
    </r>
    <r>
      <rPr>
        <sz val="9"/>
        <color rgb="FF000000"/>
        <rFont val="宋体"/>
        <charset val="204"/>
      </rPr>
      <t>个木箱</t>
    </r>
  </si>
  <si>
    <t>86</t>
  </si>
  <si>
    <t>Batch 21</t>
  </si>
  <si>
    <t>EVER OPTIMA / 0226-034S</t>
  </si>
  <si>
    <t>140500637624</t>
  </si>
  <si>
    <t>青岛QingDao</t>
  </si>
  <si>
    <t>2025/4/17</t>
  </si>
  <si>
    <r>
      <rPr>
        <sz val="9"/>
        <color rgb="FF000000"/>
        <rFont val="Arial"/>
        <charset val="204"/>
      </rPr>
      <t>220</t>
    </r>
    <r>
      <rPr>
        <sz val="9"/>
        <color rgb="FF000000"/>
        <rFont val="宋体"/>
        <charset val="204"/>
      </rPr>
      <t>增补工艺管道</t>
    </r>
    <r>
      <rPr>
        <sz val="9"/>
        <color rgb="FF000000"/>
        <rFont val="Arial"/>
        <charset val="204"/>
      </rPr>
      <t>(24.546t)</t>
    </r>
  </si>
  <si>
    <r>
      <rPr>
        <sz val="9"/>
        <color rgb="FF000000"/>
        <rFont val="Arial"/>
        <charset val="204"/>
      </rPr>
      <t>WHOO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票</t>
    </r>
  </si>
  <si>
    <t>87</t>
  </si>
  <si>
    <t>Batch 22</t>
  </si>
  <si>
    <t>EVER VIVE V.2022-003S</t>
  </si>
  <si>
    <t>142500817009,142501038577</t>
  </si>
  <si>
    <t>2025/4/20</t>
  </si>
  <si>
    <r>
      <rPr>
        <sz val="9"/>
        <color rgb="FF000000"/>
        <rFont val="Arial"/>
        <charset val="204"/>
      </rPr>
      <t>V8906</t>
    </r>
    <r>
      <rPr>
        <sz val="9"/>
        <color rgb="FF000000"/>
        <rFont val="宋体"/>
        <charset val="204"/>
      </rPr>
      <t>，第四批内浮盘，仪表管阀件，阀门，仪表电缆，螺栓，垫片，阀门配件</t>
    </r>
  </si>
  <si>
    <t>88</t>
  </si>
  <si>
    <t>Batch 23</t>
  </si>
  <si>
    <t>SITC MAKASSAR V.2505S</t>
  </si>
  <si>
    <t>SITGSHAU010029</t>
  </si>
  <si>
    <t>2025/4/28</t>
  </si>
  <si>
    <t>2025/5/10</t>
  </si>
  <si>
    <t>增补钢格栅,标准孔板，直通视镜、静电消除器、阀门、过滤减压阀、格兰、防爆操作柱等</t>
  </si>
  <si>
    <t>89</t>
  </si>
  <si>
    <t>Batch 24</t>
  </si>
  <si>
    <t>EVER VIVE 2026-004S</t>
  </si>
  <si>
    <t>142501233621</t>
  </si>
  <si>
    <t>2025/5/18</t>
  </si>
  <si>
    <t>2025/5/27</t>
  </si>
  <si>
    <t>钢格栅、电气系统运行材料，仪表管件、疏水阀</t>
  </si>
  <si>
    <t>90</t>
  </si>
  <si>
    <t>Batch 25</t>
  </si>
  <si>
    <t>YM COOPERATION V.046S</t>
  </si>
  <si>
    <t>SITGSHAU010031</t>
  </si>
  <si>
    <t>2025/5/31</t>
  </si>
  <si>
    <r>
      <rPr>
        <sz val="9"/>
        <color rgb="FF000000"/>
        <rFont val="Arial"/>
        <charset val="204"/>
      </rPr>
      <t>260</t>
    </r>
    <r>
      <rPr>
        <sz val="9"/>
        <color rgb="FF000000"/>
        <rFont val="宋体"/>
        <charset val="204"/>
      </rPr>
      <t>管线管件、螺栓、垫片</t>
    </r>
  </si>
  <si>
    <t>91</t>
  </si>
  <si>
    <t>Batch 26</t>
  </si>
  <si>
    <t>D7333</t>
  </si>
  <si>
    <r>
      <rPr>
        <sz val="9"/>
        <color rgb="FF000000"/>
        <rFont val="宋体"/>
        <charset val="204"/>
      </rPr>
      <t>空运</t>
    </r>
    <r>
      <rPr>
        <sz val="9"/>
        <color rgb="FF000000"/>
        <rFont val="Arial"/>
        <charset val="204"/>
      </rPr>
      <t>Air</t>
    </r>
  </si>
  <si>
    <t>843-15319371</t>
  </si>
  <si>
    <t>KLA</t>
  </si>
  <si>
    <t>2025/5/23</t>
  </si>
  <si>
    <r>
      <rPr>
        <sz val="9"/>
        <color rgb="FF000000"/>
        <rFont val="宋体"/>
        <charset val="204"/>
      </rPr>
      <t>消防截止阀</t>
    </r>
    <r>
      <rPr>
        <sz val="9"/>
        <color rgb="FF000000"/>
        <rFont val="Arial"/>
        <charset val="204"/>
      </rPr>
      <t>DN250</t>
    </r>
  </si>
  <si>
    <r>
      <rPr>
        <sz val="9"/>
        <rFont val="Arial"/>
        <charset val="204"/>
      </rPr>
      <t>277kg,1</t>
    </r>
    <r>
      <rPr>
        <sz val="9"/>
        <rFont val="宋体"/>
        <charset val="204"/>
      </rPr>
      <t>件</t>
    </r>
  </si>
  <si>
    <t>92</t>
  </si>
  <si>
    <t>Batch 27</t>
  </si>
  <si>
    <t>MARIA C V.0083S</t>
  </si>
  <si>
    <t>I237035282</t>
  </si>
  <si>
    <t>2025/6/12</t>
  </si>
  <si>
    <r>
      <rPr>
        <sz val="9"/>
        <color rgb="FF000000"/>
        <rFont val="Arial"/>
        <charset val="204"/>
      </rPr>
      <t>260</t>
    </r>
    <r>
      <rPr>
        <sz val="9"/>
        <color rgb="FF000000"/>
        <rFont val="宋体"/>
        <charset val="204"/>
      </rPr>
      <t>管线管子</t>
    </r>
  </si>
  <si>
    <t>93</t>
  </si>
  <si>
    <t>Batch 28</t>
  </si>
  <si>
    <t>843-15378370</t>
  </si>
  <si>
    <t>2025/6/17</t>
  </si>
  <si>
    <t>电缆、内浮盘配件、仪表配件</t>
  </si>
  <si>
    <r>
      <rPr>
        <sz val="9"/>
        <rFont val="Arial"/>
        <charset val="204"/>
      </rPr>
      <t>967kg</t>
    </r>
    <r>
      <rPr>
        <sz val="9"/>
        <rFont val="宋体"/>
        <charset val="204"/>
      </rPr>
      <t>，</t>
    </r>
    <r>
      <rPr>
        <sz val="9"/>
        <rFont val="Arial"/>
        <charset val="204"/>
      </rPr>
      <t>2</t>
    </r>
    <r>
      <rPr>
        <sz val="9"/>
        <rFont val="宋体"/>
        <charset val="204"/>
      </rPr>
      <t>件</t>
    </r>
  </si>
  <si>
    <t>94</t>
  </si>
  <si>
    <t>Batch 29</t>
  </si>
  <si>
    <t>SITC YUNCHENG V.2506S</t>
  </si>
  <si>
    <t>SITGSHAU010032</t>
  </si>
  <si>
    <t>不锈钢管、内浮盘配件、浮筒、安全阀、操作柱附件、开关阀、弯头</t>
  </si>
  <si>
    <t>95</t>
  </si>
  <si>
    <t>Batch 30</t>
  </si>
  <si>
    <t>MH6165</t>
  </si>
  <si>
    <t>232-14712736</t>
  </si>
  <si>
    <t>2025/6/24</t>
  </si>
  <si>
    <t>浮筒</t>
  </si>
  <si>
    <r>
      <rPr>
        <sz val="9"/>
        <rFont val="Arial"/>
        <charset val="204"/>
      </rPr>
      <t>1218kg</t>
    </r>
    <r>
      <rPr>
        <sz val="9"/>
        <rFont val="宋体"/>
        <charset val="204"/>
      </rPr>
      <t>，</t>
    </r>
    <r>
      <rPr>
        <sz val="9"/>
        <rFont val="Arial"/>
        <charset val="204"/>
      </rPr>
      <t>2</t>
    </r>
    <r>
      <rPr>
        <sz val="9"/>
        <rFont val="宋体"/>
        <charset val="204"/>
      </rPr>
      <t>件</t>
    </r>
  </si>
  <si>
    <t>96</t>
  </si>
  <si>
    <t>Batch 31</t>
  </si>
  <si>
    <t>D7353</t>
  </si>
  <si>
    <t>84315226621</t>
  </si>
  <si>
    <r>
      <rPr>
        <sz val="9"/>
        <color rgb="FF000000"/>
        <rFont val="宋体"/>
        <charset val="204"/>
      </rPr>
      <t>长沙</t>
    </r>
    <r>
      <rPr>
        <sz val="9"/>
        <color rgb="FF000000"/>
        <rFont val="Arial"/>
        <charset val="204"/>
      </rPr>
      <t>Changsha</t>
    </r>
  </si>
  <si>
    <t>2025/6/25</t>
  </si>
  <si>
    <t>摄像头</t>
  </si>
  <si>
    <r>
      <rPr>
        <sz val="9"/>
        <rFont val="Arial"/>
        <charset val="204"/>
      </rPr>
      <t>140kg,1</t>
    </r>
    <r>
      <rPr>
        <sz val="9"/>
        <rFont val="宋体"/>
        <charset val="204"/>
      </rPr>
      <t>件</t>
    </r>
  </si>
  <si>
    <t>97</t>
  </si>
  <si>
    <t>Batch 32</t>
  </si>
  <si>
    <t>843-15422153</t>
  </si>
  <si>
    <t>消防阀门</t>
  </si>
  <si>
    <r>
      <rPr>
        <sz val="9"/>
        <color rgb="FF000000"/>
        <rFont val="Arial"/>
        <charset val="204"/>
      </rPr>
      <t>1554kg,5</t>
    </r>
    <r>
      <rPr>
        <sz val="9"/>
        <color rgb="FF000000"/>
        <rFont val="宋体"/>
        <charset val="204"/>
      </rPr>
      <t>件</t>
    </r>
  </si>
  <si>
    <t>98</t>
  </si>
  <si>
    <t>Batch 33</t>
  </si>
  <si>
    <t>O3310</t>
  </si>
  <si>
    <r>
      <rPr>
        <sz val="9"/>
        <color rgb="FF000000"/>
        <rFont val="宋体"/>
        <charset val="204"/>
      </rPr>
      <t>深圳</t>
    </r>
    <r>
      <rPr>
        <sz val="9"/>
        <color rgb="FF000000"/>
        <rFont val="Arial"/>
        <charset val="204"/>
      </rPr>
      <t>Shenzhen</t>
    </r>
  </si>
  <si>
    <t>2025/7/3</t>
  </si>
  <si>
    <t>防爆云台、电伴热、温度计探头</t>
  </si>
  <si>
    <r>
      <rPr>
        <sz val="9"/>
        <color rgb="FF000000"/>
        <rFont val="Arial"/>
        <charset val="204"/>
      </rPr>
      <t>3600kg,11</t>
    </r>
    <r>
      <rPr>
        <sz val="9"/>
        <color rgb="FF000000"/>
        <rFont val="宋体"/>
        <charset val="204"/>
      </rPr>
      <t>件</t>
    </r>
  </si>
  <si>
    <t>99</t>
  </si>
  <si>
    <t>Batch 34</t>
  </si>
  <si>
    <t>INTERASIAACCELERATE/W008</t>
  </si>
  <si>
    <r>
      <rPr>
        <sz val="9"/>
        <color rgb="FF000000"/>
        <rFont val="宋体"/>
        <charset val="204"/>
      </rPr>
      <t>广州</t>
    </r>
    <r>
      <rPr>
        <sz val="9"/>
        <color rgb="FF000000"/>
        <rFont val="Arial"/>
        <charset val="204"/>
      </rPr>
      <t>Guangzhou</t>
    </r>
  </si>
  <si>
    <t>2025/7/9</t>
  </si>
  <si>
    <t>2025/7/14</t>
  </si>
  <si>
    <t>剩余电信材料</t>
  </si>
  <si>
    <r>
      <rPr>
        <sz val="9"/>
        <color rgb="FF000000"/>
        <rFont val="Arial"/>
        <charset val="204"/>
      </rPr>
      <t>1220kg</t>
    </r>
    <r>
      <rPr>
        <sz val="9"/>
        <color rgb="FF000000"/>
        <rFont val="宋体"/>
        <charset val="204"/>
      </rPr>
      <t>，</t>
    </r>
    <r>
      <rPr>
        <sz val="9"/>
        <color rgb="FF000000"/>
        <rFont val="Arial"/>
        <charset val="204"/>
      </rPr>
      <t>9</t>
    </r>
    <r>
      <rPr>
        <sz val="9"/>
        <color rgb="FF000000"/>
        <rFont val="宋体"/>
        <charset val="204"/>
      </rPr>
      <t>件</t>
    </r>
  </si>
  <si>
    <t>100</t>
  </si>
  <si>
    <t>Batch 35</t>
  </si>
  <si>
    <t>INTERASIA TENACITY,S006</t>
  </si>
  <si>
    <t>2025/7/12</t>
  </si>
  <si>
    <t>2025/7/18</t>
  </si>
  <si>
    <t>电脑、硬盘</t>
  </si>
  <si>
    <r>
      <rPr>
        <sz val="9"/>
        <color rgb="FF000000"/>
        <rFont val="Arial"/>
        <charset val="204"/>
      </rPr>
      <t>5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,0.5m3</t>
    </r>
  </si>
  <si>
    <t>101</t>
  </si>
  <si>
    <t>Batch 36</t>
  </si>
  <si>
    <t>CZ349</t>
  </si>
  <si>
    <t>78480642531</t>
  </si>
  <si>
    <t>2025/7/4</t>
  </si>
  <si>
    <t>球阀2台、循环水泵4台、气源球阀、变径模块</t>
  </si>
  <si>
    <r>
      <rPr>
        <sz val="9"/>
        <color rgb="FF000000"/>
        <rFont val="Arial"/>
        <charset val="204"/>
      </rPr>
      <t>5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,2612kg</t>
    </r>
  </si>
  <si>
    <t>102</t>
  </si>
  <si>
    <t>Batch 37</t>
  </si>
  <si>
    <t>84-15446966</t>
  </si>
  <si>
    <t>2025/7/15</t>
  </si>
  <si>
    <t>安全阀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</si>
  <si>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,168kg</t>
    </r>
  </si>
  <si>
    <t>103</t>
  </si>
  <si>
    <t>Batch 38</t>
  </si>
  <si>
    <t>843-45278284</t>
  </si>
  <si>
    <t>2025/7/26</t>
  </si>
  <si>
    <t>磁翻板液位计，雷达液位计，吴忠调节阀，电伴热电箱及热电阻，仪表管件，雷达液位计</t>
  </si>
  <si>
    <r>
      <rPr>
        <sz val="9"/>
        <color rgb="FF000000"/>
        <rFont val="Arial"/>
        <charset val="204"/>
      </rPr>
      <t>8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,913kg</t>
    </r>
  </si>
  <si>
    <t>104</t>
  </si>
  <si>
    <t>Batch 39</t>
  </si>
  <si>
    <t>O3309</t>
  </si>
  <si>
    <t>921-49126836</t>
  </si>
  <si>
    <t>广州Guangzhou</t>
  </si>
  <si>
    <t>2025/7/25</t>
  </si>
  <si>
    <t>温度计探头，跨接线，视镜，线号机，螺钉9000个，温度变送器1个，法兰8片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</si>
  <si>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,245kg</t>
    </r>
  </si>
  <si>
    <t>105</t>
  </si>
  <si>
    <t>Batch 40</t>
  </si>
  <si>
    <t>MY82163290165</t>
  </si>
  <si>
    <t>784-81003952</t>
  </si>
  <si>
    <t>2025/8/2</t>
  </si>
  <si>
    <t>表面热电偶，温度变送器，阻火器，铜鼻子，垫片，UPS配件，弹簧支吊架附件等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</si>
  <si>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,81kg</t>
    </r>
  </si>
  <si>
    <t>106</t>
  </si>
  <si>
    <t>Batch 41</t>
  </si>
  <si>
    <t>CZ5079</t>
  </si>
  <si>
    <t>784-81007544</t>
  </si>
  <si>
    <t>2025/8/4</t>
  </si>
  <si>
    <r>
      <rPr>
        <sz val="9"/>
        <color rgb="FF000000"/>
        <rFont val="宋体"/>
        <charset val="204"/>
      </rPr>
      <t>吴忠调节阀</t>
    </r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台</t>
    </r>
  </si>
  <si>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,55kg</t>
    </r>
  </si>
  <si>
    <t>107</t>
  </si>
  <si>
    <t>Batch 42</t>
  </si>
  <si>
    <t>MCC TOKYO 527C</t>
  </si>
  <si>
    <t>2025/8/20</t>
  </si>
  <si>
    <t>2025/8/27</t>
  </si>
  <si>
    <r>
      <rPr>
        <sz val="9"/>
        <color rgb="FF000000"/>
        <rFont val="宋体"/>
        <charset val="204"/>
      </rPr>
      <t>3D弯头</t>
    </r>
    <r>
      <rPr>
        <sz val="9"/>
        <color rgb="FF000000"/>
        <rFont val="Arial"/>
        <charset val="204"/>
      </rPr>
      <t>4</t>
    </r>
    <r>
      <rPr>
        <sz val="9"/>
        <color rgb="FF000000"/>
        <rFont val="宋体"/>
        <charset val="204"/>
      </rPr>
      <t>个，</t>
    </r>
    <r>
      <rPr>
        <sz val="9"/>
        <color rgb="FF000000"/>
        <rFont val="Arial"/>
        <charset val="204"/>
      </rPr>
      <t>8</t>
    </r>
    <r>
      <rPr>
        <sz val="9"/>
        <color rgb="FF000000"/>
        <rFont val="宋体"/>
        <charset val="204"/>
      </rPr>
      <t>字盲板</t>
    </r>
    <r>
      <rPr>
        <sz val="9"/>
        <color rgb="FF000000"/>
        <rFont val="Arial"/>
        <charset val="204"/>
      </rPr>
      <t>7</t>
    </r>
    <r>
      <rPr>
        <sz val="9"/>
        <color rgb="FF000000"/>
        <rFont val="宋体"/>
        <charset val="204"/>
      </rPr>
      <t>个</t>
    </r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</si>
  <si>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1m3</t>
    </r>
  </si>
  <si>
    <t>108</t>
  </si>
  <si>
    <t>Batch 43</t>
  </si>
  <si>
    <t>MY82163290086</t>
  </si>
  <si>
    <t>2025/9/5</t>
  </si>
  <si>
    <t>2025/9/6</t>
  </si>
  <si>
    <t>雷达液位计、温度计、压力表、压差表、保温钉、阀门、镜头、洗眼器喷头</t>
  </si>
  <si>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140kg</t>
    </r>
  </si>
  <si>
    <t>109</t>
  </si>
  <si>
    <t>Batch 44</t>
  </si>
  <si>
    <t>WW862</t>
  </si>
  <si>
    <t>2025/9/13</t>
  </si>
  <si>
    <t>2025/9/14</t>
  </si>
  <si>
    <t>海康服务器1台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</si>
  <si>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19kg</t>
    </r>
  </si>
  <si>
    <t>110</t>
  </si>
  <si>
    <t>Batch 45</t>
  </si>
  <si>
    <t>AK8133</t>
  </si>
  <si>
    <t>2025/9/15</t>
  </si>
  <si>
    <t>电动阀门2台</t>
  </si>
  <si>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392kg</t>
    </r>
  </si>
  <si>
    <t>111</t>
  </si>
  <si>
    <t>Batch 46</t>
  </si>
  <si>
    <t>TH6187</t>
  </si>
  <si>
    <t>2025/10/13</t>
  </si>
  <si>
    <t>2025/10/14</t>
  </si>
  <si>
    <t>电动执行器（减温减压器），垫片</t>
  </si>
  <si>
    <r>
      <rPr>
        <sz val="9"/>
        <color rgb="FF000000"/>
        <rFont val="Arial"/>
        <charset val="204"/>
      </rPr>
      <t>2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187.5kg</t>
    </r>
  </si>
  <si>
    <t>112</t>
  </si>
  <si>
    <t>Batch 47</t>
  </si>
  <si>
    <t>ZH329</t>
  </si>
  <si>
    <t>2025/11/14</t>
  </si>
  <si>
    <t>马桶水箱</t>
  </si>
  <si>
    <t>113</t>
  </si>
  <si>
    <t>Batch 48</t>
  </si>
  <si>
    <t>AK8535</t>
  </si>
  <si>
    <t>2025/11/18</t>
  </si>
  <si>
    <t>储罐浮子液位计</t>
  </si>
  <si>
    <r>
      <rPr>
        <sz val="9"/>
        <color rgb="FF000000"/>
        <rFont val="Arial"/>
        <charset val="204"/>
      </rPr>
      <t>4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,33kg</t>
    </r>
  </si>
  <si>
    <t>114</t>
  </si>
  <si>
    <t>Batch 49</t>
  </si>
  <si>
    <t>2025/11/30</t>
  </si>
  <si>
    <t>2025/12/9</t>
  </si>
  <si>
    <t>电动执行器2台</t>
  </si>
  <si>
    <r>
      <rPr>
        <sz val="9"/>
        <color rgb="FF000000"/>
        <rFont val="Arial"/>
        <charset val="204"/>
      </rPr>
      <t>3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,167kg</t>
    </r>
  </si>
  <si>
    <t>115</t>
  </si>
  <si>
    <t>Batch 50</t>
  </si>
  <si>
    <t>2025/12/1</t>
  </si>
  <si>
    <t>过滤器滤芯6个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</si>
  <si>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26kg</t>
    </r>
  </si>
  <si>
    <t>116</t>
  </si>
  <si>
    <t>Batch 51</t>
  </si>
  <si>
    <t>2025/12/10</t>
  </si>
  <si>
    <t>泄压阀1台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</si>
  <si>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229kg</t>
    </r>
  </si>
  <si>
    <t>117</t>
  </si>
  <si>
    <t>Batch 52</t>
  </si>
  <si>
    <t>MY82163288663</t>
  </si>
  <si>
    <t>2025/12/21</t>
  </si>
  <si>
    <t>接线盒2000只</t>
  </si>
  <si>
    <r>
      <rPr>
        <sz val="9"/>
        <color rgb="FF000000"/>
        <rFont val="Arial"/>
        <charset val="204"/>
      </rPr>
      <t>10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176.4kg</t>
    </r>
  </si>
  <si>
    <t>118</t>
  </si>
  <si>
    <t>Batch 53</t>
  </si>
  <si>
    <t>MY82163288720</t>
  </si>
  <si>
    <t>2026/1/15</t>
  </si>
  <si>
    <t>定位调平器89只</t>
  </si>
  <si>
    <r>
      <rPr>
        <sz val="9"/>
        <color rgb="FF000000"/>
        <rFont val="Arial"/>
        <charset val="204"/>
      </rPr>
      <t>1</t>
    </r>
    <r>
      <rPr>
        <sz val="9"/>
        <color rgb="FF000000"/>
        <rFont val="宋体"/>
        <charset val="204"/>
      </rPr>
      <t>件，</t>
    </r>
    <r>
      <rPr>
        <sz val="9"/>
        <color rgb="FF000000"/>
        <rFont val="Arial"/>
        <charset val="204"/>
      </rPr>
      <t>9.85kg</t>
    </r>
  </si>
  <si>
    <t>119</t>
  </si>
  <si>
    <r>
      <rPr>
        <sz val="9"/>
        <color rgb="FF000000"/>
        <rFont val="宋体"/>
        <charset val="204"/>
      </rPr>
      <t>海运</t>
    </r>
    <r>
      <rPr>
        <sz val="9"/>
        <color rgb="FF000000"/>
        <rFont val="Arial"/>
        <charset val="204"/>
      </rPr>
      <t>Sea</t>
    </r>
  </si>
  <si>
    <t>2026/1/28</t>
  </si>
  <si>
    <t>排风扇、大小头等</t>
  </si>
  <si>
    <r>
      <rPr>
        <sz val="9"/>
        <color rgb="FF000000"/>
        <rFont val="Arial"/>
        <charset val="204"/>
      </rPr>
      <t>19</t>
    </r>
    <r>
      <rPr>
        <sz val="9"/>
        <color rgb="FF000000"/>
        <rFont val="宋体"/>
        <charset val="204"/>
      </rPr>
      <t>件</t>
    </r>
    <r>
      <rPr>
        <sz val="9"/>
        <color rgb="FF000000"/>
        <rFont val="Arial"/>
        <charset val="204"/>
      </rPr>
      <t>,283.8kg</t>
    </r>
  </si>
  <si>
    <t>Batch#</t>
  </si>
  <si>
    <t>出厂时间</t>
  </si>
  <si>
    <t>ETD Tianjin</t>
  </si>
  <si>
    <t>ETA</t>
  </si>
  <si>
    <t>Arrival Site</t>
  </si>
  <si>
    <t>Qty of Cont.</t>
  </si>
  <si>
    <t>Status</t>
  </si>
  <si>
    <t>Remark</t>
  </si>
  <si>
    <t>Batch1</t>
  </si>
  <si>
    <t>On the site</t>
  </si>
  <si>
    <t>178.768t</t>
  </si>
  <si>
    <t>t</t>
  </si>
  <si>
    <r>
      <rPr>
        <sz val="11"/>
        <color theme="1"/>
        <rFont val="Arial"/>
        <charset val="134"/>
      </rPr>
      <t>250-3#</t>
    </r>
    <r>
      <rPr>
        <sz val="11"/>
        <color theme="1"/>
        <rFont val="宋体"/>
        <charset val="134"/>
      </rPr>
      <t>、</t>
    </r>
    <r>
      <rPr>
        <sz val="11"/>
        <color theme="1"/>
        <rFont val="Arial"/>
        <charset val="134"/>
      </rPr>
      <t>250-4#</t>
    </r>
  </si>
  <si>
    <t>Batch2</t>
  </si>
  <si>
    <t>Batch3</t>
  </si>
  <si>
    <r>
      <rPr>
        <sz val="11"/>
        <color theme="1"/>
        <rFont val="Arial"/>
        <charset val="134"/>
      </rPr>
      <t>250-4#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250-1#</t>
    </r>
  </si>
  <si>
    <t>Batch4</t>
  </si>
  <si>
    <t>Batch5</t>
  </si>
  <si>
    <t>250-1#</t>
  </si>
  <si>
    <t>Batch6</t>
  </si>
  <si>
    <t>On the sea</t>
  </si>
  <si>
    <r>
      <rPr>
        <sz val="11"/>
        <color theme="1"/>
        <rFont val="Arial"/>
        <charset val="134"/>
      </rPr>
      <t>250-2</t>
    </r>
    <r>
      <rPr>
        <sz val="11"/>
        <color theme="1"/>
        <rFont val="宋体"/>
        <charset val="134"/>
      </rPr>
      <t>#</t>
    </r>
  </si>
  <si>
    <t>Batch7</t>
  </si>
  <si>
    <t>250-1#~4#</t>
  </si>
  <si>
    <t>Batch8</t>
  </si>
  <si>
    <t>250-1#~4#,310,340</t>
  </si>
  <si>
    <t>Batch9</t>
  </si>
  <si>
    <t>Packing</t>
  </si>
  <si>
    <t>场地小单体</t>
  </si>
  <si>
    <t>Batch10</t>
  </si>
  <si>
    <t>单体260与场内小单体</t>
  </si>
  <si>
    <t>Batch11</t>
  </si>
  <si>
    <t>Batch12</t>
  </si>
  <si>
    <t>Batch13</t>
  </si>
  <si>
    <t>Batch14</t>
  </si>
  <si>
    <t>Batch15</t>
  </si>
  <si>
    <t>1.因近期船舱紧张，具体以实际为准；</t>
  </si>
  <si>
    <t>货物状态报告</t>
  </si>
  <si>
    <t>打尺报告</t>
  </si>
  <si>
    <t>装船报告</t>
  </si>
  <si>
    <t>提单</t>
  </si>
  <si>
    <t>发票箱单</t>
  </si>
  <si>
    <t>MPL&amp;DPL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</si>
</sst>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4409]dd/mm/yy;@"/>
    <numFmt numFmtId="177" formatCode="yyyy/m/d;@"/>
    <numFmt numFmtId="178" formatCode="0.00_);[Red]\(0.00\)"/>
  </numFmts>
  <fonts count="50">
    <font>
      <sz val="11"/>
      <color rgb="FF000000"/>
      <name val="Arial"/>
      <charset val="204"/>
    </font>
    <font>
      <sz val="11"/>
      <color rgb="FF000000"/>
      <name val="宋体"/>
      <charset val="20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name val="Arial"/>
      <charset val="134"/>
    </font>
    <font>
      <sz val="11"/>
      <color rgb="FFFF0000"/>
      <name val="Arial"/>
      <charset val="204"/>
    </font>
    <font>
      <sz val="11"/>
      <color rgb="FFFF0000"/>
      <name val="Arial"/>
      <charset val="134"/>
    </font>
    <font>
      <b/>
      <sz val="11"/>
      <color theme="1"/>
      <name val="宋体"/>
      <charset val="134"/>
      <scheme val="minor"/>
    </font>
    <font>
      <sz val="9"/>
      <color rgb="FF000000"/>
      <name val="Arial"/>
      <charset val="204"/>
    </font>
    <font>
      <b/>
      <sz val="10"/>
      <color rgb="FF000000"/>
      <name val="Arial"/>
      <charset val="204"/>
    </font>
    <font>
      <sz val="9"/>
      <color rgb="FFFF0000"/>
      <name val="Arial"/>
      <charset val="204"/>
    </font>
    <font>
      <sz val="9"/>
      <name val="Arial"/>
      <charset val="204"/>
    </font>
    <font>
      <b/>
      <sz val="14"/>
      <color rgb="FF000000"/>
      <name val="宋体"/>
      <charset val="204"/>
    </font>
    <font>
      <b/>
      <sz val="14"/>
      <color rgb="FF000000"/>
      <name val="Arial"/>
      <charset val="204"/>
    </font>
    <font>
      <b/>
      <sz val="9"/>
      <name val="Arial"/>
      <charset val="204"/>
    </font>
    <font>
      <sz val="9"/>
      <color rgb="FF000000"/>
      <name val="宋体"/>
      <charset val="204"/>
    </font>
    <font>
      <b/>
      <sz val="9"/>
      <color rgb="FF000000"/>
      <name val="Arial"/>
      <charset val="204"/>
    </font>
    <font>
      <sz val="9"/>
      <name val="宋体"/>
      <charset val="204"/>
    </font>
    <font>
      <sz val="9"/>
      <color theme="1"/>
      <name val="Arial"/>
      <charset val="204"/>
    </font>
    <font>
      <sz val="11"/>
      <name val="Arial"/>
      <charset val="204"/>
    </font>
    <font>
      <b/>
      <sz val="9"/>
      <color rgb="FF000000"/>
      <name val="宋体"/>
      <charset val="204"/>
    </font>
    <font>
      <sz val="9"/>
      <color theme="1"/>
      <name val="宋体"/>
      <charset val="204"/>
    </font>
    <font>
      <sz val="9"/>
      <color rgb="FFFF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b/>
      <sz val="10"/>
      <color rgb="FF000000"/>
      <name val="宋体"/>
      <charset val="204"/>
    </font>
    <font>
      <sz val="11"/>
      <color theme="1"/>
      <name val="宋体"/>
      <charset val="134"/>
    </font>
    <font>
      <b/>
      <sz val="9"/>
      <name val="宋体"/>
      <charset val="20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6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8" borderId="12" applyNumberFormat="0" applyAlignment="0" applyProtection="0">
      <alignment vertical="center"/>
    </xf>
    <xf numFmtId="0" fontId="36" fillId="8" borderId="11" applyNumberFormat="0" applyAlignment="0" applyProtection="0">
      <alignment vertical="center"/>
    </xf>
    <xf numFmtId="0" fontId="37" fillId="9" borderId="13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/>
    <xf numFmtId="176" fontId="3" fillId="0" borderId="0"/>
  </cellStyleXfs>
  <cellXfs count="182"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2" fillId="0" borderId="0" xfId="0" applyFont="1" applyFill="1" applyAlignment="1"/>
    <xf numFmtId="0" fontId="3" fillId="0" borderId="0" xfId="0" applyFont="1" applyFill="1" applyAlignment="1"/>
    <xf numFmtId="177" fontId="2" fillId="0" borderId="0" xfId="0" applyNumberFormat="1" applyFont="1" applyFill="1" applyAlignment="1"/>
    <xf numFmtId="0" fontId="4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7" fontId="2" fillId="0" borderId="1" xfId="0" applyNumberFormat="1" applyFont="1" applyFill="1" applyBorder="1" applyAlignment="1"/>
    <xf numFmtId="14" fontId="2" fillId="0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/>
    <xf numFmtId="0" fontId="6" fillId="0" borderId="1" xfId="0" applyFont="1" applyFill="1" applyBorder="1" applyAlignment="1"/>
    <xf numFmtId="14" fontId="7" fillId="0" borderId="1" xfId="0" applyNumberFormat="1" applyFont="1" applyFill="1" applyBorder="1" applyAlignment="1"/>
    <xf numFmtId="49" fontId="8" fillId="0" borderId="1" xfId="0" applyNumberFormat="1" applyFont="1" applyFill="1" applyBorder="1" applyAlignment="1">
      <alignment horizontal="right" vertical="center" wrapText="1"/>
    </xf>
    <xf numFmtId="0" fontId="9" fillId="0" borderId="1" xfId="0" applyFont="1" applyFill="1" applyBorder="1" applyAlignment="1"/>
    <xf numFmtId="14" fontId="9" fillId="0" borderId="1" xfId="0" applyNumberFormat="1" applyFont="1" applyFill="1" applyBorder="1" applyAlignment="1"/>
    <xf numFmtId="14" fontId="9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left"/>
    </xf>
    <xf numFmtId="177" fontId="10" fillId="0" borderId="1" xfId="0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 wrapText="1"/>
    </xf>
    <xf numFmtId="49" fontId="11" fillId="0" borderId="0" xfId="0" applyNumberFormat="1" applyFont="1" applyFill="1" applyAlignment="1">
      <alignment horizontal="left" vertical="center" wrapText="1"/>
    </xf>
    <xf numFmtId="49" fontId="13" fillId="0" borderId="0" xfId="0" applyNumberFormat="1" applyFont="1" applyFill="1" applyAlignment="1">
      <alignment horizontal="left" vertical="center" wrapText="1"/>
    </xf>
    <xf numFmtId="49" fontId="14" fillId="0" borderId="0" xfId="0" applyNumberFormat="1" applyFont="1" applyFill="1" applyAlignment="1">
      <alignment horizontal="left" vertical="center" wrapText="1"/>
    </xf>
    <xf numFmtId="49" fontId="0" fillId="0" borderId="0" xfId="0" applyNumberFormat="1" applyFont="1" applyFill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Continuous" vertical="center" wrapText="1"/>
    </xf>
    <xf numFmtId="49" fontId="16" fillId="0" borderId="0" xfId="0" applyNumberFormat="1" applyFont="1" applyAlignment="1">
      <alignment horizontal="centerContinuous" vertical="center" wrapText="1"/>
    </xf>
    <xf numFmtId="49" fontId="15" fillId="0" borderId="0" xfId="0" applyNumberFormat="1" applyFont="1" applyAlignment="1">
      <alignment horizontal="left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49" fontId="11" fillId="4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49" fontId="18" fillId="0" borderId="1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left" vertical="center" wrapText="1"/>
    </xf>
    <xf numFmtId="49" fontId="11" fillId="0" borderId="4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49" fontId="19" fillId="0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vertical="center" wrapText="1"/>
    </xf>
    <xf numFmtId="0" fontId="11" fillId="0" borderId="2" xfId="0" applyNumberFormat="1" applyFont="1" applyFill="1" applyBorder="1" applyAlignment="1">
      <alignment horizontal="left" vertical="center" wrapText="1"/>
    </xf>
    <xf numFmtId="49" fontId="18" fillId="4" borderId="1" xfId="0" applyNumberFormat="1" applyFont="1" applyFill="1" applyBorder="1" applyAlignment="1">
      <alignment horizontal="left" vertical="center" wrapText="1"/>
    </xf>
    <xf numFmtId="49" fontId="18" fillId="0" borderId="2" xfId="0" applyNumberFormat="1" applyFont="1" applyFill="1" applyBorder="1" applyAlignment="1">
      <alignment horizontal="left" vertical="center" wrapText="1"/>
    </xf>
    <xf numFmtId="49" fontId="11" fillId="0" borderId="4" xfId="0" applyNumberFormat="1" applyFont="1" applyFill="1" applyBorder="1" applyAlignment="1">
      <alignment horizontal="left" vertical="center" wrapText="1"/>
    </xf>
    <xf numFmtId="0" fontId="11" fillId="0" borderId="4" xfId="0" applyNumberFormat="1" applyFont="1" applyFill="1" applyBorder="1" applyAlignment="1">
      <alignment horizontal="left" vertical="center" wrapText="1"/>
    </xf>
    <xf numFmtId="49" fontId="14" fillId="0" borderId="0" xfId="0" applyNumberFormat="1" applyFont="1" applyFill="1" applyAlignment="1">
      <alignment horizontal="center" vertical="center" wrapText="1"/>
    </xf>
    <xf numFmtId="49" fontId="20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left" vertical="center" wrapText="1"/>
    </xf>
    <xf numFmtId="177" fontId="14" fillId="0" borderId="1" xfId="0" applyNumberFormat="1" applyFont="1" applyFill="1" applyBorder="1" applyAlignment="1">
      <alignment horizontal="left" vertical="center" wrapText="1"/>
    </xf>
    <xf numFmtId="49" fontId="20" fillId="4" borderId="1" xfId="0" applyNumberFormat="1" applyFont="1" applyFill="1" applyBorder="1" applyAlignment="1">
      <alignment horizontal="left" vertical="center" wrapText="1"/>
    </xf>
    <xf numFmtId="177" fontId="11" fillId="0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vertical="center"/>
    </xf>
    <xf numFmtId="49" fontId="11" fillId="0" borderId="2" xfId="0" applyNumberFormat="1" applyFont="1" applyFill="1" applyBorder="1" applyAlignment="1">
      <alignment vertical="center"/>
    </xf>
    <xf numFmtId="0" fontId="14" fillId="0" borderId="0" xfId="0" applyNumberFormat="1" applyFont="1" applyAlignment="1">
      <alignment horizontal="center" vertical="center" wrapText="1"/>
    </xf>
    <xf numFmtId="49" fontId="11" fillId="0" borderId="4" xfId="0" applyNumberFormat="1" applyFont="1" applyFill="1" applyBorder="1" applyAlignment="1">
      <alignment vertical="center"/>
    </xf>
    <xf numFmtId="49" fontId="14" fillId="0" borderId="1" xfId="0" applyNumberFormat="1" applyFont="1" applyBorder="1" applyAlignment="1">
      <alignment vertical="center" wrapText="1"/>
    </xf>
    <xf numFmtId="49" fontId="14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 applyAlignment="1">
      <alignment horizontal="left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 shrinkToFit="1"/>
    </xf>
    <xf numFmtId="49" fontId="18" fillId="0" borderId="2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left" vertical="center" wrapText="1"/>
    </xf>
    <xf numFmtId="49" fontId="18" fillId="0" borderId="4" xfId="0" applyNumberFormat="1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left" vertical="center"/>
    </xf>
    <xf numFmtId="49" fontId="20" fillId="4" borderId="2" xfId="0" applyNumberFormat="1" applyFont="1" applyFill="1" applyBorder="1" applyAlignment="1">
      <alignment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49" fontId="18" fillId="0" borderId="2" xfId="0" applyNumberFormat="1" applyFont="1" applyBorder="1" applyAlignment="1">
      <alignment horizontal="left" vertical="center" wrapText="1"/>
    </xf>
    <xf numFmtId="49" fontId="14" fillId="0" borderId="2" xfId="0" applyNumberFormat="1" applyFont="1" applyFill="1" applyBorder="1" applyAlignment="1">
      <alignment horizontal="left" vertical="center" wrapText="1"/>
    </xf>
    <xf numFmtId="49" fontId="21" fillId="0" borderId="2" xfId="0" applyNumberFormat="1" applyFont="1" applyBorder="1" applyAlignment="1">
      <alignment horizontal="left" vertical="center" wrapText="1"/>
    </xf>
    <xf numFmtId="49" fontId="18" fillId="0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left" vertical="center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left" vertical="center" wrapText="1"/>
    </xf>
    <xf numFmtId="49" fontId="14" fillId="0" borderId="4" xfId="0" applyNumberFormat="1" applyFont="1" applyBorder="1" applyAlignment="1">
      <alignment horizontal="left" vertical="center" wrapText="1"/>
    </xf>
    <xf numFmtId="49" fontId="18" fillId="0" borderId="4" xfId="0" applyNumberFormat="1" applyFont="1" applyBorder="1" applyAlignment="1">
      <alignment horizontal="left" vertical="center" wrapText="1"/>
    </xf>
    <xf numFmtId="49" fontId="14" fillId="0" borderId="4" xfId="0" applyNumberFormat="1" applyFont="1" applyFill="1" applyBorder="1" applyAlignment="1">
      <alignment horizontal="left" vertical="center" wrapText="1"/>
    </xf>
    <xf numFmtId="49" fontId="21" fillId="0" borderId="4" xfId="0" applyNumberFormat="1" applyFont="1" applyBorder="1" applyAlignment="1">
      <alignment horizontal="left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177" fontId="14" fillId="0" borderId="1" xfId="0" applyNumberFormat="1" applyFont="1" applyBorder="1" applyAlignment="1">
      <alignment horizontal="left" vertical="center" wrapText="1"/>
    </xf>
    <xf numFmtId="177" fontId="21" fillId="0" borderId="1" xfId="0" applyNumberFormat="1" applyFont="1" applyBorder="1" applyAlignment="1">
      <alignment horizontal="left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49" fontId="18" fillId="0" borderId="2" xfId="0" applyNumberFormat="1" applyFont="1" applyBorder="1" applyAlignment="1">
      <alignment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vertical="center" wrapText="1"/>
    </xf>
    <xf numFmtId="49" fontId="20" fillId="0" borderId="2" xfId="0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horizontal="left" vertical="center" wrapText="1"/>
    </xf>
    <xf numFmtId="177" fontId="11" fillId="0" borderId="1" xfId="0" applyNumberFormat="1" applyFont="1" applyBorder="1" applyAlignment="1">
      <alignment horizontal="left" vertical="center" wrapText="1"/>
    </xf>
    <xf numFmtId="177" fontId="14" fillId="0" borderId="2" xfId="0" applyNumberFormat="1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49" fontId="14" fillId="0" borderId="3" xfId="0" applyNumberFormat="1" applyFont="1" applyBorder="1" applyAlignment="1">
      <alignment horizontal="left" vertical="center" wrapText="1"/>
    </xf>
    <xf numFmtId="177" fontId="14" fillId="0" borderId="3" xfId="0" applyNumberFormat="1" applyFont="1" applyBorder="1" applyAlignment="1">
      <alignment horizontal="left" vertical="center" wrapText="1"/>
    </xf>
    <xf numFmtId="177" fontId="14" fillId="0" borderId="4" xfId="0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  <xf numFmtId="0" fontId="11" fillId="0" borderId="0" xfId="0" applyNumberFormat="1" applyFont="1" applyAlignment="1">
      <alignment horizontal="center" vertical="center" wrapText="1"/>
    </xf>
    <xf numFmtId="49" fontId="11" fillId="0" borderId="2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8" fillId="4" borderId="4" xfId="0" applyNumberFormat="1" applyFont="1" applyFill="1" applyBorder="1" applyAlignment="1">
      <alignment horizontal="left" vertical="center" wrapText="1"/>
    </xf>
    <xf numFmtId="49" fontId="18" fillId="4" borderId="1" xfId="0" applyNumberFormat="1" applyFont="1" applyFill="1" applyBorder="1" applyAlignment="1">
      <alignment vertical="center" wrapText="1"/>
    </xf>
    <xf numFmtId="49" fontId="11" fillId="0" borderId="4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vertical="center"/>
    </xf>
    <xf numFmtId="49" fontId="18" fillId="0" borderId="4" xfId="0" applyNumberFormat="1" applyFont="1" applyBorder="1" applyAlignment="1">
      <alignment horizontal="center" vertical="center" wrapText="1"/>
    </xf>
    <xf numFmtId="49" fontId="11" fillId="0" borderId="0" xfId="0" applyNumberFormat="1" applyFont="1" applyFill="1" applyAlignment="1">
      <alignment vertical="center" wrapText="1"/>
    </xf>
    <xf numFmtId="49" fontId="12" fillId="0" borderId="0" xfId="0" applyNumberFormat="1" applyFont="1" applyFill="1" applyAlignment="1">
      <alignment vertical="center" wrapText="1"/>
    </xf>
    <xf numFmtId="49" fontId="0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 wrapText="1"/>
    </xf>
    <xf numFmtId="49" fontId="21" fillId="0" borderId="0" xfId="0" applyNumberFormat="1" applyFont="1" applyAlignment="1">
      <alignment vertical="center" wrapText="1"/>
    </xf>
    <xf numFmtId="49" fontId="22" fillId="0" borderId="0" xfId="0" applyNumberFormat="1" applyFont="1" applyAlignment="1">
      <alignment horizontal="left" vertical="top" wrapText="1"/>
    </xf>
    <xf numFmtId="49" fontId="15" fillId="0" borderId="0" xfId="0" applyNumberFormat="1" applyFont="1" applyFill="1" applyAlignment="1">
      <alignment horizontal="centerContinuous" vertical="center" wrapText="1"/>
    </xf>
    <xf numFmtId="49" fontId="12" fillId="2" borderId="1" xfId="0" applyNumberFormat="1" applyFont="1" applyFill="1" applyBorder="1" applyAlignment="1">
      <alignment vertical="center" wrapText="1"/>
    </xf>
    <xf numFmtId="49" fontId="12" fillId="3" borderId="1" xfId="0" applyNumberFormat="1" applyFont="1" applyFill="1" applyBorder="1" applyAlignment="1">
      <alignment vertical="center" wrapText="1"/>
    </xf>
    <xf numFmtId="49" fontId="23" fillId="2" borderId="1" xfId="0" applyNumberFormat="1" applyFont="1" applyFill="1" applyBorder="1" applyAlignment="1">
      <alignment vertical="center" wrapText="1"/>
    </xf>
    <xf numFmtId="49" fontId="11" fillId="4" borderId="1" xfId="0" applyNumberFormat="1" applyFont="1" applyFill="1" applyBorder="1" applyAlignment="1">
      <alignment vertical="center" wrapText="1"/>
    </xf>
    <xf numFmtId="49" fontId="11" fillId="0" borderId="2" xfId="0" applyNumberFormat="1" applyFont="1" applyFill="1" applyBorder="1" applyAlignment="1">
      <alignment vertical="center" wrapText="1"/>
    </xf>
    <xf numFmtId="49" fontId="11" fillId="0" borderId="4" xfId="0" applyNumberFormat="1" applyFont="1" applyFill="1" applyBorder="1" applyAlignment="1">
      <alignment vertical="center" wrapText="1"/>
    </xf>
    <xf numFmtId="49" fontId="18" fillId="0" borderId="1" xfId="0" applyNumberFormat="1" applyFont="1" applyFill="1" applyBorder="1" applyAlignment="1">
      <alignment vertical="center" wrapText="1"/>
    </xf>
    <xf numFmtId="0" fontId="11" fillId="0" borderId="1" xfId="0" applyNumberFormat="1" applyFont="1" applyFill="1" applyBorder="1" applyAlignment="1">
      <alignment vertical="center" wrapText="1"/>
    </xf>
    <xf numFmtId="49" fontId="11" fillId="0" borderId="3" xfId="0" applyNumberFormat="1" applyFont="1" applyFill="1" applyBorder="1" applyAlignment="1">
      <alignment vertical="center" wrapText="1"/>
    </xf>
    <xf numFmtId="178" fontId="11" fillId="0" borderId="0" xfId="0" applyNumberFormat="1" applyFont="1" applyFill="1" applyAlignment="1">
      <alignment vertical="center" wrapText="1"/>
    </xf>
    <xf numFmtId="49" fontId="18" fillId="0" borderId="1" xfId="0" applyNumberFormat="1" applyFont="1" applyBorder="1" applyAlignment="1">
      <alignment vertical="center" wrapText="1"/>
    </xf>
    <xf numFmtId="49" fontId="11" fillId="0" borderId="5" xfId="0" applyNumberFormat="1" applyFont="1" applyBorder="1" applyAlignment="1">
      <alignment vertical="center" wrapText="1"/>
    </xf>
    <xf numFmtId="49" fontId="14" fillId="0" borderId="5" xfId="0" applyNumberFormat="1" applyFont="1" applyBorder="1" applyAlignment="1">
      <alignment vertical="center" wrapText="1"/>
    </xf>
    <xf numFmtId="49" fontId="14" fillId="0" borderId="2" xfId="0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14" fillId="0" borderId="6" xfId="0" applyNumberFormat="1" applyFont="1" applyBorder="1" applyAlignment="1">
      <alignment horizontal="left" vertical="center" wrapText="1"/>
    </xf>
    <xf numFmtId="49" fontId="20" fillId="0" borderId="2" xfId="0" applyNumberFormat="1" applyFont="1" applyFill="1" applyBorder="1" applyAlignment="1">
      <alignment horizontal="left" vertical="center" wrapText="1"/>
    </xf>
    <xf numFmtId="49" fontId="14" fillId="0" borderId="2" xfId="0" applyNumberFormat="1" applyFont="1" applyFill="1" applyBorder="1" applyAlignment="1">
      <alignment vertical="center" wrapText="1"/>
    </xf>
    <xf numFmtId="49" fontId="20" fillId="4" borderId="2" xfId="0" applyNumberFormat="1" applyFont="1" applyFill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 wrapText="1"/>
    </xf>
    <xf numFmtId="49" fontId="20" fillId="0" borderId="4" xfId="0" applyNumberFormat="1" applyFont="1" applyFill="1" applyBorder="1" applyAlignment="1">
      <alignment horizontal="left" vertical="center" wrapText="1"/>
    </xf>
    <xf numFmtId="49" fontId="14" fillId="0" borderId="4" xfId="0" applyNumberFormat="1" applyFont="1" applyFill="1" applyBorder="1" applyAlignment="1">
      <alignment vertical="center" wrapText="1"/>
    </xf>
    <xf numFmtId="49" fontId="20" fillId="4" borderId="3" xfId="0" applyNumberFormat="1" applyFont="1" applyFill="1" applyBorder="1" applyAlignment="1">
      <alignment horizontal="left" vertical="center" wrapText="1"/>
    </xf>
    <xf numFmtId="49" fontId="21" fillId="0" borderId="5" xfId="0" applyNumberFormat="1" applyFont="1" applyBorder="1" applyAlignment="1">
      <alignment vertical="center" wrapText="1"/>
    </xf>
    <xf numFmtId="49" fontId="21" fillId="0" borderId="2" xfId="0" applyNumberFormat="1" applyFont="1" applyBorder="1" applyAlignment="1">
      <alignment vertical="center" wrapText="1"/>
    </xf>
    <xf numFmtId="49" fontId="24" fillId="0" borderId="1" xfId="0" applyNumberFormat="1" applyFont="1" applyFill="1" applyBorder="1" applyAlignment="1">
      <alignment vertical="center" wrapText="1"/>
    </xf>
    <xf numFmtId="49" fontId="21" fillId="0" borderId="1" xfId="0" applyNumberFormat="1" applyFont="1" applyFill="1" applyBorder="1" applyAlignment="1">
      <alignment vertical="center" wrapText="1"/>
    </xf>
    <xf numFmtId="49" fontId="21" fillId="0" borderId="1" xfId="0" applyNumberFormat="1" applyFont="1" applyBorder="1" applyAlignment="1">
      <alignment vertical="center" wrapText="1"/>
    </xf>
    <xf numFmtId="49" fontId="24" fillId="0" borderId="2" xfId="0" applyNumberFormat="1" applyFont="1" applyBorder="1" applyAlignment="1">
      <alignment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20" fillId="5" borderId="2" xfId="0" applyNumberFormat="1" applyFont="1" applyFill="1" applyBorder="1" applyAlignment="1">
      <alignment vertical="center" wrapText="1"/>
    </xf>
    <xf numFmtId="49" fontId="20" fillId="4" borderId="1" xfId="0" applyNumberFormat="1" applyFont="1" applyFill="1" applyBorder="1" applyAlignment="1">
      <alignment vertical="center" wrapText="1"/>
    </xf>
    <xf numFmtId="49" fontId="20" fillId="5" borderId="1" xfId="0" applyNumberFormat="1" applyFont="1" applyFill="1" applyBorder="1" applyAlignment="1">
      <alignment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20" fillId="5" borderId="2" xfId="0" applyNumberFormat="1" applyFont="1" applyFill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20" fillId="5" borderId="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49" fontId="18" fillId="5" borderId="1" xfId="0" applyNumberFormat="1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49" fontId="25" fillId="0" borderId="1" xfId="0" applyNumberFormat="1" applyFont="1" applyFill="1" applyBorder="1" applyAlignment="1">
      <alignment vertical="center" wrapText="1"/>
    </xf>
    <xf numFmtId="49" fontId="13" fillId="0" borderId="1" xfId="0" applyNumberFormat="1" applyFont="1" applyFill="1" applyBorder="1" applyAlignment="1">
      <alignment vertical="center" wrapText="1"/>
    </xf>
    <xf numFmtId="49" fontId="25" fillId="0" borderId="1" xfId="0" applyNumberFormat="1" applyFont="1" applyBorder="1" applyAlignment="1">
      <alignment vertical="center" wrapText="1"/>
    </xf>
    <xf numFmtId="49" fontId="25" fillId="5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 applyAlignment="1" quotePrefix="1">
      <alignment vertical="center" wrapText="1"/>
    </xf>
    <xf numFmtId="0" fontId="11" fillId="0" borderId="1" xfId="0" applyNumberFormat="1" applyFont="1" applyFill="1" applyBorder="1" applyAlignment="1" quotePrefix="1">
      <alignment horizontal="left" vertical="center" wrapText="1"/>
    </xf>
    <xf numFmtId="0" fontId="14" fillId="0" borderId="1" xfId="0" applyNumberFormat="1" applyFont="1" applyFill="1" applyBorder="1" applyAlignment="1" quotePrefix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9" defaultPivotStyle="PivotStyleLight16"/>
  <colors>
    <mruColors>
      <color rgb="0065F977"/>
      <color rgb="00FFC000"/>
      <color rgb="0000B050"/>
      <color rgb="00000000"/>
      <color rgb="00FF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0"/>
  <sheetViews>
    <sheetView view="pageBreakPreview" zoomScaleNormal="100" workbookViewId="0">
      <pane xSplit="4" ySplit="2" topLeftCell="E25" activePane="bottomRight" state="frozen"/>
      <selection/>
      <selection pane="topRight"/>
      <selection pane="bottomLeft"/>
      <selection pane="bottomRight" activeCell="L6" sqref="L6"/>
    </sheetView>
  </sheetViews>
  <sheetFormatPr defaultColWidth="8.66666666666667" defaultRowHeight="11.5"/>
  <cols>
    <col min="1" max="1" width="6.83333333333333" style="129" customWidth="1"/>
    <col min="2" max="2" width="8.66666666666667" style="20" customWidth="1"/>
    <col min="3" max="3" width="6.58333333333333" style="129" customWidth="1"/>
    <col min="4" max="4" width="8" style="129" customWidth="1"/>
    <col min="5" max="5" width="13.75" style="129" customWidth="1"/>
    <col min="6" max="6" width="11.25" style="129" customWidth="1"/>
    <col min="7" max="7" width="12.5833333333333" style="129" customWidth="1"/>
    <col min="8" max="9" width="9.75" style="129" customWidth="1"/>
    <col min="10" max="10" width="8.75" style="129" customWidth="1"/>
    <col min="11" max="11" width="8.91666666666667" style="129" customWidth="1"/>
    <col min="12" max="12" width="9" style="129" customWidth="1"/>
    <col min="13" max="13" width="7" style="129" customWidth="1"/>
    <col min="14" max="14" width="10.6666666666667" style="129" customWidth="1"/>
    <col min="15" max="15" width="8.75" style="129" customWidth="1"/>
    <col min="16" max="16" width="16.0833333333333" style="129" customWidth="1"/>
    <col min="17" max="16384" width="8.66666666666667" style="129"/>
  </cols>
  <sheetData>
    <row r="1" s="125" customFormat="1" ht="29" customHeight="1" spans="1:17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="126" customFormat="1" ht="40" customHeight="1" spans="1:17">
      <c r="A2" s="134" t="s">
        <v>1</v>
      </c>
      <c r="B2" s="34" t="s">
        <v>2</v>
      </c>
      <c r="C2" s="134" t="s">
        <v>3</v>
      </c>
      <c r="D2" s="134" t="s">
        <v>4</v>
      </c>
      <c r="E2" s="134" t="s">
        <v>5</v>
      </c>
      <c r="F2" s="134" t="s">
        <v>6</v>
      </c>
      <c r="G2" s="134" t="s">
        <v>7</v>
      </c>
      <c r="H2" s="134" t="s">
        <v>8</v>
      </c>
      <c r="I2" s="134" t="s">
        <v>9</v>
      </c>
      <c r="J2" s="134" t="s">
        <v>10</v>
      </c>
      <c r="K2" s="134" t="s">
        <v>11</v>
      </c>
      <c r="L2" s="134" t="s">
        <v>12</v>
      </c>
      <c r="M2" s="135" t="s">
        <v>13</v>
      </c>
      <c r="N2" s="136" t="s">
        <v>14</v>
      </c>
      <c r="O2" s="136" t="s">
        <v>15</v>
      </c>
      <c r="P2" s="136" t="s">
        <v>16</v>
      </c>
    </row>
    <row r="3" s="125" customFormat="1" ht="25" customHeight="1" spans="1:17">
      <c r="A3" s="50" t="s">
        <v>17</v>
      </c>
      <c r="B3" s="40" t="s">
        <v>18</v>
      </c>
      <c r="C3" s="50" t="s">
        <v>19</v>
      </c>
      <c r="D3" s="50" t="s">
        <v>20</v>
      </c>
      <c r="E3" s="50" t="s">
        <v>21</v>
      </c>
      <c r="F3" s="50" t="s">
        <v>22</v>
      </c>
      <c r="G3" s="50" t="s">
        <v>23</v>
      </c>
      <c r="H3" s="50" t="s">
        <v>24</v>
      </c>
      <c r="I3" s="50" t="s">
        <v>25</v>
      </c>
      <c r="J3" s="50" t="s">
        <v>26</v>
      </c>
      <c r="K3" s="50" t="s">
        <v>27</v>
      </c>
      <c r="L3" s="50" t="s">
        <v>28</v>
      </c>
      <c r="M3" s="137" t="s">
        <v>29</v>
      </c>
      <c r="N3" s="50" t="s">
        <v>30</v>
      </c>
      <c r="O3" s="42" t="s">
        <v>31</v>
      </c>
      <c r="P3" s="50" t="s">
        <v>32</v>
      </c>
    </row>
    <row r="4" s="125" customFormat="1" ht="25" customHeight="1" spans="1:17">
      <c r="A4" s="50" t="s">
        <v>33</v>
      </c>
      <c r="B4" s="39" t="s">
        <v>18</v>
      </c>
      <c r="C4" s="138" t="s">
        <v>34</v>
      </c>
      <c r="D4" s="50" t="s">
        <v>20</v>
      </c>
      <c r="E4" s="50" t="s">
        <v>35</v>
      </c>
      <c r="F4" s="50" t="s">
        <v>36</v>
      </c>
      <c r="G4" s="50" t="s">
        <v>37</v>
      </c>
      <c r="H4" s="50" t="s">
        <v>38</v>
      </c>
      <c r="I4" s="50" t="s">
        <v>39</v>
      </c>
      <c r="J4" s="50" t="s">
        <v>40</v>
      </c>
      <c r="K4" s="50" t="s">
        <v>41</v>
      </c>
      <c r="L4" s="50" t="s">
        <v>42</v>
      </c>
      <c r="M4" s="137" t="s">
        <v>29</v>
      </c>
      <c r="N4" s="50" t="s">
        <v>30</v>
      </c>
      <c r="O4" s="42" t="s">
        <v>43</v>
      </c>
      <c r="P4" s="50" t="s">
        <v>44</v>
      </c>
    </row>
    <row r="5" s="125" customFormat="1" ht="25" customHeight="1" spans="1:17">
      <c r="A5" s="50" t="s">
        <v>45</v>
      </c>
      <c r="B5" s="54"/>
      <c r="C5" s="139"/>
      <c r="D5" s="50" t="s">
        <v>46</v>
      </c>
      <c r="E5" s="50" t="s">
        <v>47</v>
      </c>
      <c r="F5" s="50" t="s">
        <v>36</v>
      </c>
      <c r="G5" s="50" t="s">
        <v>48</v>
      </c>
      <c r="H5" s="50" t="s">
        <v>49</v>
      </c>
      <c r="I5" s="50" t="s">
        <v>25</v>
      </c>
      <c r="J5" s="50" t="s">
        <v>50</v>
      </c>
      <c r="K5" s="50" t="s">
        <v>51</v>
      </c>
      <c r="L5" s="50" t="s">
        <v>51</v>
      </c>
      <c r="M5" s="137" t="s">
        <v>29</v>
      </c>
      <c r="N5" s="50" t="s">
        <v>30</v>
      </c>
      <c r="O5" s="42" t="s">
        <v>52</v>
      </c>
      <c r="P5" s="50" t="s">
        <v>53</v>
      </c>
    </row>
    <row r="6" s="125" customFormat="1" ht="25" customHeight="1" spans="1:17">
      <c r="A6" s="50" t="s">
        <v>54</v>
      </c>
      <c r="B6" s="39" t="s">
        <v>18</v>
      </c>
      <c r="C6" s="50" t="s">
        <v>55</v>
      </c>
      <c r="D6" s="50" t="s">
        <v>20</v>
      </c>
      <c r="E6" s="50" t="s">
        <v>56</v>
      </c>
      <c r="F6" s="50" t="s">
        <v>57</v>
      </c>
      <c r="G6" s="50" t="s">
        <v>58</v>
      </c>
      <c r="H6" s="50" t="s">
        <v>59</v>
      </c>
      <c r="I6" s="50" t="s">
        <v>25</v>
      </c>
      <c r="J6" s="69" t="s">
        <v>51</v>
      </c>
      <c r="K6" s="69" t="s">
        <v>60</v>
      </c>
      <c r="L6" s="50" t="s">
        <v>61</v>
      </c>
      <c r="M6" s="137" t="s">
        <v>29</v>
      </c>
      <c r="N6" s="140" t="s">
        <v>62</v>
      </c>
      <c r="O6" s="42" t="s">
        <v>63</v>
      </c>
      <c r="P6" s="50" t="s">
        <v>64</v>
      </c>
    </row>
    <row r="7" s="125" customFormat="1" ht="25" customHeight="1" spans="1:17">
      <c r="A7" s="50" t="s">
        <v>65</v>
      </c>
      <c r="B7" s="54"/>
      <c r="C7" s="50"/>
      <c r="D7" s="50" t="s">
        <v>46</v>
      </c>
      <c r="E7" s="50" t="s">
        <v>66</v>
      </c>
      <c r="F7" s="50" t="s">
        <v>22</v>
      </c>
      <c r="G7" s="50" t="s">
        <v>67</v>
      </c>
      <c r="H7" s="50" t="s">
        <v>68</v>
      </c>
      <c r="I7" s="50" t="s">
        <v>25</v>
      </c>
      <c r="J7" s="69" t="s">
        <v>69</v>
      </c>
      <c r="K7" s="69" t="s">
        <v>70</v>
      </c>
      <c r="L7" s="50" t="s">
        <v>71</v>
      </c>
      <c r="M7" s="137" t="s">
        <v>29</v>
      </c>
      <c r="N7" s="50" t="s">
        <v>30</v>
      </c>
      <c r="O7" s="141" t="s">
        <v>72</v>
      </c>
      <c r="P7" s="50" t="s">
        <v>73</v>
      </c>
    </row>
    <row r="8" s="125" customFormat="1" ht="25" customHeight="1" spans="1:17">
      <c r="A8" s="50" t="s">
        <v>74</v>
      </c>
      <c r="B8" s="39" t="s">
        <v>18</v>
      </c>
      <c r="C8" s="138" t="s">
        <v>75</v>
      </c>
      <c r="D8" s="50" t="s">
        <v>20</v>
      </c>
      <c r="E8" s="50" t="s">
        <v>76</v>
      </c>
      <c r="F8" s="50" t="s">
        <v>77</v>
      </c>
      <c r="G8" s="50" t="s">
        <v>78</v>
      </c>
      <c r="H8" s="50" t="s">
        <v>68</v>
      </c>
      <c r="I8" s="50" t="s">
        <v>39</v>
      </c>
      <c r="J8" s="69" t="s">
        <v>79</v>
      </c>
      <c r="K8" s="69" t="s">
        <v>80</v>
      </c>
      <c r="L8" s="50" t="s">
        <v>81</v>
      </c>
      <c r="M8" s="137" t="s">
        <v>29</v>
      </c>
      <c r="N8" s="50" t="s">
        <v>82</v>
      </c>
      <c r="O8" s="50" t="s">
        <v>83</v>
      </c>
      <c r="P8" s="50" t="s">
        <v>84</v>
      </c>
    </row>
    <row r="9" s="125" customFormat="1" ht="38" customHeight="1" spans="1:17">
      <c r="A9" s="50" t="s">
        <v>85</v>
      </c>
      <c r="B9" s="46"/>
      <c r="C9" s="142"/>
      <c r="D9" s="138" t="s">
        <v>46</v>
      </c>
      <c r="E9" s="86" t="s">
        <v>86</v>
      </c>
      <c r="F9" s="50" t="s">
        <v>77</v>
      </c>
      <c r="G9" s="50" t="s">
        <v>87</v>
      </c>
      <c r="H9" s="50" t="s">
        <v>68</v>
      </c>
      <c r="I9" s="50" t="s">
        <v>39</v>
      </c>
      <c r="J9" s="69" t="s">
        <v>88</v>
      </c>
      <c r="K9" s="69" t="s">
        <v>89</v>
      </c>
      <c r="L9" s="50" t="s">
        <v>90</v>
      </c>
      <c r="M9" s="137" t="s">
        <v>29</v>
      </c>
      <c r="N9" s="50" t="s">
        <v>91</v>
      </c>
      <c r="O9" s="50" t="s">
        <v>92</v>
      </c>
      <c r="P9" s="50" t="s">
        <v>93</v>
      </c>
    </row>
    <row r="10" s="125" customFormat="1" ht="25" customHeight="1" spans="1:17">
      <c r="A10" s="50" t="s">
        <v>94</v>
      </c>
      <c r="B10" s="54"/>
      <c r="C10" s="139"/>
      <c r="D10" s="139"/>
      <c r="E10" s="94"/>
      <c r="F10" s="50" t="s">
        <v>77</v>
      </c>
      <c r="G10" s="141" t="s">
        <v>95</v>
      </c>
      <c r="H10" s="50" t="s">
        <v>68</v>
      </c>
      <c r="I10" s="50" t="s">
        <v>39</v>
      </c>
      <c r="J10" s="69" t="s">
        <v>88</v>
      </c>
      <c r="K10" s="69" t="s">
        <v>89</v>
      </c>
      <c r="L10" s="50" t="s">
        <v>90</v>
      </c>
      <c r="M10" s="137" t="s">
        <v>29</v>
      </c>
      <c r="N10" s="50" t="s">
        <v>96</v>
      </c>
      <c r="O10" s="50" t="s">
        <v>83</v>
      </c>
      <c r="P10" s="50" t="s">
        <v>97</v>
      </c>
    </row>
    <row r="11" s="125" customFormat="1" ht="25" customHeight="1" spans="1:17">
      <c r="A11" s="50" t="s">
        <v>98</v>
      </c>
      <c r="B11" s="39" t="s">
        <v>18</v>
      </c>
      <c r="C11" s="64" t="s">
        <v>99</v>
      </c>
      <c r="D11" s="50" t="s">
        <v>20</v>
      </c>
      <c r="E11" s="50" t="s">
        <v>100</v>
      </c>
      <c r="F11" s="50" t="s">
        <v>77</v>
      </c>
      <c r="G11" s="50" t="s">
        <v>101</v>
      </c>
      <c r="H11" s="50" t="s">
        <v>68</v>
      </c>
      <c r="I11" s="50" t="s">
        <v>39</v>
      </c>
      <c r="J11" s="69" t="s">
        <v>102</v>
      </c>
      <c r="K11" s="69" t="s">
        <v>103</v>
      </c>
      <c r="L11" s="50" t="s">
        <v>104</v>
      </c>
      <c r="M11" s="137" t="s">
        <v>29</v>
      </c>
      <c r="N11" s="50" t="s">
        <v>105</v>
      </c>
      <c r="O11" s="50" t="s">
        <v>106</v>
      </c>
      <c r="P11" s="50" t="s">
        <v>107</v>
      </c>
      <c r="Q11" s="143"/>
    </row>
    <row r="12" s="125" customFormat="1" ht="25" customHeight="1" spans="1:17">
      <c r="A12" s="50" t="s">
        <v>108</v>
      </c>
      <c r="B12" s="46"/>
      <c r="C12" s="64"/>
      <c r="D12" s="50" t="s">
        <v>46</v>
      </c>
      <c r="E12" s="69" t="s">
        <v>109</v>
      </c>
      <c r="F12" s="50" t="s">
        <v>36</v>
      </c>
      <c r="G12" s="50" t="s">
        <v>110</v>
      </c>
      <c r="H12" s="50" t="s">
        <v>111</v>
      </c>
      <c r="I12" s="50" t="s">
        <v>25</v>
      </c>
      <c r="J12" s="69" t="s">
        <v>103</v>
      </c>
      <c r="K12" s="50" t="s">
        <v>112</v>
      </c>
      <c r="L12" s="50" t="s">
        <v>113</v>
      </c>
      <c r="M12" s="121" t="s">
        <v>114</v>
      </c>
      <c r="N12" s="140" t="s">
        <v>115</v>
      </c>
      <c r="O12" s="50" t="s">
        <v>116</v>
      </c>
      <c r="P12" s="50" t="s">
        <v>117</v>
      </c>
    </row>
    <row r="13" s="127" customFormat="1" ht="25" customHeight="1" spans="1:17">
      <c r="A13" s="50" t="s">
        <v>118</v>
      </c>
      <c r="B13" s="46"/>
      <c r="C13" s="64"/>
      <c r="D13" s="50" t="s">
        <v>119</v>
      </c>
      <c r="E13" s="69" t="s">
        <v>120</v>
      </c>
      <c r="F13" s="50" t="s">
        <v>77</v>
      </c>
      <c r="G13" s="50" t="s">
        <v>121</v>
      </c>
      <c r="H13" s="50" t="s">
        <v>68</v>
      </c>
      <c r="I13" s="50" t="s">
        <v>39</v>
      </c>
      <c r="J13" s="69" t="s">
        <v>122</v>
      </c>
      <c r="K13" s="69" t="s">
        <v>123</v>
      </c>
      <c r="L13" s="69" t="s">
        <v>124</v>
      </c>
      <c r="M13" s="121" t="s">
        <v>114</v>
      </c>
      <c r="N13" s="50" t="s">
        <v>125</v>
      </c>
      <c r="O13" s="50" t="s">
        <v>126</v>
      </c>
      <c r="P13" s="50" t="s">
        <v>127</v>
      </c>
    </row>
    <row r="14" s="127" customFormat="1" ht="25" customHeight="1" spans="1:17">
      <c r="A14" s="50" t="s">
        <v>128</v>
      </c>
      <c r="B14" s="46"/>
      <c r="C14" s="64"/>
      <c r="D14" s="50" t="s">
        <v>129</v>
      </c>
      <c r="E14" s="69" t="s">
        <v>130</v>
      </c>
      <c r="F14" s="50" t="s">
        <v>77</v>
      </c>
      <c r="G14" s="50" t="s">
        <v>131</v>
      </c>
      <c r="H14" s="50" t="s">
        <v>68</v>
      </c>
      <c r="I14" s="50" t="s">
        <v>39</v>
      </c>
      <c r="J14" s="69" t="s">
        <v>132</v>
      </c>
      <c r="K14" s="69" t="s">
        <v>133</v>
      </c>
      <c r="L14" s="69" t="s">
        <v>134</v>
      </c>
      <c r="M14" s="121" t="s">
        <v>114</v>
      </c>
      <c r="N14" s="50" t="s">
        <v>125</v>
      </c>
      <c r="O14" s="50" t="s">
        <v>135</v>
      </c>
      <c r="P14" s="50" t="s">
        <v>136</v>
      </c>
    </row>
    <row r="15" s="125" customFormat="1" ht="25" customHeight="1" spans="1:17">
      <c r="A15" s="50" t="s">
        <v>137</v>
      </c>
      <c r="B15" s="138" t="s">
        <v>18</v>
      </c>
      <c r="C15" s="50" t="s">
        <v>138</v>
      </c>
      <c r="D15" s="50" t="s">
        <v>20</v>
      </c>
      <c r="E15" s="50" t="s">
        <v>139</v>
      </c>
      <c r="F15" s="50" t="s">
        <v>77</v>
      </c>
      <c r="G15" s="50" t="s">
        <v>140</v>
      </c>
      <c r="H15" s="50" t="s">
        <v>141</v>
      </c>
      <c r="I15" s="50" t="s">
        <v>39</v>
      </c>
      <c r="J15" s="50" t="s">
        <v>60</v>
      </c>
      <c r="K15" s="69" t="s">
        <v>142</v>
      </c>
      <c r="L15" s="50" t="s">
        <v>143</v>
      </c>
      <c r="M15" s="121" t="s">
        <v>114</v>
      </c>
      <c r="N15" s="50" t="s">
        <v>144</v>
      </c>
      <c r="O15" s="50" t="s">
        <v>145</v>
      </c>
      <c r="P15" s="50" t="s">
        <v>146</v>
      </c>
    </row>
    <row r="16" s="125" customFormat="1" ht="25" customHeight="1" spans="1:17">
      <c r="A16" s="50" t="s">
        <v>147</v>
      </c>
      <c r="B16" s="138" t="s">
        <v>18</v>
      </c>
      <c r="C16" s="50" t="s">
        <v>148</v>
      </c>
      <c r="D16" s="50" t="s">
        <v>20</v>
      </c>
      <c r="E16" s="50" t="s">
        <v>149</v>
      </c>
      <c r="F16" s="50" t="s">
        <v>77</v>
      </c>
      <c r="G16" s="50" t="s">
        <v>150</v>
      </c>
      <c r="H16" s="50" t="s">
        <v>151</v>
      </c>
      <c r="I16" s="50" t="s">
        <v>39</v>
      </c>
      <c r="J16" s="50" t="s">
        <v>152</v>
      </c>
      <c r="K16" s="69" t="s">
        <v>153</v>
      </c>
      <c r="L16" s="50" t="s">
        <v>154</v>
      </c>
      <c r="M16" s="121" t="s">
        <v>114</v>
      </c>
      <c r="N16" s="50" t="s">
        <v>155</v>
      </c>
      <c r="O16" s="50" t="s">
        <v>156</v>
      </c>
      <c r="P16" s="50" t="s">
        <v>157</v>
      </c>
    </row>
    <row r="17" s="125" customFormat="1" ht="25" customHeight="1" spans="1:17">
      <c r="A17" s="50" t="s">
        <v>158</v>
      </c>
      <c r="B17" s="138" t="s">
        <v>18</v>
      </c>
      <c r="C17" s="50" t="s">
        <v>159</v>
      </c>
      <c r="D17" s="50" t="s">
        <v>20</v>
      </c>
      <c r="E17" s="50" t="s">
        <v>160</v>
      </c>
      <c r="F17" s="50" t="s">
        <v>77</v>
      </c>
      <c r="G17" s="50" t="s">
        <v>161</v>
      </c>
      <c r="H17" s="50" t="s">
        <v>162</v>
      </c>
      <c r="I17" s="50" t="s">
        <v>39</v>
      </c>
      <c r="J17" s="50" t="s">
        <v>132</v>
      </c>
      <c r="K17" s="69" t="s">
        <v>124</v>
      </c>
      <c r="L17" s="50" t="s">
        <v>163</v>
      </c>
      <c r="M17" s="121" t="s">
        <v>114</v>
      </c>
      <c r="N17" s="50" t="s">
        <v>164</v>
      </c>
      <c r="O17" s="50" t="s">
        <v>165</v>
      </c>
      <c r="P17" s="50" t="s">
        <v>166</v>
      </c>
    </row>
    <row r="18" s="125" customFormat="1" ht="25" customHeight="1" spans="1:17">
      <c r="A18" s="50" t="s">
        <v>167</v>
      </c>
      <c r="B18" s="138" t="s">
        <v>18</v>
      </c>
      <c r="C18" s="50" t="s">
        <v>168</v>
      </c>
      <c r="D18" s="50" t="s">
        <v>20</v>
      </c>
      <c r="E18" s="50" t="s">
        <v>169</v>
      </c>
      <c r="F18" s="50" t="s">
        <v>77</v>
      </c>
      <c r="G18" s="50" t="s">
        <v>170</v>
      </c>
      <c r="H18" s="50" t="s">
        <v>68</v>
      </c>
      <c r="I18" s="50" t="s">
        <v>39</v>
      </c>
      <c r="J18" s="50" t="s">
        <v>171</v>
      </c>
      <c r="K18" s="69" t="s">
        <v>172</v>
      </c>
      <c r="L18" s="50" t="s">
        <v>173</v>
      </c>
      <c r="M18" s="121" t="s">
        <v>114</v>
      </c>
      <c r="N18" s="140" t="s">
        <v>174</v>
      </c>
      <c r="O18" s="50" t="s">
        <v>165</v>
      </c>
      <c r="P18" s="50" t="s">
        <v>175</v>
      </c>
    </row>
    <row r="19" s="125" customFormat="1" ht="25" customHeight="1" spans="1:17">
      <c r="A19" s="50" t="s">
        <v>176</v>
      </c>
      <c r="B19" s="138" t="s">
        <v>18</v>
      </c>
      <c r="C19" s="50" t="s">
        <v>177</v>
      </c>
      <c r="D19" s="50" t="s">
        <v>20</v>
      </c>
      <c r="E19" s="50" t="s">
        <v>178</v>
      </c>
      <c r="F19" s="50" t="s">
        <v>77</v>
      </c>
      <c r="G19" s="50" t="s">
        <v>178</v>
      </c>
      <c r="H19" s="50" t="s">
        <v>179</v>
      </c>
      <c r="I19" s="50" t="s">
        <v>180</v>
      </c>
      <c r="J19" s="69" t="s">
        <v>178</v>
      </c>
      <c r="K19" s="69" t="s">
        <v>178</v>
      </c>
      <c r="L19" s="69" t="s">
        <v>181</v>
      </c>
      <c r="M19" s="121" t="s">
        <v>114</v>
      </c>
      <c r="N19" s="140" t="s">
        <v>182</v>
      </c>
      <c r="O19" s="50" t="s">
        <v>183</v>
      </c>
      <c r="P19" s="50" t="s">
        <v>184</v>
      </c>
    </row>
    <row r="20" s="128" customFormat="1" ht="25" customHeight="1" spans="1:17">
      <c r="A20" s="69" t="s">
        <v>185</v>
      </c>
      <c r="B20" s="50" t="s">
        <v>18</v>
      </c>
      <c r="C20" s="69" t="s">
        <v>186</v>
      </c>
      <c r="D20" s="69" t="s">
        <v>20</v>
      </c>
      <c r="E20" s="69" t="s">
        <v>187</v>
      </c>
      <c r="F20" s="57" t="s">
        <v>188</v>
      </c>
      <c r="G20" s="69" t="s">
        <v>189</v>
      </c>
      <c r="H20" s="50" t="s">
        <v>190</v>
      </c>
      <c r="I20" s="69" t="s">
        <v>39</v>
      </c>
      <c r="J20" s="69" t="s">
        <v>191</v>
      </c>
      <c r="K20" s="61">
        <v>45683</v>
      </c>
      <c r="L20" s="61">
        <v>45689</v>
      </c>
      <c r="M20" s="121" t="s">
        <v>114</v>
      </c>
      <c r="N20" s="57" t="s">
        <v>192</v>
      </c>
      <c r="O20" s="69" t="s">
        <v>193</v>
      </c>
      <c r="P20" s="57" t="s">
        <v>194</v>
      </c>
    </row>
    <row r="21" s="125" customFormat="1" ht="28" customHeight="1" spans="1:17">
      <c r="A21" s="50" t="s">
        <v>195</v>
      </c>
      <c r="B21" s="50" t="s">
        <v>18</v>
      </c>
      <c r="C21" s="50" t="s">
        <v>196</v>
      </c>
      <c r="D21" s="50" t="s">
        <v>20</v>
      </c>
      <c r="E21" s="48" t="s">
        <v>197</v>
      </c>
      <c r="F21" s="50" t="s">
        <v>36</v>
      </c>
      <c r="G21" s="50" t="s">
        <v>198</v>
      </c>
      <c r="H21" s="140" t="s">
        <v>199</v>
      </c>
      <c r="I21" s="50" t="s">
        <v>25</v>
      </c>
      <c r="J21" s="48" t="s">
        <v>200</v>
      </c>
      <c r="K21" s="48" t="s">
        <v>201</v>
      </c>
      <c r="L21" s="69" t="s">
        <v>202</v>
      </c>
      <c r="M21" s="121" t="s">
        <v>114</v>
      </c>
      <c r="N21" s="140" t="s">
        <v>203</v>
      </c>
      <c r="O21" s="50" t="s">
        <v>204</v>
      </c>
      <c r="P21" s="50" t="s">
        <v>205</v>
      </c>
    </row>
    <row r="22" s="129" customFormat="1" ht="24" customHeight="1" spans="1:17">
      <c r="A22" s="50" t="s">
        <v>206</v>
      </c>
      <c r="B22" s="73" t="s">
        <v>207</v>
      </c>
      <c r="C22" s="84" t="s">
        <v>208</v>
      </c>
      <c r="D22" s="50" t="s">
        <v>20</v>
      </c>
      <c r="E22" s="101" t="s">
        <v>209</v>
      </c>
      <c r="F22" s="140" t="s">
        <v>77</v>
      </c>
      <c r="G22" s="101" t="s">
        <v>210</v>
      </c>
      <c r="H22" s="140" t="s">
        <v>68</v>
      </c>
      <c r="I22" s="50" t="s">
        <v>39</v>
      </c>
      <c r="J22" s="68" t="s">
        <v>172</v>
      </c>
      <c r="K22" s="68" t="s">
        <v>154</v>
      </c>
      <c r="L22" s="68" t="s">
        <v>200</v>
      </c>
      <c r="M22" s="121" t="s">
        <v>114</v>
      </c>
      <c r="N22" s="144" t="s">
        <v>211</v>
      </c>
      <c r="O22" s="101" t="s">
        <v>212</v>
      </c>
      <c r="P22" s="144" t="s">
        <v>213</v>
      </c>
    </row>
    <row r="23" s="129" customFormat="1" ht="24" customHeight="1" spans="1:17">
      <c r="A23" s="50" t="s">
        <v>214</v>
      </c>
      <c r="B23" s="73"/>
      <c r="C23" s="97"/>
      <c r="D23" s="145" t="s">
        <v>46</v>
      </c>
      <c r="E23" s="101" t="s">
        <v>215</v>
      </c>
      <c r="F23" s="140" t="s">
        <v>77</v>
      </c>
      <c r="G23" s="101" t="s">
        <v>216</v>
      </c>
      <c r="H23" s="140" t="s">
        <v>68</v>
      </c>
      <c r="I23" s="50" t="s">
        <v>39</v>
      </c>
      <c r="J23" s="101" t="s">
        <v>217</v>
      </c>
      <c r="K23" s="68" t="s">
        <v>218</v>
      </c>
      <c r="L23" s="68" t="s">
        <v>219</v>
      </c>
      <c r="M23" s="121" t="s">
        <v>114</v>
      </c>
      <c r="N23" s="144" t="s">
        <v>220</v>
      </c>
      <c r="O23" s="101" t="s">
        <v>221</v>
      </c>
      <c r="P23" s="144" t="s">
        <v>222</v>
      </c>
    </row>
    <row r="24" s="129" customFormat="1" ht="24" customHeight="1" spans="1:17">
      <c r="A24" s="50" t="s">
        <v>223</v>
      </c>
      <c r="B24" s="73"/>
      <c r="C24" s="97"/>
      <c r="D24" s="145" t="s">
        <v>119</v>
      </c>
      <c r="E24" s="101" t="s">
        <v>224</v>
      </c>
      <c r="F24" s="140" t="s">
        <v>77</v>
      </c>
      <c r="G24" s="101" t="s">
        <v>225</v>
      </c>
      <c r="H24" s="140" t="s">
        <v>68</v>
      </c>
      <c r="I24" s="50" t="s">
        <v>39</v>
      </c>
      <c r="J24" s="68" t="s">
        <v>226</v>
      </c>
      <c r="K24" s="68" t="s">
        <v>227</v>
      </c>
      <c r="L24" s="68" t="s">
        <v>228</v>
      </c>
      <c r="M24" s="121" t="s">
        <v>114</v>
      </c>
      <c r="N24" s="144" t="s">
        <v>229</v>
      </c>
      <c r="O24" s="101" t="s">
        <v>230</v>
      </c>
      <c r="P24" s="144" t="s">
        <v>231</v>
      </c>
    </row>
    <row r="25" s="129" customFormat="1" ht="24" customHeight="1" spans="1:17">
      <c r="A25" s="50" t="s">
        <v>232</v>
      </c>
      <c r="B25" s="73"/>
      <c r="C25" s="97"/>
      <c r="D25" s="145" t="s">
        <v>129</v>
      </c>
      <c r="E25" s="101" t="s">
        <v>233</v>
      </c>
      <c r="F25" s="140" t="s">
        <v>77</v>
      </c>
      <c r="G25" s="101" t="s">
        <v>234</v>
      </c>
      <c r="H25" s="140" t="s">
        <v>68</v>
      </c>
      <c r="I25" s="50" t="s">
        <v>39</v>
      </c>
      <c r="J25" s="68" t="s">
        <v>235</v>
      </c>
      <c r="K25" s="68" t="s">
        <v>236</v>
      </c>
      <c r="L25" s="68" t="s">
        <v>237</v>
      </c>
      <c r="M25" s="121" t="s">
        <v>114</v>
      </c>
      <c r="N25" s="144" t="s">
        <v>238</v>
      </c>
      <c r="O25" s="101" t="s">
        <v>239</v>
      </c>
      <c r="P25" s="144" t="s">
        <v>240</v>
      </c>
    </row>
    <row r="26" s="129" customFormat="1" ht="24" customHeight="1" spans="1:17">
      <c r="A26" s="50" t="s">
        <v>241</v>
      </c>
      <c r="B26" s="73"/>
      <c r="C26" s="97"/>
      <c r="D26" s="146" t="s">
        <v>242</v>
      </c>
      <c r="E26" s="147" t="s">
        <v>243</v>
      </c>
      <c r="F26" s="57" t="s">
        <v>188</v>
      </c>
      <c r="G26" s="147" t="s">
        <v>244</v>
      </c>
      <c r="H26" s="57" t="s">
        <v>245</v>
      </c>
      <c r="I26" s="69" t="s">
        <v>39</v>
      </c>
      <c r="J26" s="147" t="s">
        <v>246</v>
      </c>
      <c r="K26" s="147" t="s">
        <v>247</v>
      </c>
      <c r="L26" s="147" t="s">
        <v>248</v>
      </c>
      <c r="M26" s="121" t="s">
        <v>114</v>
      </c>
      <c r="N26" s="147" t="s">
        <v>249</v>
      </c>
      <c r="O26" s="68" t="s">
        <v>193</v>
      </c>
      <c r="P26" s="105" t="s">
        <v>250</v>
      </c>
    </row>
    <row r="27" s="130" customFormat="1" ht="24" customHeight="1" spans="1:17">
      <c r="A27" s="50" t="s">
        <v>251</v>
      </c>
      <c r="B27" s="106" t="s">
        <v>252</v>
      </c>
      <c r="C27" s="68" t="s">
        <v>253</v>
      </c>
      <c r="D27" s="146" t="s">
        <v>20</v>
      </c>
      <c r="E27" s="68" t="s">
        <v>254</v>
      </c>
      <c r="F27" s="106" t="s">
        <v>255</v>
      </c>
      <c r="G27" s="68" t="s">
        <v>256</v>
      </c>
      <c r="H27" s="59" t="s">
        <v>257</v>
      </c>
      <c r="I27" s="69" t="s">
        <v>39</v>
      </c>
      <c r="J27" s="68" t="s">
        <v>258</v>
      </c>
      <c r="K27" s="68" t="s">
        <v>259</v>
      </c>
      <c r="L27" s="68" t="s">
        <v>260</v>
      </c>
      <c r="M27" s="82" t="s">
        <v>114</v>
      </c>
      <c r="N27" s="68" t="s">
        <v>261</v>
      </c>
      <c r="O27" s="148" t="s">
        <v>262</v>
      </c>
      <c r="P27" s="148" t="s">
        <v>263</v>
      </c>
    </row>
    <row r="28" s="129" customFormat="1" ht="24" customHeight="1" spans="1:17">
      <c r="A28" s="50" t="s">
        <v>264</v>
      </c>
      <c r="B28" s="149" t="s">
        <v>252</v>
      </c>
      <c r="C28" s="78" t="s">
        <v>265</v>
      </c>
      <c r="D28" s="146" t="s">
        <v>266</v>
      </c>
      <c r="E28" s="147" t="s">
        <v>267</v>
      </c>
      <c r="F28" s="57" t="s">
        <v>188</v>
      </c>
      <c r="G28" s="147" t="s">
        <v>268</v>
      </c>
      <c r="H28" s="57" t="s">
        <v>245</v>
      </c>
      <c r="I28" s="69" t="s">
        <v>39</v>
      </c>
      <c r="J28" s="78" t="s">
        <v>269</v>
      </c>
      <c r="K28" s="108">
        <v>45601</v>
      </c>
      <c r="L28" s="108">
        <f>K28+5</f>
        <v>45606</v>
      </c>
      <c r="M28" s="82" t="s">
        <v>114</v>
      </c>
      <c r="N28" s="105" t="s">
        <v>270</v>
      </c>
      <c r="O28" s="68" t="s">
        <v>271</v>
      </c>
      <c r="P28" s="105" t="s">
        <v>272</v>
      </c>
    </row>
    <row r="29" s="129" customFormat="1" ht="24" customHeight="1" spans="1:17">
      <c r="A29" s="50" t="s">
        <v>273</v>
      </c>
      <c r="B29" s="150"/>
      <c r="C29" s="110"/>
      <c r="D29" s="151" t="s">
        <v>274</v>
      </c>
      <c r="E29" s="78" t="s">
        <v>275</v>
      </c>
      <c r="F29" s="152" t="s">
        <v>188</v>
      </c>
      <c r="G29" s="78" t="s">
        <v>276</v>
      </c>
      <c r="H29" s="152" t="s">
        <v>245</v>
      </c>
      <c r="I29" s="153" t="s">
        <v>39</v>
      </c>
      <c r="J29" s="84" t="s">
        <v>277</v>
      </c>
      <c r="K29" s="108">
        <v>45616</v>
      </c>
      <c r="L29" s="108">
        <v>45618</v>
      </c>
      <c r="M29" s="154" t="s">
        <v>114</v>
      </c>
      <c r="N29" s="105" t="s">
        <v>270</v>
      </c>
      <c r="O29" s="78" t="s">
        <v>278</v>
      </c>
      <c r="P29" s="105" t="s">
        <v>272</v>
      </c>
    </row>
    <row r="30" s="129" customFormat="1" ht="24" customHeight="1" spans="1:17">
      <c r="A30" s="50" t="s">
        <v>279</v>
      </c>
      <c r="B30" s="150"/>
      <c r="C30" s="110"/>
      <c r="D30" s="155"/>
      <c r="E30" s="110"/>
      <c r="F30" s="156"/>
      <c r="G30" s="92"/>
      <c r="H30" s="156"/>
      <c r="I30" s="157"/>
      <c r="J30" s="97"/>
      <c r="K30" s="111"/>
      <c r="L30" s="111"/>
      <c r="M30" s="158"/>
      <c r="N30" s="105" t="s">
        <v>280</v>
      </c>
      <c r="O30" s="92"/>
      <c r="P30" s="105" t="s">
        <v>281</v>
      </c>
    </row>
    <row r="31" s="131" customFormat="1" ht="24" customHeight="1" spans="1:17">
      <c r="A31" s="50" t="s">
        <v>282</v>
      </c>
      <c r="B31" s="150"/>
      <c r="C31" s="110"/>
      <c r="D31" s="159" t="s">
        <v>283</v>
      </c>
      <c r="E31" s="160" t="s">
        <v>284</v>
      </c>
      <c r="F31" s="161" t="s">
        <v>285</v>
      </c>
      <c r="G31" s="160" t="s">
        <v>286</v>
      </c>
      <c r="H31" s="161" t="s">
        <v>287</v>
      </c>
      <c r="I31" s="162" t="s">
        <v>39</v>
      </c>
      <c r="J31" s="68" t="s">
        <v>288</v>
      </c>
      <c r="K31" s="68" t="s">
        <v>289</v>
      </c>
      <c r="L31" s="163" t="s">
        <v>290</v>
      </c>
      <c r="M31" s="82" t="s">
        <v>114</v>
      </c>
      <c r="N31" s="164" t="s">
        <v>291</v>
      </c>
      <c r="O31" s="163" t="s">
        <v>292</v>
      </c>
      <c r="P31" s="164" t="s">
        <v>293</v>
      </c>
    </row>
    <row r="32" s="129" customFormat="1" ht="24" customHeight="1" spans="1:17">
      <c r="A32" s="50" t="s">
        <v>294</v>
      </c>
      <c r="B32" s="165"/>
      <c r="C32" s="92"/>
      <c r="D32" s="146" t="s">
        <v>295</v>
      </c>
      <c r="E32" s="147" t="s">
        <v>296</v>
      </c>
      <c r="F32" s="57" t="s">
        <v>188</v>
      </c>
      <c r="G32" s="147" t="s">
        <v>297</v>
      </c>
      <c r="H32" s="57" t="s">
        <v>245</v>
      </c>
      <c r="I32" s="69" t="s">
        <v>39</v>
      </c>
      <c r="J32" s="147" t="s">
        <v>298</v>
      </c>
      <c r="K32" s="108">
        <v>45591</v>
      </c>
      <c r="L32" s="108">
        <v>45594</v>
      </c>
      <c r="M32" s="82" t="s">
        <v>114</v>
      </c>
      <c r="N32" s="166" t="s">
        <v>299</v>
      </c>
      <c r="O32" s="68" t="s">
        <v>300</v>
      </c>
      <c r="P32" s="105" t="s">
        <v>301</v>
      </c>
      <c r="Q32" s="132"/>
    </row>
    <row r="33" ht="25" customHeight="1" spans="1:17">
      <c r="A33" s="50" t="s">
        <v>302</v>
      </c>
      <c r="B33" s="148" t="s">
        <v>252</v>
      </c>
      <c r="C33" s="68" t="s">
        <v>303</v>
      </c>
      <c r="D33" s="68" t="s">
        <v>20</v>
      </c>
      <c r="E33" s="68" t="s">
        <v>304</v>
      </c>
      <c r="F33" s="148" t="s">
        <v>188</v>
      </c>
      <c r="G33" s="68" t="s">
        <v>305</v>
      </c>
      <c r="H33" s="57" t="s">
        <v>245</v>
      </c>
      <c r="I33" s="69" t="s">
        <v>39</v>
      </c>
      <c r="J33" s="70" t="s">
        <v>306</v>
      </c>
      <c r="K33" s="98">
        <v>45697</v>
      </c>
      <c r="L33" s="98">
        <v>45712</v>
      </c>
      <c r="M33" s="167" t="s">
        <v>114</v>
      </c>
      <c r="N33" s="68" t="s">
        <v>307</v>
      </c>
      <c r="O33" s="101" t="s">
        <v>308</v>
      </c>
      <c r="P33" s="148" t="s">
        <v>309</v>
      </c>
    </row>
    <row r="34" s="132" customFormat="1" ht="25" customHeight="1" spans="1:17">
      <c r="A34" s="69" t="s">
        <v>310</v>
      </c>
      <c r="B34" s="148" t="s">
        <v>252</v>
      </c>
      <c r="C34" s="68" t="s">
        <v>311</v>
      </c>
      <c r="D34" s="78" t="s">
        <v>20</v>
      </c>
      <c r="E34" s="68" t="s">
        <v>312</v>
      </c>
      <c r="F34" s="152" t="s">
        <v>188</v>
      </c>
      <c r="G34" s="68" t="s">
        <v>313</v>
      </c>
      <c r="H34" s="57" t="s">
        <v>245</v>
      </c>
      <c r="I34" s="69" t="s">
        <v>39</v>
      </c>
      <c r="J34" s="70" t="s">
        <v>314</v>
      </c>
      <c r="K34" s="108">
        <v>45761</v>
      </c>
      <c r="L34" s="108">
        <v>45765</v>
      </c>
      <c r="M34" s="82" t="s">
        <v>114</v>
      </c>
      <c r="N34" s="168" t="s">
        <v>315</v>
      </c>
      <c r="O34" s="68" t="s">
        <v>300</v>
      </c>
      <c r="P34" s="148" t="s">
        <v>316</v>
      </c>
    </row>
    <row r="35" s="129" customFormat="1" ht="24" customHeight="1" spans="1:17">
      <c r="A35" s="50" t="s">
        <v>317</v>
      </c>
      <c r="B35" s="169" t="s">
        <v>252</v>
      </c>
      <c r="C35" s="170" t="s">
        <v>318</v>
      </c>
      <c r="D35" s="68" t="s">
        <v>20</v>
      </c>
      <c r="E35" s="68" t="s">
        <v>319</v>
      </c>
      <c r="F35" s="57" t="s">
        <v>188</v>
      </c>
      <c r="G35" s="68" t="s">
        <v>320</v>
      </c>
      <c r="H35" s="57" t="s">
        <v>245</v>
      </c>
      <c r="I35" s="69" t="s">
        <v>39</v>
      </c>
      <c r="J35" s="68" t="s">
        <v>321</v>
      </c>
      <c r="K35" s="108">
        <v>45797</v>
      </c>
      <c r="L35" s="108">
        <v>45804</v>
      </c>
      <c r="M35" s="167" t="s">
        <v>114</v>
      </c>
      <c r="N35" s="171" t="s">
        <v>322</v>
      </c>
      <c r="O35" s="68" t="s">
        <v>193</v>
      </c>
      <c r="P35" s="148" t="s">
        <v>301</v>
      </c>
      <c r="Q35" s="132"/>
    </row>
    <row r="36" s="129" customFormat="1" ht="24" customHeight="1" spans="1:17">
      <c r="A36" s="50" t="s">
        <v>323</v>
      </c>
      <c r="B36" s="172"/>
      <c r="C36" s="173"/>
      <c r="D36" s="68" t="s">
        <v>46</v>
      </c>
      <c r="E36" s="68" t="s">
        <v>324</v>
      </c>
      <c r="F36" s="57" t="s">
        <v>188</v>
      </c>
      <c r="G36" s="68" t="s">
        <v>325</v>
      </c>
      <c r="H36" s="57" t="s">
        <v>245</v>
      </c>
      <c r="I36" s="69" t="s">
        <v>39</v>
      </c>
      <c r="J36" s="68" t="s">
        <v>326</v>
      </c>
      <c r="K36" s="108">
        <v>45816</v>
      </c>
      <c r="L36" s="108">
        <f>K36+5</f>
        <v>45821</v>
      </c>
      <c r="M36" s="167" t="s">
        <v>114</v>
      </c>
      <c r="N36" s="174"/>
      <c r="O36" s="68" t="s">
        <v>271</v>
      </c>
      <c r="P36" s="148" t="s">
        <v>327</v>
      </c>
    </row>
    <row r="37" s="129" customFormat="1" ht="24" customHeight="1" spans="1:17">
      <c r="A37" s="50" t="s">
        <v>328</v>
      </c>
      <c r="B37" s="148" t="s">
        <v>252</v>
      </c>
      <c r="C37" s="68" t="s">
        <v>329</v>
      </c>
      <c r="D37" s="68" t="s">
        <v>20</v>
      </c>
      <c r="E37" s="68" t="s">
        <v>330</v>
      </c>
      <c r="F37" s="57" t="s">
        <v>331</v>
      </c>
      <c r="G37" s="182" t="s">
        <v>332</v>
      </c>
      <c r="H37" s="57" t="s">
        <v>245</v>
      </c>
      <c r="I37" s="69" t="s">
        <v>333</v>
      </c>
      <c r="J37" s="101" t="s">
        <v>334</v>
      </c>
      <c r="K37" s="101" t="s">
        <v>334</v>
      </c>
      <c r="L37" s="108">
        <f>K37+3</f>
        <v>45824</v>
      </c>
      <c r="M37" s="167" t="s">
        <v>114</v>
      </c>
      <c r="N37" s="168" t="s">
        <v>335</v>
      </c>
      <c r="O37" s="68" t="s">
        <v>336</v>
      </c>
      <c r="P37" s="148" t="s">
        <v>337</v>
      </c>
    </row>
    <row r="38" s="129" customFormat="1" ht="24" customHeight="1" spans="1:17">
      <c r="A38" s="50" t="s">
        <v>338</v>
      </c>
      <c r="B38" s="148" t="s">
        <v>252</v>
      </c>
      <c r="C38" s="68" t="s">
        <v>339</v>
      </c>
      <c r="D38" s="68" t="s">
        <v>20</v>
      </c>
      <c r="E38" s="68" t="s">
        <v>340</v>
      </c>
      <c r="F38" s="57" t="s">
        <v>188</v>
      </c>
      <c r="G38" s="68" t="s">
        <v>341</v>
      </c>
      <c r="H38" s="57" t="s">
        <v>245</v>
      </c>
      <c r="I38" s="69" t="s">
        <v>39</v>
      </c>
      <c r="J38" s="147" t="s">
        <v>342</v>
      </c>
      <c r="K38" s="108">
        <v>45840</v>
      </c>
      <c r="L38" s="108">
        <v>45847</v>
      </c>
      <c r="M38" s="167" t="s">
        <v>114</v>
      </c>
      <c r="N38" s="166" t="s">
        <v>343</v>
      </c>
      <c r="O38" s="147" t="s">
        <v>344</v>
      </c>
      <c r="P38" s="105" t="s">
        <v>345</v>
      </c>
    </row>
    <row r="39" ht="28" customHeight="1" spans="1:17">
      <c r="A39" s="50" t="s">
        <v>346</v>
      </c>
      <c r="B39" s="148" t="s">
        <v>252</v>
      </c>
      <c r="C39" s="68" t="s">
        <v>347</v>
      </c>
      <c r="D39" s="68" t="s">
        <v>20</v>
      </c>
      <c r="E39" s="129" t="s">
        <v>348</v>
      </c>
      <c r="F39" s="57" t="s">
        <v>331</v>
      </c>
      <c r="G39" s="175" t="s">
        <v>178</v>
      </c>
      <c r="H39" s="57" t="s">
        <v>349</v>
      </c>
      <c r="I39" s="69" t="s">
        <v>333</v>
      </c>
      <c r="J39" s="101" t="s">
        <v>350</v>
      </c>
      <c r="K39" s="101" t="s">
        <v>350</v>
      </c>
      <c r="L39" s="68" t="s">
        <v>351</v>
      </c>
      <c r="M39" s="167" t="s">
        <v>114</v>
      </c>
      <c r="N39" s="176" t="s">
        <v>352</v>
      </c>
      <c r="O39" s="101" t="s">
        <v>353</v>
      </c>
      <c r="P39" s="144" t="s">
        <v>354</v>
      </c>
    </row>
    <row r="40" ht="24" spans="1:17">
      <c r="A40" s="50" t="s">
        <v>355</v>
      </c>
      <c r="B40" s="148" t="s">
        <v>252</v>
      </c>
      <c r="C40" s="68" t="s">
        <v>356</v>
      </c>
      <c r="D40" s="177" t="s">
        <v>357</v>
      </c>
      <c r="E40" s="101"/>
      <c r="F40" s="178" t="s">
        <v>358</v>
      </c>
      <c r="G40" s="101"/>
      <c r="H40" s="178" t="s">
        <v>359</v>
      </c>
      <c r="I40" s="179" t="s">
        <v>39</v>
      </c>
      <c r="J40" s="180" t="s">
        <v>360</v>
      </c>
      <c r="K40" s="101"/>
      <c r="L40" s="101"/>
      <c r="M40" s="178" t="s">
        <v>361</v>
      </c>
      <c r="N40" s="181" t="s">
        <v>362</v>
      </c>
      <c r="O40" s="101"/>
      <c r="P40" s="180" t="s">
        <v>363</v>
      </c>
    </row>
  </sheetData>
  <autoFilter xmlns:etc="http://www.wps.cn/officeDocument/2017/etCustomData" ref="A2:Q40" etc:filterBottomFollowUsedRange="0">
    <extLst/>
  </autoFilter>
  <mergeCells count="28">
    <mergeCell ref="B4:B5"/>
    <mergeCell ref="B6:B7"/>
    <mergeCell ref="B8:B10"/>
    <mergeCell ref="B11:B14"/>
    <mergeCell ref="B22:B26"/>
    <mergeCell ref="B28:B32"/>
    <mergeCell ref="B35:B36"/>
    <mergeCell ref="C4:C5"/>
    <mergeCell ref="C6:C7"/>
    <mergeCell ref="C8:C10"/>
    <mergeCell ref="C11:C14"/>
    <mergeCell ref="C22:C26"/>
    <mergeCell ref="C28:C32"/>
    <mergeCell ref="C35:C36"/>
    <mergeCell ref="D9:D10"/>
    <mergeCell ref="D29:D30"/>
    <mergeCell ref="E9:E1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35:N36"/>
    <mergeCell ref="O29:O30"/>
  </mergeCells>
  <pageMargins left="0.75" right="0.75" top="1" bottom="1" header="0.5" footer="0.5"/>
  <pageSetup paperSize="9" scale="76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21"/>
  <sheetViews>
    <sheetView tabSelected="1" workbookViewId="0">
      <pane xSplit="3" ySplit="2" topLeftCell="D96" activePane="bottomRight" state="frozen"/>
      <selection/>
      <selection pane="topRight"/>
      <selection pane="bottomLeft"/>
      <selection pane="bottomRight" activeCell="M121" sqref="M121"/>
    </sheetView>
  </sheetViews>
  <sheetFormatPr defaultColWidth="8.66666666666667" defaultRowHeight="14"/>
  <cols>
    <col min="1" max="1" width="6.75" style="28" customWidth="1"/>
    <col min="2" max="4" width="8.66666666666667" style="28"/>
    <col min="5" max="5" width="16.3333333333333" style="28" customWidth="1"/>
    <col min="6" max="7" width="9.5" style="28" customWidth="1"/>
    <col min="8" max="9" width="8.66666666666667" style="28"/>
    <col min="10" max="12" width="8.91666666666667" style="28"/>
    <col min="13" max="13" width="8.66666666666667" style="28" customWidth="1"/>
    <col min="14" max="14" width="31.3333333333333" style="29" customWidth="1"/>
    <col min="15" max="15" width="8.66666666666667" style="28"/>
    <col min="16" max="16" width="11.4166666666667" style="28" customWidth="1"/>
    <col min="17" max="17" width="8.66666666666667" style="30" customWidth="1"/>
    <col min="18" max="16384" width="8.66666666666667" style="28"/>
  </cols>
  <sheetData>
    <row r="1" s="20" customFormat="1" ht="29" customHeight="1" spans="1:17">
      <c r="A1" s="31" t="s">
        <v>364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33"/>
      <c r="P1" s="31"/>
      <c r="Q1" s="30"/>
    </row>
    <row r="2" s="21" customFormat="1" ht="40" customHeight="1" spans="1:17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5" t="s">
        <v>13</v>
      </c>
      <c r="N2" s="34" t="s">
        <v>365</v>
      </c>
      <c r="O2" s="34" t="s">
        <v>366</v>
      </c>
      <c r="P2" s="34" t="s">
        <v>367</v>
      </c>
      <c r="Q2" s="36"/>
    </row>
    <row r="3" s="22" customFormat="1" ht="25" customHeight="1" spans="1:17">
      <c r="A3" s="37" t="s">
        <v>17</v>
      </c>
      <c r="B3" s="38" t="s">
        <v>368</v>
      </c>
      <c r="C3" s="39" t="s">
        <v>19</v>
      </c>
      <c r="D3" s="37" t="s">
        <v>20</v>
      </c>
      <c r="E3" s="40" t="s">
        <v>369</v>
      </c>
      <c r="F3" s="40" t="s">
        <v>77</v>
      </c>
      <c r="G3" s="40" t="s">
        <v>370</v>
      </c>
      <c r="H3" s="40" t="s">
        <v>68</v>
      </c>
      <c r="I3" s="40" t="s">
        <v>39</v>
      </c>
      <c r="J3" s="40" t="s">
        <v>371</v>
      </c>
      <c r="K3" s="40" t="s">
        <v>372</v>
      </c>
      <c r="L3" s="40" t="s">
        <v>373</v>
      </c>
      <c r="M3" s="41" t="s">
        <v>29</v>
      </c>
      <c r="N3" s="40" t="s">
        <v>374</v>
      </c>
      <c r="O3" s="42" t="s">
        <v>292</v>
      </c>
      <c r="P3" s="43" t="s">
        <v>375</v>
      </c>
      <c r="Q3" s="44">
        <v>2</v>
      </c>
    </row>
    <row r="4" s="22" customFormat="1" ht="25" customHeight="1" spans="1:17">
      <c r="A4" s="37" t="s">
        <v>33</v>
      </c>
      <c r="B4" s="45"/>
      <c r="C4" s="46"/>
      <c r="D4" s="37" t="s">
        <v>46</v>
      </c>
      <c r="E4" s="40" t="s">
        <v>376</v>
      </c>
      <c r="F4" s="40" t="s">
        <v>77</v>
      </c>
      <c r="G4" s="40" t="s">
        <v>377</v>
      </c>
      <c r="H4" s="40" t="s">
        <v>68</v>
      </c>
      <c r="I4" s="40" t="s">
        <v>39</v>
      </c>
      <c r="J4" s="40" t="s">
        <v>378</v>
      </c>
      <c r="K4" s="40" t="s">
        <v>379</v>
      </c>
      <c r="L4" s="40" t="s">
        <v>380</v>
      </c>
      <c r="M4" s="41" t="s">
        <v>29</v>
      </c>
      <c r="N4" s="40" t="s">
        <v>374</v>
      </c>
      <c r="O4" s="42" t="s">
        <v>212</v>
      </c>
      <c r="P4" s="43" t="s">
        <v>375</v>
      </c>
      <c r="Q4" s="44">
        <v>9</v>
      </c>
    </row>
    <row r="5" s="22" customFormat="1" ht="25" customHeight="1" spans="1:17">
      <c r="A5" s="37" t="s">
        <v>45</v>
      </c>
      <c r="B5" s="47"/>
      <c r="C5" s="46"/>
      <c r="D5" s="37" t="s">
        <v>119</v>
      </c>
      <c r="E5" s="40" t="s">
        <v>381</v>
      </c>
      <c r="F5" s="40" t="s">
        <v>77</v>
      </c>
      <c r="G5" s="40" t="s">
        <v>382</v>
      </c>
      <c r="H5" s="40" t="s">
        <v>68</v>
      </c>
      <c r="I5" s="48" t="s">
        <v>383</v>
      </c>
      <c r="J5" s="40" t="s">
        <v>378</v>
      </c>
      <c r="K5" s="40" t="s">
        <v>379</v>
      </c>
      <c r="L5" s="40" t="s">
        <v>42</v>
      </c>
      <c r="M5" s="41" t="s">
        <v>29</v>
      </c>
      <c r="N5" s="49" t="s">
        <v>384</v>
      </c>
      <c r="O5" s="42" t="s">
        <v>300</v>
      </c>
      <c r="P5" s="43" t="s">
        <v>385</v>
      </c>
      <c r="Q5" s="44">
        <v>1</v>
      </c>
    </row>
    <row r="6" s="22" customFormat="1" ht="25" customHeight="1" spans="1:17">
      <c r="A6" s="37" t="s">
        <v>54</v>
      </c>
      <c r="B6" s="50" t="s">
        <v>368</v>
      </c>
      <c r="C6" s="40" t="s">
        <v>386</v>
      </c>
      <c r="D6" s="37" t="s">
        <v>20</v>
      </c>
      <c r="E6" s="48" t="s">
        <v>387</v>
      </c>
      <c r="F6" s="40" t="s">
        <v>77</v>
      </c>
      <c r="G6" s="42" t="s">
        <v>388</v>
      </c>
      <c r="H6" s="40" t="s">
        <v>389</v>
      </c>
      <c r="I6" s="40" t="s">
        <v>39</v>
      </c>
      <c r="J6" s="48" t="s">
        <v>390</v>
      </c>
      <c r="K6" s="48" t="s">
        <v>391</v>
      </c>
      <c r="L6" s="40" t="s">
        <v>392</v>
      </c>
      <c r="M6" s="41" t="s">
        <v>29</v>
      </c>
      <c r="N6" s="40" t="s">
        <v>393</v>
      </c>
      <c r="O6" s="40" t="s">
        <v>394</v>
      </c>
      <c r="P6" s="40" t="s">
        <v>395</v>
      </c>
      <c r="Q6" s="44">
        <v>15</v>
      </c>
    </row>
    <row r="7" s="22" customFormat="1" ht="25" customHeight="1" spans="1:17">
      <c r="A7" s="37" t="s">
        <v>65</v>
      </c>
      <c r="B7" s="50" t="s">
        <v>368</v>
      </c>
      <c r="C7" s="40" t="s">
        <v>396</v>
      </c>
      <c r="D7" s="37" t="s">
        <v>20</v>
      </c>
      <c r="E7" s="48" t="s">
        <v>397</v>
      </c>
      <c r="F7" s="40" t="s">
        <v>77</v>
      </c>
      <c r="G7" s="42" t="s">
        <v>398</v>
      </c>
      <c r="H7" s="40" t="s">
        <v>389</v>
      </c>
      <c r="I7" s="40" t="s">
        <v>39</v>
      </c>
      <c r="J7" s="48" t="s">
        <v>399</v>
      </c>
      <c r="K7" s="48" t="s">
        <v>400</v>
      </c>
      <c r="L7" s="40" t="s">
        <v>401</v>
      </c>
      <c r="M7" s="41" t="s">
        <v>29</v>
      </c>
      <c r="N7" s="40" t="s">
        <v>393</v>
      </c>
      <c r="O7" s="40" t="s">
        <v>402</v>
      </c>
      <c r="P7" s="40" t="s">
        <v>403</v>
      </c>
      <c r="Q7" s="44">
        <v>12</v>
      </c>
    </row>
    <row r="8" s="22" customFormat="1" ht="25" customHeight="1" spans="1:17">
      <c r="A8" s="37" t="s">
        <v>74</v>
      </c>
      <c r="B8" s="50" t="s">
        <v>368</v>
      </c>
      <c r="C8" s="40" t="s">
        <v>404</v>
      </c>
      <c r="D8" s="37" t="s">
        <v>20</v>
      </c>
      <c r="E8" s="48" t="s">
        <v>405</v>
      </c>
      <c r="F8" s="40" t="s">
        <v>77</v>
      </c>
      <c r="G8" s="42" t="s">
        <v>406</v>
      </c>
      <c r="H8" s="40" t="s">
        <v>389</v>
      </c>
      <c r="I8" s="40" t="s">
        <v>39</v>
      </c>
      <c r="J8" s="48" t="s">
        <v>407</v>
      </c>
      <c r="K8" s="48" t="s">
        <v>408</v>
      </c>
      <c r="L8" s="40" t="s">
        <v>409</v>
      </c>
      <c r="M8" s="41" t="s">
        <v>29</v>
      </c>
      <c r="N8" s="40" t="s">
        <v>393</v>
      </c>
      <c r="O8" s="40" t="s">
        <v>410</v>
      </c>
      <c r="P8" s="40" t="s">
        <v>411</v>
      </c>
      <c r="Q8" s="44">
        <v>6</v>
      </c>
    </row>
    <row r="9" s="22" customFormat="1" ht="33" customHeight="1" spans="1:17">
      <c r="A9" s="37" t="s">
        <v>85</v>
      </c>
      <c r="B9" s="39" t="s">
        <v>368</v>
      </c>
      <c r="C9" s="39" t="s">
        <v>412</v>
      </c>
      <c r="D9" s="37" t="s">
        <v>20</v>
      </c>
      <c r="E9" s="48" t="s">
        <v>413</v>
      </c>
      <c r="F9" s="40" t="s">
        <v>77</v>
      </c>
      <c r="G9" s="51" t="s">
        <v>414</v>
      </c>
      <c r="H9" s="40" t="s">
        <v>389</v>
      </c>
      <c r="I9" s="40" t="s">
        <v>39</v>
      </c>
      <c r="J9" s="48" t="s">
        <v>102</v>
      </c>
      <c r="K9" s="48" t="s">
        <v>415</v>
      </c>
      <c r="L9" s="48" t="s">
        <v>124</v>
      </c>
      <c r="M9" s="52" t="s">
        <v>114</v>
      </c>
      <c r="N9" s="40" t="s">
        <v>393</v>
      </c>
      <c r="O9" s="39" t="s">
        <v>416</v>
      </c>
      <c r="P9" s="53" t="s">
        <v>417</v>
      </c>
      <c r="Q9" s="44">
        <v>14</v>
      </c>
    </row>
    <row r="10" s="22" customFormat="1" ht="33" customHeight="1" spans="1:17">
      <c r="A10" s="37" t="s">
        <v>94</v>
      </c>
      <c r="B10" s="54"/>
      <c r="C10" s="54"/>
      <c r="D10" s="37" t="s">
        <v>46</v>
      </c>
      <c r="E10" s="48" t="s">
        <v>418</v>
      </c>
      <c r="F10" s="40" t="s">
        <v>77</v>
      </c>
      <c r="G10" s="55"/>
      <c r="H10" s="40" t="s">
        <v>389</v>
      </c>
      <c r="I10" s="40" t="s">
        <v>39</v>
      </c>
      <c r="J10" s="48" t="s">
        <v>102</v>
      </c>
      <c r="K10" s="48" t="s">
        <v>415</v>
      </c>
      <c r="L10" s="48" t="s">
        <v>124</v>
      </c>
      <c r="M10" s="52" t="s">
        <v>114</v>
      </c>
      <c r="N10" s="40" t="s">
        <v>393</v>
      </c>
      <c r="O10" s="54"/>
      <c r="P10" s="54"/>
      <c r="Q10" s="56"/>
    </row>
    <row r="11" s="22" customFormat="1" ht="33" customHeight="1" spans="1:17">
      <c r="A11" s="37" t="s">
        <v>98</v>
      </c>
      <c r="B11" s="50" t="s">
        <v>368</v>
      </c>
      <c r="C11" s="40" t="s">
        <v>419</v>
      </c>
      <c r="D11" s="37" t="s">
        <v>20</v>
      </c>
      <c r="E11" s="48" t="s">
        <v>420</v>
      </c>
      <c r="F11" s="40" t="s">
        <v>77</v>
      </c>
      <c r="G11" s="183" t="s">
        <v>421</v>
      </c>
      <c r="H11" s="40" t="s">
        <v>389</v>
      </c>
      <c r="I11" s="40" t="s">
        <v>39</v>
      </c>
      <c r="J11" s="48" t="s">
        <v>90</v>
      </c>
      <c r="K11" s="40" t="s">
        <v>422</v>
      </c>
      <c r="L11" s="48" t="s">
        <v>423</v>
      </c>
      <c r="M11" s="52" t="s">
        <v>114</v>
      </c>
      <c r="N11" s="40" t="s">
        <v>393</v>
      </c>
      <c r="O11" s="40" t="s">
        <v>394</v>
      </c>
      <c r="P11" s="43" t="s">
        <v>424</v>
      </c>
      <c r="Q11" s="44">
        <v>15</v>
      </c>
    </row>
    <row r="12" s="22" customFormat="1" ht="33" customHeight="1" spans="1:17">
      <c r="A12" s="37" t="s">
        <v>108</v>
      </c>
      <c r="B12" s="50" t="s">
        <v>368</v>
      </c>
      <c r="C12" s="40" t="s">
        <v>425</v>
      </c>
      <c r="D12" s="37" t="s">
        <v>20</v>
      </c>
      <c r="E12" s="48" t="s">
        <v>426</v>
      </c>
      <c r="F12" s="40" t="s">
        <v>77</v>
      </c>
      <c r="G12" s="183" t="s">
        <v>427</v>
      </c>
      <c r="H12" s="40" t="s">
        <v>389</v>
      </c>
      <c r="I12" s="40" t="s">
        <v>39</v>
      </c>
      <c r="J12" s="48" t="s">
        <v>428</v>
      </c>
      <c r="K12" s="48" t="s">
        <v>173</v>
      </c>
      <c r="L12" s="48" t="s">
        <v>217</v>
      </c>
      <c r="M12" s="52" t="s">
        <v>114</v>
      </c>
      <c r="N12" s="40" t="s">
        <v>393</v>
      </c>
      <c r="O12" s="40" t="s">
        <v>394</v>
      </c>
      <c r="P12" s="40" t="s">
        <v>429</v>
      </c>
      <c r="Q12" s="44">
        <v>15</v>
      </c>
    </row>
    <row r="13" s="22" customFormat="1" ht="33" customHeight="1" spans="1:17">
      <c r="A13" s="37" t="s">
        <v>118</v>
      </c>
      <c r="B13" s="50" t="s">
        <v>368</v>
      </c>
      <c r="C13" s="40" t="s">
        <v>430</v>
      </c>
      <c r="D13" s="37" t="s">
        <v>20</v>
      </c>
      <c r="E13" s="48" t="s">
        <v>431</v>
      </c>
      <c r="F13" s="40" t="s">
        <v>77</v>
      </c>
      <c r="G13" s="183" t="s">
        <v>432</v>
      </c>
      <c r="H13" s="40" t="s">
        <v>389</v>
      </c>
      <c r="I13" s="40" t="s">
        <v>39</v>
      </c>
      <c r="J13" s="48" t="s">
        <v>171</v>
      </c>
      <c r="K13" s="48" t="s">
        <v>173</v>
      </c>
      <c r="L13" s="48" t="s">
        <v>217</v>
      </c>
      <c r="M13" s="52" t="s">
        <v>114</v>
      </c>
      <c r="N13" s="40" t="s">
        <v>393</v>
      </c>
      <c r="O13" s="40" t="s">
        <v>433</v>
      </c>
      <c r="P13" s="43" t="s">
        <v>434</v>
      </c>
      <c r="Q13" s="44">
        <v>10</v>
      </c>
    </row>
    <row r="14" s="22" customFormat="1" ht="33" customHeight="1" spans="1:17">
      <c r="A14" s="37" t="s">
        <v>128</v>
      </c>
      <c r="B14" s="50" t="s">
        <v>368</v>
      </c>
      <c r="C14" s="40" t="s">
        <v>435</v>
      </c>
      <c r="D14" s="37" t="s">
        <v>20</v>
      </c>
      <c r="E14" s="48" t="s">
        <v>436</v>
      </c>
      <c r="F14" s="40" t="s">
        <v>77</v>
      </c>
      <c r="G14" s="183" t="s">
        <v>437</v>
      </c>
      <c r="H14" s="40" t="s">
        <v>389</v>
      </c>
      <c r="I14" s="40" t="s">
        <v>39</v>
      </c>
      <c r="J14" s="48" t="s">
        <v>423</v>
      </c>
      <c r="K14" s="40" t="s">
        <v>154</v>
      </c>
      <c r="L14" s="48" t="s">
        <v>200</v>
      </c>
      <c r="M14" s="52" t="s">
        <v>114</v>
      </c>
      <c r="N14" s="40" t="s">
        <v>393</v>
      </c>
      <c r="O14" s="40" t="s">
        <v>433</v>
      </c>
      <c r="P14" s="40" t="s">
        <v>438</v>
      </c>
      <c r="Q14" s="44">
        <v>10</v>
      </c>
    </row>
    <row r="15" s="23" customFormat="1" ht="33" customHeight="1" spans="1:17">
      <c r="A15" s="37" t="s">
        <v>137</v>
      </c>
      <c r="B15" s="57" t="s">
        <v>439</v>
      </c>
      <c r="C15" s="48" t="s">
        <v>440</v>
      </c>
      <c r="D15" s="58" t="s">
        <v>20</v>
      </c>
      <c r="E15" s="48" t="s">
        <v>441</v>
      </c>
      <c r="F15" s="59" t="s">
        <v>188</v>
      </c>
      <c r="G15" s="60" t="s">
        <v>442</v>
      </c>
      <c r="H15" s="59" t="s">
        <v>443</v>
      </c>
      <c r="I15" s="48" t="s">
        <v>39</v>
      </c>
      <c r="J15" s="61" t="s">
        <v>444</v>
      </c>
      <c r="K15" s="61">
        <v>45558</v>
      </c>
      <c r="L15" s="61">
        <v>45562</v>
      </c>
      <c r="M15" s="62" t="s">
        <v>114</v>
      </c>
      <c r="N15" s="48" t="s">
        <v>445</v>
      </c>
      <c r="O15" s="48" t="s">
        <v>446</v>
      </c>
      <c r="P15" s="59" t="s">
        <v>447</v>
      </c>
      <c r="Q15" s="44">
        <v>30</v>
      </c>
    </row>
    <row r="16" s="24" customFormat="1" ht="33" customHeight="1" spans="1:17">
      <c r="A16" s="58" t="s">
        <v>147</v>
      </c>
      <c r="B16" s="57" t="s">
        <v>439</v>
      </c>
      <c r="C16" s="48" t="s">
        <v>448</v>
      </c>
      <c r="D16" s="58" t="s">
        <v>20</v>
      </c>
      <c r="E16" s="48" t="s">
        <v>449</v>
      </c>
      <c r="F16" s="59" t="s">
        <v>188</v>
      </c>
      <c r="G16" s="184" t="s">
        <v>450</v>
      </c>
      <c r="H16" s="59" t="s">
        <v>443</v>
      </c>
      <c r="I16" s="48" t="s">
        <v>39</v>
      </c>
      <c r="J16" s="61">
        <v>45549</v>
      </c>
      <c r="K16" s="61">
        <v>45568</v>
      </c>
      <c r="L16" s="61">
        <v>45572</v>
      </c>
      <c r="M16" s="62" t="s">
        <v>114</v>
      </c>
      <c r="N16" s="48" t="s">
        <v>445</v>
      </c>
      <c r="O16" s="48" t="s">
        <v>402</v>
      </c>
      <c r="P16" s="59" t="s">
        <v>451</v>
      </c>
      <c r="Q16" s="44">
        <v>12</v>
      </c>
    </row>
    <row r="17" s="23" customFormat="1" ht="33" customHeight="1" spans="1:17">
      <c r="A17" s="58" t="s">
        <v>158</v>
      </c>
      <c r="B17" s="57" t="s">
        <v>439</v>
      </c>
      <c r="C17" s="48" t="s">
        <v>452</v>
      </c>
      <c r="D17" s="58" t="s">
        <v>20</v>
      </c>
      <c r="E17" s="48" t="s">
        <v>453</v>
      </c>
      <c r="F17" s="59" t="s">
        <v>188</v>
      </c>
      <c r="G17" s="184" t="s">
        <v>454</v>
      </c>
      <c r="H17" s="59" t="s">
        <v>443</v>
      </c>
      <c r="I17" s="48" t="s">
        <v>39</v>
      </c>
      <c r="J17" s="61">
        <v>45556</v>
      </c>
      <c r="K17" s="61">
        <v>45578</v>
      </c>
      <c r="L17" s="61">
        <v>45583</v>
      </c>
      <c r="M17" s="52" t="s">
        <v>114</v>
      </c>
      <c r="N17" s="48" t="s">
        <v>445</v>
      </c>
      <c r="O17" s="48" t="s">
        <v>455</v>
      </c>
      <c r="P17" s="48" t="s">
        <v>456</v>
      </c>
      <c r="Q17" s="44">
        <v>25</v>
      </c>
    </row>
    <row r="18" s="23" customFormat="1" ht="33" customHeight="1" spans="1:17">
      <c r="A18" s="37" t="s">
        <v>167</v>
      </c>
      <c r="B18" s="57" t="s">
        <v>439</v>
      </c>
      <c r="C18" s="48" t="s">
        <v>457</v>
      </c>
      <c r="D18" s="58" t="s">
        <v>20</v>
      </c>
      <c r="E18" s="48" t="s">
        <v>458</v>
      </c>
      <c r="F18" s="59" t="s">
        <v>188</v>
      </c>
      <c r="G18" s="184" t="s">
        <v>459</v>
      </c>
      <c r="H18" s="59" t="s">
        <v>443</v>
      </c>
      <c r="I18" s="48" t="s">
        <v>39</v>
      </c>
      <c r="J18" s="61">
        <v>45565</v>
      </c>
      <c r="K18" s="61">
        <v>45592</v>
      </c>
      <c r="L18" s="61" t="s">
        <v>460</v>
      </c>
      <c r="M18" s="52" t="s">
        <v>114</v>
      </c>
      <c r="N18" s="48" t="s">
        <v>445</v>
      </c>
      <c r="O18" s="48" t="s">
        <v>446</v>
      </c>
      <c r="P18" s="48" t="s">
        <v>461</v>
      </c>
      <c r="Q18" s="44">
        <v>30</v>
      </c>
    </row>
    <row r="19" s="24" customFormat="1" ht="33" customHeight="1" spans="1:17">
      <c r="A19" s="58" t="s">
        <v>176</v>
      </c>
      <c r="B19" s="57" t="s">
        <v>439</v>
      </c>
      <c r="C19" s="48" t="s">
        <v>462</v>
      </c>
      <c r="D19" s="58" t="s">
        <v>20</v>
      </c>
      <c r="E19" s="48" t="s">
        <v>463</v>
      </c>
      <c r="F19" s="59" t="s">
        <v>188</v>
      </c>
      <c r="G19" s="184" t="s">
        <v>464</v>
      </c>
      <c r="H19" s="59" t="s">
        <v>443</v>
      </c>
      <c r="I19" s="48" t="s">
        <v>39</v>
      </c>
      <c r="J19" s="61">
        <v>45580</v>
      </c>
      <c r="K19" s="61">
        <v>45590</v>
      </c>
      <c r="L19" s="61">
        <v>45598</v>
      </c>
      <c r="M19" s="52" t="s">
        <v>114</v>
      </c>
      <c r="N19" s="48" t="s">
        <v>445</v>
      </c>
      <c r="O19" s="48" t="s">
        <v>465</v>
      </c>
      <c r="P19" s="48" t="s">
        <v>466</v>
      </c>
      <c r="Q19" s="44">
        <v>31</v>
      </c>
    </row>
    <row r="20" s="23" customFormat="1" ht="33" customHeight="1" spans="1:17">
      <c r="A20" s="37" t="s">
        <v>185</v>
      </c>
      <c r="B20" s="57" t="s">
        <v>439</v>
      </c>
      <c r="C20" s="48" t="s">
        <v>467</v>
      </c>
      <c r="D20" s="58" t="s">
        <v>20</v>
      </c>
      <c r="E20" s="48" t="s">
        <v>468</v>
      </c>
      <c r="F20" s="59" t="s">
        <v>188</v>
      </c>
      <c r="G20" s="184" t="s">
        <v>469</v>
      </c>
      <c r="H20" s="59" t="s">
        <v>443</v>
      </c>
      <c r="I20" s="48" t="s">
        <v>39</v>
      </c>
      <c r="J20" s="61">
        <v>45595</v>
      </c>
      <c r="K20" s="61">
        <v>45633</v>
      </c>
      <c r="L20" s="63" t="s">
        <v>470</v>
      </c>
      <c r="M20" s="62" t="s">
        <v>114</v>
      </c>
      <c r="N20" s="48" t="s">
        <v>445</v>
      </c>
      <c r="O20" s="48" t="s">
        <v>433</v>
      </c>
      <c r="P20" s="59" t="s">
        <v>471</v>
      </c>
      <c r="Q20" s="44">
        <v>10</v>
      </c>
    </row>
    <row r="21" s="23" customFormat="1" ht="33" customHeight="1" spans="1:17">
      <c r="A21" s="37" t="s">
        <v>195</v>
      </c>
      <c r="B21" s="57" t="s">
        <v>439</v>
      </c>
      <c r="C21" s="48" t="s">
        <v>472</v>
      </c>
      <c r="D21" s="58" t="s">
        <v>20</v>
      </c>
      <c r="E21" s="48" t="s">
        <v>473</v>
      </c>
      <c r="F21" s="59" t="s">
        <v>188</v>
      </c>
      <c r="G21" s="60" t="s">
        <v>474</v>
      </c>
      <c r="H21" s="59" t="s">
        <v>443</v>
      </c>
      <c r="I21" s="48" t="s">
        <v>39</v>
      </c>
      <c r="J21" s="61">
        <v>45617</v>
      </c>
      <c r="K21" s="61">
        <v>45666</v>
      </c>
      <c r="L21" s="61">
        <v>45679</v>
      </c>
      <c r="M21" s="62" t="s">
        <v>114</v>
      </c>
      <c r="N21" s="48" t="s">
        <v>445</v>
      </c>
      <c r="O21" s="48" t="s">
        <v>271</v>
      </c>
      <c r="P21" s="48" t="s">
        <v>475</v>
      </c>
      <c r="Q21" s="44">
        <v>4</v>
      </c>
    </row>
    <row r="22" s="23" customFormat="1" ht="33" customHeight="1" spans="1:17">
      <c r="A22" s="37" t="s">
        <v>206</v>
      </c>
      <c r="B22" s="57" t="s">
        <v>439</v>
      </c>
      <c r="C22" s="48" t="s">
        <v>476</v>
      </c>
      <c r="D22" s="58" t="s">
        <v>20</v>
      </c>
      <c r="E22" s="48" t="s">
        <v>477</v>
      </c>
      <c r="F22" s="59" t="s">
        <v>188</v>
      </c>
      <c r="G22" s="184" t="s">
        <v>478</v>
      </c>
      <c r="H22" s="59" t="s">
        <v>443</v>
      </c>
      <c r="I22" s="48" t="s">
        <v>39</v>
      </c>
      <c r="J22" s="61">
        <v>45638</v>
      </c>
      <c r="K22" s="61">
        <v>45658</v>
      </c>
      <c r="L22" s="61">
        <v>45679</v>
      </c>
      <c r="M22" s="62" t="s">
        <v>114</v>
      </c>
      <c r="N22" s="48" t="s">
        <v>445</v>
      </c>
      <c r="O22" s="48" t="s">
        <v>479</v>
      </c>
      <c r="P22" s="59" t="s">
        <v>480</v>
      </c>
      <c r="Q22" s="44">
        <v>8</v>
      </c>
    </row>
    <row r="23" s="23" customFormat="1" ht="33" customHeight="1" spans="1:17">
      <c r="A23" s="37" t="s">
        <v>214</v>
      </c>
      <c r="B23" s="57" t="s">
        <v>439</v>
      </c>
      <c r="C23" s="48" t="s">
        <v>481</v>
      </c>
      <c r="D23" s="58" t="s">
        <v>20</v>
      </c>
      <c r="E23" s="48" t="s">
        <v>482</v>
      </c>
      <c r="F23" s="59" t="s">
        <v>188</v>
      </c>
      <c r="G23" s="184" t="s">
        <v>483</v>
      </c>
      <c r="H23" s="59" t="s">
        <v>443</v>
      </c>
      <c r="I23" s="48" t="s">
        <v>39</v>
      </c>
      <c r="J23" s="61">
        <v>45682</v>
      </c>
      <c r="K23" s="61">
        <v>45698</v>
      </c>
      <c r="L23" s="61">
        <v>45706</v>
      </c>
      <c r="M23" s="62" t="s">
        <v>114</v>
      </c>
      <c r="N23" s="48" t="s">
        <v>445</v>
      </c>
      <c r="O23" s="48" t="s">
        <v>479</v>
      </c>
      <c r="P23" s="48" t="s">
        <v>484</v>
      </c>
      <c r="Q23" s="44">
        <v>8</v>
      </c>
    </row>
    <row r="24" s="23" customFormat="1" ht="33" customHeight="1" spans="1:17">
      <c r="A24" s="37" t="s">
        <v>223</v>
      </c>
      <c r="B24" s="57" t="s">
        <v>439</v>
      </c>
      <c r="C24" s="48" t="s">
        <v>485</v>
      </c>
      <c r="D24" s="58" t="s">
        <v>20</v>
      </c>
      <c r="E24" s="48" t="s">
        <v>482</v>
      </c>
      <c r="F24" s="59" t="s">
        <v>188</v>
      </c>
      <c r="G24" s="184" t="s">
        <v>486</v>
      </c>
      <c r="H24" s="59" t="s">
        <v>443</v>
      </c>
      <c r="I24" s="48" t="s">
        <v>39</v>
      </c>
      <c r="J24" s="61">
        <v>45682</v>
      </c>
      <c r="K24" s="61">
        <v>45698</v>
      </c>
      <c r="L24" s="61">
        <v>45706</v>
      </c>
      <c r="M24" s="62" t="s">
        <v>114</v>
      </c>
      <c r="N24" s="48" t="s">
        <v>445</v>
      </c>
      <c r="O24" s="48" t="s">
        <v>106</v>
      </c>
      <c r="P24" s="48" t="s">
        <v>487</v>
      </c>
      <c r="Q24" s="44">
        <v>3</v>
      </c>
    </row>
    <row r="25" s="23" customFormat="1" ht="33" customHeight="1" spans="1:17">
      <c r="A25" s="37" t="s">
        <v>232</v>
      </c>
      <c r="B25" s="57" t="s">
        <v>439</v>
      </c>
      <c r="C25" s="48" t="s">
        <v>488</v>
      </c>
      <c r="D25" s="58" t="s">
        <v>20</v>
      </c>
      <c r="E25" s="48" t="s">
        <v>489</v>
      </c>
      <c r="F25" s="59" t="s">
        <v>188</v>
      </c>
      <c r="G25" s="184" t="s">
        <v>490</v>
      </c>
      <c r="H25" s="59" t="s">
        <v>443</v>
      </c>
      <c r="I25" s="48" t="s">
        <v>491</v>
      </c>
      <c r="J25" s="61">
        <v>45726</v>
      </c>
      <c r="K25" s="61">
        <v>45751</v>
      </c>
      <c r="L25" s="61">
        <v>45755</v>
      </c>
      <c r="M25" s="52" t="s">
        <v>114</v>
      </c>
      <c r="N25" s="48" t="s">
        <v>445</v>
      </c>
      <c r="O25" s="48" t="s">
        <v>300</v>
      </c>
      <c r="P25" s="59" t="s">
        <v>492</v>
      </c>
      <c r="Q25" s="44">
        <v>1</v>
      </c>
    </row>
    <row r="26" s="25" customFormat="1" ht="33" customHeight="1" spans="1:17">
      <c r="A26" s="37" t="s">
        <v>241</v>
      </c>
      <c r="B26" s="50" t="s">
        <v>368</v>
      </c>
      <c r="C26" s="40" t="s">
        <v>34</v>
      </c>
      <c r="D26" s="37" t="s">
        <v>20</v>
      </c>
      <c r="E26" s="48" t="s">
        <v>109</v>
      </c>
      <c r="F26" s="40" t="s">
        <v>36</v>
      </c>
      <c r="G26" s="40" t="s">
        <v>493</v>
      </c>
      <c r="H26" s="43" t="s">
        <v>494</v>
      </c>
      <c r="I26" s="40" t="s">
        <v>25</v>
      </c>
      <c r="J26" s="48" t="s">
        <v>103</v>
      </c>
      <c r="K26" s="40" t="s">
        <v>112</v>
      </c>
      <c r="L26" s="40" t="s">
        <v>113</v>
      </c>
      <c r="M26" s="52" t="s">
        <v>114</v>
      </c>
      <c r="N26" s="40" t="s">
        <v>495</v>
      </c>
      <c r="O26" s="40" t="s">
        <v>496</v>
      </c>
      <c r="P26" s="40" t="s">
        <v>497</v>
      </c>
      <c r="Q26" s="56"/>
    </row>
    <row r="27" s="22" customFormat="1" ht="33" customHeight="1" spans="1:17">
      <c r="A27" s="37" t="s">
        <v>251</v>
      </c>
      <c r="B27" s="37" t="s">
        <v>368</v>
      </c>
      <c r="C27" s="40" t="s">
        <v>55</v>
      </c>
      <c r="D27" s="37" t="s">
        <v>20</v>
      </c>
      <c r="E27" s="48" t="s">
        <v>498</v>
      </c>
      <c r="F27" s="40" t="s">
        <v>77</v>
      </c>
      <c r="G27" s="42" t="s">
        <v>499</v>
      </c>
      <c r="H27" s="40" t="s">
        <v>68</v>
      </c>
      <c r="I27" s="48" t="s">
        <v>383</v>
      </c>
      <c r="J27" s="48" t="s">
        <v>500</v>
      </c>
      <c r="K27" s="48" t="s">
        <v>501</v>
      </c>
      <c r="L27" s="40" t="s">
        <v>133</v>
      </c>
      <c r="M27" s="52" t="s">
        <v>114</v>
      </c>
      <c r="N27" s="49" t="s">
        <v>384</v>
      </c>
      <c r="O27" s="40" t="s">
        <v>300</v>
      </c>
      <c r="P27" s="40" t="s">
        <v>502</v>
      </c>
      <c r="Q27" s="44">
        <v>1</v>
      </c>
    </row>
    <row r="28" s="22" customFormat="1" ht="33" customHeight="1" spans="1:17">
      <c r="A28" s="37" t="s">
        <v>264</v>
      </c>
      <c r="B28" s="37"/>
      <c r="C28" s="40"/>
      <c r="D28" s="37" t="s">
        <v>46</v>
      </c>
      <c r="E28" s="48" t="s">
        <v>503</v>
      </c>
      <c r="F28" s="40" t="s">
        <v>77</v>
      </c>
      <c r="G28" s="42" t="s">
        <v>504</v>
      </c>
      <c r="H28" s="40" t="s">
        <v>68</v>
      </c>
      <c r="I28" s="40" t="s">
        <v>491</v>
      </c>
      <c r="J28" s="48" t="s">
        <v>500</v>
      </c>
      <c r="K28" s="48" t="s">
        <v>132</v>
      </c>
      <c r="L28" s="22" t="s">
        <v>428</v>
      </c>
      <c r="M28" s="52" t="s">
        <v>114</v>
      </c>
      <c r="N28" s="40" t="s">
        <v>505</v>
      </c>
      <c r="O28" s="40" t="s">
        <v>292</v>
      </c>
      <c r="P28" s="40" t="s">
        <v>506</v>
      </c>
      <c r="Q28" s="44">
        <v>2</v>
      </c>
    </row>
    <row r="29" s="22" customFormat="1" ht="33" customHeight="1" spans="1:17">
      <c r="A29" s="37" t="s">
        <v>273</v>
      </c>
      <c r="B29" s="37"/>
      <c r="C29" s="40"/>
      <c r="D29" s="37" t="s">
        <v>119</v>
      </c>
      <c r="E29" s="48" t="s">
        <v>507</v>
      </c>
      <c r="F29" s="40" t="s">
        <v>77</v>
      </c>
      <c r="G29" s="42" t="s">
        <v>508</v>
      </c>
      <c r="H29" s="40" t="s">
        <v>68</v>
      </c>
      <c r="I29" s="40" t="s">
        <v>39</v>
      </c>
      <c r="J29" s="40" t="s">
        <v>509</v>
      </c>
      <c r="K29" s="40" t="s">
        <v>133</v>
      </c>
      <c r="L29" s="48" t="s">
        <v>510</v>
      </c>
      <c r="M29" s="52" t="s">
        <v>114</v>
      </c>
      <c r="N29" s="49" t="s">
        <v>384</v>
      </c>
      <c r="O29" s="40" t="s">
        <v>292</v>
      </c>
      <c r="P29" s="40" t="s">
        <v>511</v>
      </c>
      <c r="Q29" s="44">
        <v>2</v>
      </c>
    </row>
    <row r="30" s="22" customFormat="1" ht="33" customHeight="1" spans="1:17">
      <c r="A30" s="37" t="s">
        <v>279</v>
      </c>
      <c r="B30" s="37" t="s">
        <v>512</v>
      </c>
      <c r="C30" s="40" t="s">
        <v>75</v>
      </c>
      <c r="D30" s="37" t="s">
        <v>20</v>
      </c>
      <c r="E30" s="48" t="s">
        <v>197</v>
      </c>
      <c r="F30" s="40" t="s">
        <v>513</v>
      </c>
      <c r="G30" s="42" t="s">
        <v>514</v>
      </c>
      <c r="H30" s="43" t="s">
        <v>199</v>
      </c>
      <c r="I30" s="48" t="s">
        <v>25</v>
      </c>
      <c r="J30" s="48" t="s">
        <v>200</v>
      </c>
      <c r="K30" s="48" t="s">
        <v>201</v>
      </c>
      <c r="L30" s="48" t="s">
        <v>202</v>
      </c>
      <c r="M30" s="52" t="s">
        <v>114</v>
      </c>
      <c r="N30" s="40" t="s">
        <v>515</v>
      </c>
      <c r="O30" s="40" t="s">
        <v>516</v>
      </c>
      <c r="P30" s="40" t="s">
        <v>517</v>
      </c>
      <c r="Q30" s="56"/>
    </row>
    <row r="31" s="22" customFormat="1" ht="33" customHeight="1" spans="1:17">
      <c r="A31" s="37" t="s">
        <v>282</v>
      </c>
      <c r="B31" s="37" t="s">
        <v>512</v>
      </c>
      <c r="C31" s="40" t="s">
        <v>99</v>
      </c>
      <c r="D31" s="37" t="s">
        <v>20</v>
      </c>
      <c r="E31" s="48" t="s">
        <v>518</v>
      </c>
      <c r="F31" s="40" t="s">
        <v>519</v>
      </c>
      <c r="G31" s="42" t="s">
        <v>520</v>
      </c>
      <c r="H31" s="40" t="s">
        <v>521</v>
      </c>
      <c r="I31" s="40" t="s">
        <v>39</v>
      </c>
      <c r="J31" s="40" t="s">
        <v>123</v>
      </c>
      <c r="K31" s="48" t="s">
        <v>133</v>
      </c>
      <c r="L31" s="48" t="s">
        <v>522</v>
      </c>
      <c r="M31" s="62" t="s">
        <v>114</v>
      </c>
      <c r="N31" s="49" t="s">
        <v>384</v>
      </c>
      <c r="O31" s="40" t="s">
        <v>165</v>
      </c>
      <c r="P31" s="40" t="s">
        <v>511</v>
      </c>
      <c r="Q31" s="44">
        <v>1</v>
      </c>
    </row>
    <row r="32" s="22" customFormat="1" ht="33" customHeight="1" spans="1:17">
      <c r="A32" s="37" t="s">
        <v>294</v>
      </c>
      <c r="B32" s="38" t="s">
        <v>512</v>
      </c>
      <c r="C32" s="64" t="s">
        <v>523</v>
      </c>
      <c r="D32" s="37" t="s">
        <v>20</v>
      </c>
      <c r="E32" s="48" t="s">
        <v>524</v>
      </c>
      <c r="F32" s="40" t="s">
        <v>519</v>
      </c>
      <c r="G32" s="42" t="s">
        <v>525</v>
      </c>
      <c r="H32" s="40" t="s">
        <v>526</v>
      </c>
      <c r="I32" s="40" t="s">
        <v>39</v>
      </c>
      <c r="J32" s="48" t="s">
        <v>527</v>
      </c>
      <c r="K32" s="48" t="s">
        <v>528</v>
      </c>
      <c r="L32" s="48" t="s">
        <v>529</v>
      </c>
      <c r="M32" s="62" t="s">
        <v>114</v>
      </c>
      <c r="N32" s="40" t="s">
        <v>530</v>
      </c>
      <c r="O32" s="40" t="s">
        <v>531</v>
      </c>
      <c r="P32" s="40" t="s">
        <v>532</v>
      </c>
      <c r="Q32" s="44">
        <v>6</v>
      </c>
    </row>
    <row r="33" s="22" customFormat="1" ht="33" customHeight="1" spans="1:17">
      <c r="A33" s="37" t="s">
        <v>302</v>
      </c>
      <c r="B33" s="45"/>
      <c r="C33" s="65" t="s">
        <v>533</v>
      </c>
      <c r="D33" s="38" t="s">
        <v>46</v>
      </c>
      <c r="E33" s="48" t="s">
        <v>534</v>
      </c>
      <c r="F33" s="40" t="s">
        <v>519</v>
      </c>
      <c r="G33" s="183" t="s">
        <v>535</v>
      </c>
      <c r="H33" s="40" t="s">
        <v>526</v>
      </c>
      <c r="I33" s="40" t="s">
        <v>39</v>
      </c>
      <c r="J33" s="48" t="s">
        <v>536</v>
      </c>
      <c r="K33" s="48" t="s">
        <v>510</v>
      </c>
      <c r="L33" s="40" t="s">
        <v>510</v>
      </c>
      <c r="M33" s="62" t="s">
        <v>114</v>
      </c>
      <c r="N33" s="40" t="s">
        <v>530</v>
      </c>
      <c r="O33" s="40" t="s">
        <v>537</v>
      </c>
      <c r="P33" s="40" t="s">
        <v>538</v>
      </c>
      <c r="Q33" s="44">
        <v>6</v>
      </c>
    </row>
    <row r="34" ht="35" spans="1:17">
      <c r="A34" s="37" t="s">
        <v>310</v>
      </c>
      <c r="B34" s="45"/>
      <c r="C34" s="64" t="s">
        <v>539</v>
      </c>
      <c r="D34" s="37" t="s">
        <v>119</v>
      </c>
      <c r="E34" s="48" t="s">
        <v>540</v>
      </c>
      <c r="F34" s="40" t="s">
        <v>519</v>
      </c>
      <c r="G34" s="42" t="s">
        <v>541</v>
      </c>
      <c r="H34" s="40" t="s">
        <v>526</v>
      </c>
      <c r="I34" s="40" t="s">
        <v>39</v>
      </c>
      <c r="J34" s="48" t="s">
        <v>542</v>
      </c>
      <c r="K34" s="48" t="s">
        <v>510</v>
      </c>
      <c r="L34" s="40" t="s">
        <v>543</v>
      </c>
      <c r="M34" s="62" t="s">
        <v>114</v>
      </c>
      <c r="N34" s="40" t="s">
        <v>530</v>
      </c>
      <c r="O34" s="40" t="s">
        <v>544</v>
      </c>
      <c r="P34" s="40" t="s">
        <v>545</v>
      </c>
      <c r="Q34" s="66">
        <v>5</v>
      </c>
    </row>
    <row r="35" ht="35" spans="1:17">
      <c r="A35" s="37" t="s">
        <v>317</v>
      </c>
      <c r="B35" s="45"/>
      <c r="C35" s="67" t="s">
        <v>546</v>
      </c>
      <c r="D35" s="47" t="s">
        <v>129</v>
      </c>
      <c r="E35" s="48" t="s">
        <v>540</v>
      </c>
      <c r="F35" s="40" t="s">
        <v>519</v>
      </c>
      <c r="G35" s="42" t="s">
        <v>547</v>
      </c>
      <c r="H35" s="40" t="s">
        <v>526</v>
      </c>
      <c r="I35" s="40" t="s">
        <v>39</v>
      </c>
      <c r="J35" s="48" t="s">
        <v>527</v>
      </c>
      <c r="K35" s="48" t="s">
        <v>171</v>
      </c>
      <c r="L35" s="48" t="s">
        <v>423</v>
      </c>
      <c r="M35" s="62" t="s">
        <v>114</v>
      </c>
      <c r="N35" s="40" t="s">
        <v>530</v>
      </c>
      <c r="O35" s="40" t="s">
        <v>548</v>
      </c>
      <c r="P35" s="40" t="s">
        <v>549</v>
      </c>
      <c r="Q35" s="66">
        <v>2</v>
      </c>
    </row>
    <row r="36" ht="35" spans="1:17">
      <c r="A36" s="37" t="s">
        <v>323</v>
      </c>
      <c r="B36" s="45"/>
      <c r="C36" s="67" t="s">
        <v>550</v>
      </c>
      <c r="D36" s="37" t="s">
        <v>242</v>
      </c>
      <c r="E36" s="48" t="s">
        <v>540</v>
      </c>
      <c r="F36" s="40" t="s">
        <v>519</v>
      </c>
      <c r="G36" s="42" t="s">
        <v>551</v>
      </c>
      <c r="H36" s="40" t="s">
        <v>526</v>
      </c>
      <c r="I36" s="40" t="s">
        <v>39</v>
      </c>
      <c r="J36" s="48" t="s">
        <v>527</v>
      </c>
      <c r="K36" s="48" t="s">
        <v>171</v>
      </c>
      <c r="L36" s="48" t="s">
        <v>423</v>
      </c>
      <c r="M36" s="62" t="s">
        <v>114</v>
      </c>
      <c r="N36" s="40" t="s">
        <v>530</v>
      </c>
      <c r="O36" s="40" t="s">
        <v>552</v>
      </c>
      <c r="P36" s="40" t="s">
        <v>553</v>
      </c>
      <c r="Q36" s="66">
        <v>3</v>
      </c>
    </row>
    <row r="37" ht="35" customHeight="1" spans="1:17">
      <c r="A37" s="37" t="s">
        <v>328</v>
      </c>
      <c r="B37" s="45"/>
      <c r="C37" s="67" t="s">
        <v>554</v>
      </c>
      <c r="D37" s="47" t="s">
        <v>555</v>
      </c>
      <c r="E37" s="48" t="s">
        <v>556</v>
      </c>
      <c r="F37" s="40" t="s">
        <v>519</v>
      </c>
      <c r="G37" s="183" t="s">
        <v>557</v>
      </c>
      <c r="H37" s="40" t="s">
        <v>526</v>
      </c>
      <c r="I37" s="40" t="s">
        <v>39</v>
      </c>
      <c r="J37" s="48" t="s">
        <v>558</v>
      </c>
      <c r="K37" s="48" t="s">
        <v>510</v>
      </c>
      <c r="L37" s="48" t="s">
        <v>543</v>
      </c>
      <c r="M37" s="62" t="s">
        <v>114</v>
      </c>
      <c r="N37" s="40" t="s">
        <v>559</v>
      </c>
      <c r="O37" s="40" t="s">
        <v>548</v>
      </c>
      <c r="P37" s="40" t="s">
        <v>560</v>
      </c>
      <c r="Q37" s="66">
        <v>2</v>
      </c>
    </row>
    <row r="38" ht="35" customHeight="1" spans="1:17">
      <c r="A38" s="37" t="s">
        <v>338</v>
      </c>
      <c r="B38" s="45"/>
      <c r="C38" s="67" t="s">
        <v>561</v>
      </c>
      <c r="D38" s="37" t="s">
        <v>562</v>
      </c>
      <c r="E38" s="48" t="s">
        <v>563</v>
      </c>
      <c r="F38" s="40" t="s">
        <v>519</v>
      </c>
      <c r="G38" s="183" t="s">
        <v>564</v>
      </c>
      <c r="H38" s="40" t="s">
        <v>526</v>
      </c>
      <c r="I38" s="40" t="s">
        <v>39</v>
      </c>
      <c r="J38" s="48" t="s">
        <v>565</v>
      </c>
      <c r="K38" s="48" t="s">
        <v>219</v>
      </c>
      <c r="L38" s="48" t="s">
        <v>566</v>
      </c>
      <c r="M38" s="62" t="s">
        <v>114</v>
      </c>
      <c r="N38" s="40" t="s">
        <v>559</v>
      </c>
      <c r="O38" s="40" t="s">
        <v>567</v>
      </c>
      <c r="P38" s="40" t="s">
        <v>568</v>
      </c>
      <c r="Q38" s="66">
        <v>1</v>
      </c>
    </row>
    <row r="39" ht="34" customHeight="1" spans="1:17">
      <c r="A39" s="37" t="s">
        <v>346</v>
      </c>
      <c r="B39" s="47"/>
      <c r="C39" s="67" t="s">
        <v>569</v>
      </c>
      <c r="D39" s="47" t="s">
        <v>570</v>
      </c>
      <c r="E39" s="48" t="s">
        <v>571</v>
      </c>
      <c r="F39" s="40" t="s">
        <v>519</v>
      </c>
      <c r="G39" s="183" t="s">
        <v>572</v>
      </c>
      <c r="H39" s="43" t="s">
        <v>573</v>
      </c>
      <c r="I39" s="40" t="s">
        <v>39</v>
      </c>
      <c r="J39" s="48" t="s">
        <v>566</v>
      </c>
      <c r="K39" s="48" t="s">
        <v>574</v>
      </c>
      <c r="L39" s="48" t="s">
        <v>575</v>
      </c>
      <c r="M39" s="62" t="s">
        <v>114</v>
      </c>
      <c r="N39" s="40" t="s">
        <v>530</v>
      </c>
      <c r="O39" s="40" t="s">
        <v>576</v>
      </c>
      <c r="P39" s="40" t="s">
        <v>577</v>
      </c>
      <c r="Q39" s="66">
        <v>2</v>
      </c>
    </row>
    <row r="40" ht="35" spans="1:17">
      <c r="A40" s="37" t="s">
        <v>355</v>
      </c>
      <c r="B40" s="37" t="s">
        <v>512</v>
      </c>
      <c r="C40" s="64" t="s">
        <v>196</v>
      </c>
      <c r="D40" s="37" t="s">
        <v>20</v>
      </c>
      <c r="E40" s="68" t="s">
        <v>578</v>
      </c>
      <c r="F40" s="59" t="s">
        <v>188</v>
      </c>
      <c r="G40" s="60" t="s">
        <v>579</v>
      </c>
      <c r="H40" s="59" t="s">
        <v>245</v>
      </c>
      <c r="I40" s="69" t="s">
        <v>580</v>
      </c>
      <c r="J40" s="70" t="s">
        <v>581</v>
      </c>
      <c r="K40" s="70" t="s">
        <v>582</v>
      </c>
      <c r="L40" s="70" t="s">
        <v>583</v>
      </c>
      <c r="M40" s="62" t="s">
        <v>114</v>
      </c>
      <c r="N40" s="49" t="s">
        <v>584</v>
      </c>
      <c r="O40" s="40" t="s">
        <v>300</v>
      </c>
      <c r="P40" s="40" t="s">
        <v>511</v>
      </c>
      <c r="Q40" s="66">
        <v>1</v>
      </c>
    </row>
    <row r="41" s="20" customFormat="1" ht="34" customHeight="1" spans="1:17">
      <c r="A41" s="37" t="s">
        <v>585</v>
      </c>
      <c r="B41" s="71" t="s">
        <v>368</v>
      </c>
      <c r="C41" s="64" t="s">
        <v>208</v>
      </c>
      <c r="D41" s="72" t="s">
        <v>20</v>
      </c>
      <c r="E41" s="73" t="s">
        <v>586</v>
      </c>
      <c r="F41" s="74" t="s">
        <v>587</v>
      </c>
      <c r="G41" s="73" t="s">
        <v>588</v>
      </c>
      <c r="H41" s="40" t="s">
        <v>68</v>
      </c>
      <c r="I41" s="73" t="s">
        <v>39</v>
      </c>
      <c r="J41" s="73" t="s">
        <v>565</v>
      </c>
      <c r="K41" s="70" t="s">
        <v>201</v>
      </c>
      <c r="L41" s="70" t="s">
        <v>589</v>
      </c>
      <c r="M41" s="62" t="s">
        <v>114</v>
      </c>
      <c r="N41" s="75" t="s">
        <v>590</v>
      </c>
      <c r="O41" s="73" t="s">
        <v>591</v>
      </c>
      <c r="P41" s="73" t="s">
        <v>592</v>
      </c>
      <c r="Q41" s="30"/>
    </row>
    <row r="42" s="26" customFormat="1" ht="31" customHeight="1" spans="1:17">
      <c r="A42" s="37" t="s">
        <v>593</v>
      </c>
      <c r="B42" s="76" t="s">
        <v>368</v>
      </c>
      <c r="C42" s="77" t="s">
        <v>253</v>
      </c>
      <c r="D42" s="72" t="s">
        <v>20</v>
      </c>
      <c r="E42" s="73" t="s">
        <v>594</v>
      </c>
      <c r="F42" s="40" t="s">
        <v>519</v>
      </c>
      <c r="G42" s="70" t="s">
        <v>595</v>
      </c>
      <c r="H42" s="40" t="s">
        <v>68</v>
      </c>
      <c r="I42" s="69" t="s">
        <v>580</v>
      </c>
      <c r="J42" s="78" t="s">
        <v>583</v>
      </c>
      <c r="K42" s="78" t="s">
        <v>258</v>
      </c>
      <c r="L42" s="78" t="s">
        <v>596</v>
      </c>
      <c r="M42" s="52" t="s">
        <v>114</v>
      </c>
      <c r="N42" s="79" t="s">
        <v>597</v>
      </c>
      <c r="O42" s="73" t="s">
        <v>308</v>
      </c>
      <c r="P42" s="73" t="s">
        <v>511</v>
      </c>
      <c r="Q42" s="66">
        <v>1</v>
      </c>
    </row>
    <row r="43" s="26" customFormat="1" ht="31" customHeight="1" spans="1:17">
      <c r="A43" s="37" t="s">
        <v>598</v>
      </c>
      <c r="B43" s="80"/>
      <c r="C43" s="81"/>
      <c r="D43" s="72" t="s">
        <v>46</v>
      </c>
      <c r="E43" s="73" t="s">
        <v>599</v>
      </c>
      <c r="F43" s="40" t="s">
        <v>519</v>
      </c>
      <c r="G43" s="70" t="s">
        <v>600</v>
      </c>
      <c r="H43" s="40" t="s">
        <v>68</v>
      </c>
      <c r="I43" s="70" t="s">
        <v>39</v>
      </c>
      <c r="J43" s="70" t="s">
        <v>246</v>
      </c>
      <c r="K43" s="70" t="s">
        <v>601</v>
      </c>
      <c r="L43" s="70" t="s">
        <v>602</v>
      </c>
      <c r="M43" s="52" t="s">
        <v>114</v>
      </c>
      <c r="N43" s="73" t="s">
        <v>603</v>
      </c>
      <c r="O43" s="73" t="s">
        <v>604</v>
      </c>
      <c r="P43" s="73" t="s">
        <v>511</v>
      </c>
      <c r="Q43" s="66">
        <v>4</v>
      </c>
    </row>
    <row r="44" s="26" customFormat="1" ht="39" customHeight="1" spans="1:17">
      <c r="A44" s="37" t="s">
        <v>605</v>
      </c>
      <c r="B44" s="71" t="s">
        <v>368</v>
      </c>
      <c r="C44" s="64" t="s">
        <v>265</v>
      </c>
      <c r="D44" s="72" t="s">
        <v>20</v>
      </c>
      <c r="E44" s="73" t="s">
        <v>254</v>
      </c>
      <c r="F44" s="74" t="s">
        <v>587</v>
      </c>
      <c r="G44" s="70" t="s">
        <v>606</v>
      </c>
      <c r="H44" s="43" t="s">
        <v>607</v>
      </c>
      <c r="I44" s="70" t="s">
        <v>39</v>
      </c>
      <c r="J44" s="70" t="s">
        <v>258</v>
      </c>
      <c r="K44" s="70" t="s">
        <v>259</v>
      </c>
      <c r="L44" s="70" t="s">
        <v>260</v>
      </c>
      <c r="M44" s="82" t="s">
        <v>114</v>
      </c>
      <c r="N44" s="73" t="s">
        <v>608</v>
      </c>
      <c r="O44" s="73" t="s">
        <v>609</v>
      </c>
      <c r="P44" s="73" t="s">
        <v>610</v>
      </c>
      <c r="Q44" s="30"/>
    </row>
    <row r="45" s="26" customFormat="1" ht="34" customHeight="1" spans="1:17">
      <c r="A45" s="37" t="s">
        <v>611</v>
      </c>
      <c r="B45" s="76" t="s">
        <v>368</v>
      </c>
      <c r="C45" s="77" t="s">
        <v>303</v>
      </c>
      <c r="D45" s="83" t="s">
        <v>20</v>
      </c>
      <c r="E45" s="84" t="s">
        <v>284</v>
      </c>
      <c r="F45" s="39" t="s">
        <v>519</v>
      </c>
      <c r="G45" s="78" t="s">
        <v>612</v>
      </c>
      <c r="H45" s="85" t="s">
        <v>68</v>
      </c>
      <c r="I45" s="86" t="s">
        <v>580</v>
      </c>
      <c r="J45" s="78" t="s">
        <v>288</v>
      </c>
      <c r="K45" s="87" t="s">
        <v>613</v>
      </c>
      <c r="L45" s="78" t="s">
        <v>614</v>
      </c>
      <c r="M45" s="82" t="s">
        <v>114</v>
      </c>
      <c r="N45" s="79" t="s">
        <v>615</v>
      </c>
      <c r="O45" s="73" t="s">
        <v>300</v>
      </c>
      <c r="P45" s="73" t="s">
        <v>511</v>
      </c>
      <c r="Q45" s="66">
        <v>1</v>
      </c>
    </row>
    <row r="46" s="26" customFormat="1" ht="34" customHeight="1" spans="1:17">
      <c r="A46" s="37" t="s">
        <v>616</v>
      </c>
      <c r="B46" s="88"/>
      <c r="C46" s="89"/>
      <c r="D46" s="90"/>
      <c r="E46" s="91"/>
      <c r="F46" s="54"/>
      <c r="G46" s="92"/>
      <c r="H46" s="93"/>
      <c r="I46" s="94"/>
      <c r="J46" s="92"/>
      <c r="K46" s="95"/>
      <c r="L46" s="92"/>
      <c r="M46" s="82" t="s">
        <v>114</v>
      </c>
      <c r="N46" s="79" t="s">
        <v>617</v>
      </c>
      <c r="O46" s="73" t="s">
        <v>308</v>
      </c>
      <c r="P46" s="73" t="s">
        <v>511</v>
      </c>
      <c r="Q46" s="66">
        <v>1</v>
      </c>
    </row>
    <row r="47" s="26" customFormat="1" ht="34" customHeight="1" spans="1:17">
      <c r="A47" s="37" t="s">
        <v>618</v>
      </c>
      <c r="B47" s="88"/>
      <c r="C47" s="89"/>
      <c r="D47" s="96" t="s">
        <v>46</v>
      </c>
      <c r="E47" s="97" t="s">
        <v>619</v>
      </c>
      <c r="F47" s="40" t="s">
        <v>519</v>
      </c>
      <c r="G47" s="70" t="s">
        <v>620</v>
      </c>
      <c r="H47" s="74" t="s">
        <v>68</v>
      </c>
      <c r="I47" s="69" t="s">
        <v>580</v>
      </c>
      <c r="J47" s="70" t="s">
        <v>621</v>
      </c>
      <c r="K47" s="70" t="s">
        <v>622</v>
      </c>
      <c r="L47" s="98">
        <v>45589</v>
      </c>
      <c r="M47" s="82" t="s">
        <v>114</v>
      </c>
      <c r="N47" s="79" t="s">
        <v>623</v>
      </c>
      <c r="O47" s="73" t="s">
        <v>308</v>
      </c>
      <c r="P47" s="73" t="s">
        <v>511</v>
      </c>
      <c r="Q47" s="66">
        <v>1</v>
      </c>
    </row>
    <row r="48" s="20" customFormat="1" ht="34" customHeight="1" spans="1:17">
      <c r="A48" s="37" t="s">
        <v>624</v>
      </c>
      <c r="B48" s="88"/>
      <c r="C48" s="89"/>
      <c r="D48" s="90"/>
      <c r="E48" s="91"/>
      <c r="F48" s="74" t="s">
        <v>77</v>
      </c>
      <c r="G48" s="73" t="s">
        <v>625</v>
      </c>
      <c r="H48" s="74" t="s">
        <v>68</v>
      </c>
      <c r="I48" s="69" t="s">
        <v>580</v>
      </c>
      <c r="J48" s="70" t="s">
        <v>621</v>
      </c>
      <c r="K48" s="70" t="s">
        <v>622</v>
      </c>
      <c r="L48" s="99">
        <v>45584</v>
      </c>
      <c r="M48" s="82" t="s">
        <v>114</v>
      </c>
      <c r="N48" s="73" t="s">
        <v>626</v>
      </c>
      <c r="O48" s="73" t="s">
        <v>308</v>
      </c>
      <c r="P48" s="73" t="s">
        <v>511</v>
      </c>
      <c r="Q48" s="66">
        <v>1</v>
      </c>
    </row>
    <row r="49" s="20" customFormat="1" ht="34" customHeight="1" spans="1:17">
      <c r="A49" s="37" t="s">
        <v>627</v>
      </c>
      <c r="B49" s="80"/>
      <c r="C49" s="81"/>
      <c r="D49" s="90" t="s">
        <v>119</v>
      </c>
      <c r="E49" s="91" t="s">
        <v>628</v>
      </c>
      <c r="F49" s="74" t="s">
        <v>77</v>
      </c>
      <c r="G49" s="73" t="s">
        <v>629</v>
      </c>
      <c r="H49" s="74" t="s">
        <v>68</v>
      </c>
      <c r="I49" s="73" t="s">
        <v>39</v>
      </c>
      <c r="J49" s="70" t="s">
        <v>630</v>
      </c>
      <c r="K49" s="70" t="s">
        <v>622</v>
      </c>
      <c r="L49" s="98">
        <v>45583</v>
      </c>
      <c r="M49" s="82" t="s">
        <v>114</v>
      </c>
      <c r="N49" s="73" t="s">
        <v>631</v>
      </c>
      <c r="O49" s="73" t="s">
        <v>300</v>
      </c>
      <c r="P49" s="73" t="s">
        <v>511</v>
      </c>
      <c r="Q49" s="66">
        <v>1</v>
      </c>
    </row>
    <row r="50" s="20" customFormat="1" ht="68" customHeight="1" spans="1:17">
      <c r="A50" s="37" t="s">
        <v>632</v>
      </c>
      <c r="B50" s="71" t="s">
        <v>368</v>
      </c>
      <c r="C50" s="64" t="s">
        <v>311</v>
      </c>
      <c r="D50" s="72" t="s">
        <v>20</v>
      </c>
      <c r="E50" s="70" t="s">
        <v>633</v>
      </c>
      <c r="F50" s="74" t="s">
        <v>587</v>
      </c>
      <c r="G50" s="73" t="s">
        <v>634</v>
      </c>
      <c r="H50" s="74" t="s">
        <v>68</v>
      </c>
      <c r="I50" s="73" t="s">
        <v>39</v>
      </c>
      <c r="J50" s="70" t="s">
        <v>635</v>
      </c>
      <c r="K50" s="73" t="s">
        <v>636</v>
      </c>
      <c r="L50" s="73" t="s">
        <v>637</v>
      </c>
      <c r="M50" s="82" t="s">
        <v>114</v>
      </c>
      <c r="N50" s="73" t="s">
        <v>638</v>
      </c>
      <c r="O50" s="73" t="s">
        <v>639</v>
      </c>
      <c r="P50" s="70" t="s">
        <v>640</v>
      </c>
      <c r="Q50" s="30"/>
    </row>
    <row r="51" s="27" customFormat="1" ht="35" spans="1:17">
      <c r="A51" s="37" t="s">
        <v>641</v>
      </c>
      <c r="B51" s="72" t="s">
        <v>512</v>
      </c>
      <c r="C51" s="84" t="s">
        <v>318</v>
      </c>
      <c r="D51" s="72" t="s">
        <v>20</v>
      </c>
      <c r="E51" s="73" t="s">
        <v>642</v>
      </c>
      <c r="F51" s="74" t="s">
        <v>77</v>
      </c>
      <c r="G51" s="73" t="s">
        <v>643</v>
      </c>
      <c r="H51" s="74" t="s">
        <v>68</v>
      </c>
      <c r="I51" s="73" t="s">
        <v>39</v>
      </c>
      <c r="J51" s="70" t="s">
        <v>644</v>
      </c>
      <c r="K51" s="98">
        <f>J51+9</f>
        <v>45609</v>
      </c>
      <c r="L51" s="98">
        <v>45614</v>
      </c>
      <c r="M51" s="82" t="s">
        <v>114</v>
      </c>
      <c r="N51" s="73" t="s">
        <v>645</v>
      </c>
      <c r="O51" s="73" t="s">
        <v>308</v>
      </c>
      <c r="P51" s="73" t="s">
        <v>511</v>
      </c>
      <c r="Q51" s="66">
        <v>1</v>
      </c>
    </row>
    <row r="52" s="27" customFormat="1" ht="35" spans="1:17">
      <c r="A52" s="37" t="s">
        <v>646</v>
      </c>
      <c r="B52" s="72" t="s">
        <v>512</v>
      </c>
      <c r="C52" s="97"/>
      <c r="D52" s="72" t="s">
        <v>46</v>
      </c>
      <c r="E52" s="73" t="s">
        <v>275</v>
      </c>
      <c r="F52" s="74" t="s">
        <v>77</v>
      </c>
      <c r="G52" s="73" t="s">
        <v>647</v>
      </c>
      <c r="H52" s="74" t="s">
        <v>68</v>
      </c>
      <c r="I52" s="73" t="s">
        <v>39</v>
      </c>
      <c r="J52" s="70" t="s">
        <v>277</v>
      </c>
      <c r="K52" s="98">
        <v>45616</v>
      </c>
      <c r="L52" s="98">
        <v>45618</v>
      </c>
      <c r="M52" s="82" t="s">
        <v>114</v>
      </c>
      <c r="N52" s="73" t="s">
        <v>648</v>
      </c>
      <c r="O52" s="73" t="s">
        <v>649</v>
      </c>
      <c r="P52" s="73" t="s">
        <v>511</v>
      </c>
      <c r="Q52" s="66">
        <v>2</v>
      </c>
    </row>
    <row r="53" s="27" customFormat="1" ht="34" customHeight="1" spans="1:17">
      <c r="A53" s="37" t="s">
        <v>650</v>
      </c>
      <c r="B53" s="72" t="s">
        <v>512</v>
      </c>
      <c r="C53" s="91"/>
      <c r="D53" s="72" t="s">
        <v>119</v>
      </c>
      <c r="E53" s="73" t="s">
        <v>651</v>
      </c>
      <c r="F53" s="74" t="s">
        <v>77</v>
      </c>
      <c r="G53" s="73" t="s">
        <v>652</v>
      </c>
      <c r="H53" s="74" t="s">
        <v>68</v>
      </c>
      <c r="I53" s="73" t="s">
        <v>39</v>
      </c>
      <c r="J53" s="70" t="s">
        <v>653</v>
      </c>
      <c r="K53" s="99">
        <v>45618</v>
      </c>
      <c r="L53" s="98">
        <v>45630</v>
      </c>
      <c r="M53" s="52" t="s">
        <v>114</v>
      </c>
      <c r="N53" s="79" t="s">
        <v>654</v>
      </c>
      <c r="O53" s="73" t="s">
        <v>308</v>
      </c>
      <c r="P53" s="73" t="s">
        <v>511</v>
      </c>
      <c r="Q53" s="66">
        <v>1</v>
      </c>
    </row>
    <row r="54" s="27" customFormat="1" ht="132" customHeight="1" spans="1:17">
      <c r="A54" s="37" t="s">
        <v>655</v>
      </c>
      <c r="B54" s="72" t="s">
        <v>512</v>
      </c>
      <c r="C54" s="73" t="s">
        <v>329</v>
      </c>
      <c r="D54" s="72" t="s">
        <v>20</v>
      </c>
      <c r="E54" s="73" t="s">
        <v>656</v>
      </c>
      <c r="F54" s="73" t="s">
        <v>587</v>
      </c>
      <c r="G54" s="73" t="s">
        <v>657</v>
      </c>
      <c r="H54" s="74" t="s">
        <v>68</v>
      </c>
      <c r="I54" s="73" t="s">
        <v>39</v>
      </c>
      <c r="J54" s="70" t="s">
        <v>658</v>
      </c>
      <c r="K54" s="98">
        <v>45614</v>
      </c>
      <c r="L54" s="98">
        <f>K54+1</f>
        <v>45615</v>
      </c>
      <c r="M54" s="52" t="s">
        <v>114</v>
      </c>
      <c r="N54" s="79" t="s">
        <v>659</v>
      </c>
      <c r="O54" s="73" t="s">
        <v>660</v>
      </c>
      <c r="P54" s="73" t="s">
        <v>517</v>
      </c>
      <c r="Q54" s="30"/>
    </row>
    <row r="55" s="27" customFormat="1" ht="134" customHeight="1" spans="1:17">
      <c r="A55" s="37" t="s">
        <v>661</v>
      </c>
      <c r="B55" s="100" t="s">
        <v>368</v>
      </c>
      <c r="C55" s="83" t="s">
        <v>339</v>
      </c>
      <c r="D55" s="72" t="s">
        <v>20</v>
      </c>
      <c r="E55" s="101" t="s">
        <v>662</v>
      </c>
      <c r="F55" s="102" t="s">
        <v>77</v>
      </c>
      <c r="G55" s="73" t="s">
        <v>663</v>
      </c>
      <c r="H55" s="73" t="s">
        <v>68</v>
      </c>
      <c r="I55" s="73" t="s">
        <v>39</v>
      </c>
      <c r="J55" s="70" t="s">
        <v>664</v>
      </c>
      <c r="K55" s="98">
        <v>45637</v>
      </c>
      <c r="L55" s="98">
        <f>K55+5</f>
        <v>45642</v>
      </c>
      <c r="M55" s="52" t="s">
        <v>114</v>
      </c>
      <c r="N55" s="73" t="s">
        <v>665</v>
      </c>
      <c r="O55" s="73" t="s">
        <v>394</v>
      </c>
      <c r="P55" s="73" t="s">
        <v>497</v>
      </c>
      <c r="Q55" s="66">
        <v>15</v>
      </c>
    </row>
    <row r="56" s="27" customFormat="1" ht="33" customHeight="1" spans="1:17">
      <c r="A56" s="37" t="s">
        <v>666</v>
      </c>
      <c r="B56" s="103"/>
      <c r="C56" s="96"/>
      <c r="D56" s="90" t="s">
        <v>46</v>
      </c>
      <c r="E56" s="104" t="s">
        <v>667</v>
      </c>
      <c r="F56" s="105" t="s">
        <v>188</v>
      </c>
      <c r="G56" s="70" t="s">
        <v>668</v>
      </c>
      <c r="H56" s="106" t="s">
        <v>669</v>
      </c>
      <c r="I56" s="70" t="s">
        <v>39</v>
      </c>
      <c r="J56" s="73" t="s">
        <v>670</v>
      </c>
      <c r="K56" s="98">
        <v>45647</v>
      </c>
      <c r="L56" s="98">
        <v>45656</v>
      </c>
      <c r="M56" s="52" t="s">
        <v>114</v>
      </c>
      <c r="N56" s="73" t="s">
        <v>671</v>
      </c>
      <c r="O56" s="73" t="s">
        <v>271</v>
      </c>
      <c r="P56" s="73" t="s">
        <v>511</v>
      </c>
      <c r="Q56" s="66">
        <v>4</v>
      </c>
    </row>
    <row r="57" s="27" customFormat="1" ht="33" customHeight="1" spans="1:17">
      <c r="A57" s="37" t="s">
        <v>672</v>
      </c>
      <c r="B57" s="103"/>
      <c r="C57" s="96"/>
      <c r="D57" s="90" t="s">
        <v>119</v>
      </c>
      <c r="E57" s="73" t="s">
        <v>673</v>
      </c>
      <c r="F57" s="74" t="s">
        <v>77</v>
      </c>
      <c r="G57" s="73" t="s">
        <v>674</v>
      </c>
      <c r="H57" s="74" t="s">
        <v>68</v>
      </c>
      <c r="I57" s="73" t="s">
        <v>39</v>
      </c>
      <c r="J57" s="70" t="s">
        <v>675</v>
      </c>
      <c r="K57" s="107">
        <v>45638</v>
      </c>
      <c r="L57" s="61">
        <v>45641</v>
      </c>
      <c r="M57" s="52" t="s">
        <v>114</v>
      </c>
      <c r="N57" s="73" t="s">
        <v>676</v>
      </c>
      <c r="O57" s="73" t="s">
        <v>300</v>
      </c>
      <c r="P57" s="73" t="s">
        <v>511</v>
      </c>
      <c r="Q57" s="66">
        <v>1</v>
      </c>
    </row>
    <row r="58" s="27" customFormat="1" ht="52" customHeight="1" spans="1:17">
      <c r="A58" s="37" t="s">
        <v>677</v>
      </c>
      <c r="B58" s="103"/>
      <c r="C58" s="96"/>
      <c r="D58" s="90" t="s">
        <v>129</v>
      </c>
      <c r="E58" s="73" t="s">
        <v>678</v>
      </c>
      <c r="F58" s="74" t="s">
        <v>77</v>
      </c>
      <c r="G58" s="73" t="s">
        <v>679</v>
      </c>
      <c r="H58" s="74" t="s">
        <v>68</v>
      </c>
      <c r="I58" s="73" t="s">
        <v>39</v>
      </c>
      <c r="J58" s="70" t="s">
        <v>680</v>
      </c>
      <c r="K58" s="98">
        <v>45654</v>
      </c>
      <c r="L58" s="98">
        <f>K58+5</f>
        <v>45659</v>
      </c>
      <c r="M58" s="52" t="s">
        <v>114</v>
      </c>
      <c r="N58" s="70" t="s">
        <v>681</v>
      </c>
      <c r="O58" s="73" t="s">
        <v>682</v>
      </c>
      <c r="P58" s="73" t="s">
        <v>511</v>
      </c>
      <c r="Q58" s="66">
        <v>4</v>
      </c>
    </row>
    <row r="59" s="27" customFormat="1" ht="34" customHeight="1" spans="1:17">
      <c r="A59" s="37" t="s">
        <v>683</v>
      </c>
      <c r="B59" s="103"/>
      <c r="C59" s="96"/>
      <c r="D59" s="90" t="s">
        <v>242</v>
      </c>
      <c r="E59" s="73" t="s">
        <v>684</v>
      </c>
      <c r="F59" s="74" t="s">
        <v>77</v>
      </c>
      <c r="G59" s="73" t="s">
        <v>685</v>
      </c>
      <c r="H59" s="74" t="s">
        <v>68</v>
      </c>
      <c r="I59" s="73" t="s">
        <v>39</v>
      </c>
      <c r="J59" s="70" t="s">
        <v>686</v>
      </c>
      <c r="K59" s="98">
        <v>45658</v>
      </c>
      <c r="L59" s="98">
        <v>45660</v>
      </c>
      <c r="M59" s="52" t="s">
        <v>114</v>
      </c>
      <c r="N59" s="70" t="s">
        <v>687</v>
      </c>
      <c r="O59" s="73" t="s">
        <v>300</v>
      </c>
      <c r="P59" s="73" t="s">
        <v>511</v>
      </c>
      <c r="Q59" s="66">
        <v>1</v>
      </c>
    </row>
    <row r="60" s="20" customFormat="1" ht="33" customHeight="1" spans="1:17">
      <c r="A60" s="37" t="s">
        <v>688</v>
      </c>
      <c r="B60" s="100" t="s">
        <v>368</v>
      </c>
      <c r="C60" s="83" t="s">
        <v>347</v>
      </c>
      <c r="D60" s="72" t="s">
        <v>20</v>
      </c>
      <c r="E60" s="73" t="s">
        <v>689</v>
      </c>
      <c r="F60" s="74" t="s">
        <v>77</v>
      </c>
      <c r="G60" s="73" t="s">
        <v>690</v>
      </c>
      <c r="H60" s="74" t="s">
        <v>68</v>
      </c>
      <c r="I60" s="73" t="s">
        <v>39</v>
      </c>
      <c r="J60" s="70" t="s">
        <v>691</v>
      </c>
      <c r="K60" s="98">
        <v>45658</v>
      </c>
      <c r="L60" s="98">
        <v>45665</v>
      </c>
      <c r="M60" s="52" t="s">
        <v>114</v>
      </c>
      <c r="N60" s="73" t="s">
        <v>692</v>
      </c>
      <c r="O60" s="73" t="s">
        <v>292</v>
      </c>
      <c r="P60" s="73" t="s">
        <v>497</v>
      </c>
      <c r="Q60" s="66">
        <v>2</v>
      </c>
    </row>
    <row r="61" s="20" customFormat="1" ht="33" customHeight="1" spans="1:17">
      <c r="A61" s="37" t="s">
        <v>693</v>
      </c>
      <c r="B61" s="103"/>
      <c r="C61" s="96"/>
      <c r="D61" s="72" t="s">
        <v>46</v>
      </c>
      <c r="E61" s="73" t="s">
        <v>694</v>
      </c>
      <c r="F61" s="74" t="s">
        <v>77</v>
      </c>
      <c r="G61" s="73" t="s">
        <v>695</v>
      </c>
      <c r="H61" s="74" t="s">
        <v>68</v>
      </c>
      <c r="I61" s="73" t="s">
        <v>39</v>
      </c>
      <c r="J61" s="70" t="s">
        <v>696</v>
      </c>
      <c r="K61" s="98">
        <v>45666</v>
      </c>
      <c r="L61" s="98">
        <v>45672</v>
      </c>
      <c r="M61" s="52" t="s">
        <v>114</v>
      </c>
      <c r="N61" s="73" t="s">
        <v>692</v>
      </c>
      <c r="O61" s="73" t="s">
        <v>292</v>
      </c>
      <c r="P61" s="73" t="s">
        <v>497</v>
      </c>
      <c r="Q61" s="66">
        <v>2</v>
      </c>
    </row>
    <row r="62" s="20" customFormat="1" ht="33" customHeight="1" spans="1:17">
      <c r="A62" s="37" t="s">
        <v>697</v>
      </c>
      <c r="B62" s="103"/>
      <c r="C62" s="96"/>
      <c r="D62" s="72" t="s">
        <v>119</v>
      </c>
      <c r="E62" s="73" t="s">
        <v>698</v>
      </c>
      <c r="F62" s="74" t="s">
        <v>77</v>
      </c>
      <c r="G62" s="73" t="s">
        <v>699</v>
      </c>
      <c r="H62" s="74" t="s">
        <v>68</v>
      </c>
      <c r="I62" s="73" t="s">
        <v>39</v>
      </c>
      <c r="J62" s="70" t="s">
        <v>306</v>
      </c>
      <c r="K62" s="98">
        <v>45697</v>
      </c>
      <c r="L62" s="98">
        <f>K62+5</f>
        <v>45702</v>
      </c>
      <c r="M62" s="52" t="s">
        <v>114</v>
      </c>
      <c r="N62" s="73" t="s">
        <v>700</v>
      </c>
      <c r="O62" s="73" t="s">
        <v>701</v>
      </c>
      <c r="P62" s="73" t="s">
        <v>592</v>
      </c>
      <c r="Q62" s="66">
        <v>4</v>
      </c>
    </row>
    <row r="63" s="27" customFormat="1" ht="35" customHeight="1" spans="1:17">
      <c r="A63" s="37" t="s">
        <v>702</v>
      </c>
      <c r="B63" s="72" t="s">
        <v>368</v>
      </c>
      <c r="C63" s="72" t="s">
        <v>356</v>
      </c>
      <c r="D63" s="83" t="s">
        <v>20</v>
      </c>
      <c r="E63" s="84" t="s">
        <v>694</v>
      </c>
      <c r="F63" s="74" t="s">
        <v>77</v>
      </c>
      <c r="G63" s="73" t="s">
        <v>703</v>
      </c>
      <c r="H63" s="74" t="s">
        <v>68</v>
      </c>
      <c r="I63" s="73" t="s">
        <v>39</v>
      </c>
      <c r="J63" s="78" t="s">
        <v>696</v>
      </c>
      <c r="K63" s="108">
        <v>45666</v>
      </c>
      <c r="L63" s="98">
        <v>45672</v>
      </c>
      <c r="M63" s="52" t="s">
        <v>114</v>
      </c>
      <c r="N63" s="109" t="s">
        <v>704</v>
      </c>
      <c r="O63" s="73" t="s">
        <v>300</v>
      </c>
      <c r="P63" s="73" t="s">
        <v>592</v>
      </c>
      <c r="Q63" s="66">
        <v>1</v>
      </c>
    </row>
    <row r="64" s="27" customFormat="1" ht="36" customHeight="1" spans="1:17">
      <c r="A64" s="37" t="s">
        <v>705</v>
      </c>
      <c r="B64" s="72"/>
      <c r="C64" s="72"/>
      <c r="D64" s="96"/>
      <c r="E64" s="97"/>
      <c r="F64" s="74" t="s">
        <v>77</v>
      </c>
      <c r="G64" s="73" t="s">
        <v>706</v>
      </c>
      <c r="H64" s="74" t="s">
        <v>68</v>
      </c>
      <c r="I64" s="73" t="s">
        <v>39</v>
      </c>
      <c r="J64" s="110"/>
      <c r="K64" s="111"/>
      <c r="L64" s="98">
        <v>45672</v>
      </c>
      <c r="M64" s="52" t="s">
        <v>114</v>
      </c>
      <c r="N64" s="70" t="s">
        <v>707</v>
      </c>
      <c r="O64" s="73" t="s">
        <v>300</v>
      </c>
      <c r="P64" s="73" t="s">
        <v>592</v>
      </c>
      <c r="Q64" s="66">
        <v>1</v>
      </c>
    </row>
    <row r="65" s="27" customFormat="1" ht="49" customHeight="1" spans="1:17">
      <c r="A65" s="37" t="s">
        <v>708</v>
      </c>
      <c r="B65" s="72"/>
      <c r="C65" s="72"/>
      <c r="D65" s="90"/>
      <c r="E65" s="91"/>
      <c r="F65" s="74" t="s">
        <v>77</v>
      </c>
      <c r="G65" s="20" t="s">
        <v>709</v>
      </c>
      <c r="H65" s="74" t="s">
        <v>68</v>
      </c>
      <c r="I65" s="73" t="s">
        <v>39</v>
      </c>
      <c r="J65" s="92"/>
      <c r="K65" s="112"/>
      <c r="L65" s="98">
        <v>45672</v>
      </c>
      <c r="M65" s="52" t="s">
        <v>114</v>
      </c>
      <c r="N65" s="70" t="s">
        <v>710</v>
      </c>
      <c r="O65" s="73" t="s">
        <v>711</v>
      </c>
      <c r="P65" s="73" t="s">
        <v>592</v>
      </c>
      <c r="Q65" s="66">
        <v>3</v>
      </c>
    </row>
    <row r="66" s="27" customFormat="1" ht="37" customHeight="1" spans="1:17">
      <c r="A66" s="37" t="s">
        <v>712</v>
      </c>
      <c r="B66" s="72"/>
      <c r="C66" s="72"/>
      <c r="D66" s="96" t="s">
        <v>46</v>
      </c>
      <c r="E66" s="84" t="s">
        <v>713</v>
      </c>
      <c r="F66" s="85" t="s">
        <v>77</v>
      </c>
      <c r="G66" s="84" t="s">
        <v>714</v>
      </c>
      <c r="H66" s="113" t="s">
        <v>715</v>
      </c>
      <c r="I66" s="84" t="s">
        <v>39</v>
      </c>
      <c r="J66" s="110" t="s">
        <v>716</v>
      </c>
      <c r="K66" s="114" t="s">
        <v>717</v>
      </c>
      <c r="L66" s="98">
        <v>45677</v>
      </c>
      <c r="M66" s="52" t="s">
        <v>114</v>
      </c>
      <c r="N66" s="78" t="s">
        <v>718</v>
      </c>
      <c r="O66" s="84" t="s">
        <v>300</v>
      </c>
      <c r="P66" s="84" t="s">
        <v>592</v>
      </c>
      <c r="Q66" s="66">
        <v>1</v>
      </c>
    </row>
    <row r="67" ht="48" spans="1:17">
      <c r="A67" s="37" t="s">
        <v>719</v>
      </c>
      <c r="B67" s="100" t="s">
        <v>368</v>
      </c>
      <c r="C67" s="83" t="s">
        <v>720</v>
      </c>
      <c r="D67" s="72" t="s">
        <v>20</v>
      </c>
      <c r="E67" s="73" t="s">
        <v>721</v>
      </c>
      <c r="F67" s="74" t="s">
        <v>77</v>
      </c>
      <c r="G67" s="73" t="s">
        <v>722</v>
      </c>
      <c r="H67" s="74" t="s">
        <v>68</v>
      </c>
      <c r="I67" s="73" t="s">
        <v>39</v>
      </c>
      <c r="J67" s="70" t="s">
        <v>723</v>
      </c>
      <c r="K67" s="70" t="s">
        <v>724</v>
      </c>
      <c r="L67" s="98">
        <v>45677</v>
      </c>
      <c r="M67" s="52" t="s">
        <v>114</v>
      </c>
      <c r="N67" s="70" t="s">
        <v>725</v>
      </c>
      <c r="O67" s="73" t="s">
        <v>300</v>
      </c>
      <c r="P67" s="73" t="s">
        <v>592</v>
      </c>
      <c r="Q67" s="66">
        <v>1</v>
      </c>
    </row>
    <row r="68" customFormat="1" ht="36" spans="1:17">
      <c r="A68" s="37" t="s">
        <v>726</v>
      </c>
      <c r="B68" s="103"/>
      <c r="C68" s="96"/>
      <c r="D68" s="72" t="s">
        <v>46</v>
      </c>
      <c r="E68" s="73" t="s">
        <v>727</v>
      </c>
      <c r="F68" s="74" t="s">
        <v>77</v>
      </c>
      <c r="G68" s="73" t="s">
        <v>728</v>
      </c>
      <c r="H68" s="74" t="s">
        <v>68</v>
      </c>
      <c r="I68" s="73" t="s">
        <v>39</v>
      </c>
      <c r="J68" s="73" t="s">
        <v>729</v>
      </c>
      <c r="K68" s="70" t="s">
        <v>730</v>
      </c>
      <c r="L68" s="98">
        <v>45679</v>
      </c>
      <c r="M68" s="52" t="s">
        <v>114</v>
      </c>
      <c r="N68" s="73" t="s">
        <v>731</v>
      </c>
      <c r="O68" s="73" t="s">
        <v>300</v>
      </c>
      <c r="P68" s="73" t="s">
        <v>592</v>
      </c>
      <c r="Q68" s="66">
        <v>1</v>
      </c>
    </row>
    <row r="69" s="20" customFormat="1" ht="35" spans="1:17">
      <c r="A69" s="37" t="s">
        <v>732</v>
      </c>
      <c r="B69" s="103"/>
      <c r="C69" s="96"/>
      <c r="D69" s="72" t="s">
        <v>119</v>
      </c>
      <c r="E69" s="73" t="s">
        <v>733</v>
      </c>
      <c r="F69" s="74" t="s">
        <v>77</v>
      </c>
      <c r="G69" s="73" t="s">
        <v>734</v>
      </c>
      <c r="H69" s="74" t="s">
        <v>715</v>
      </c>
      <c r="I69" s="73" t="s">
        <v>39</v>
      </c>
      <c r="J69" s="70" t="s">
        <v>735</v>
      </c>
      <c r="K69" s="70" t="s">
        <v>736</v>
      </c>
      <c r="L69" s="98">
        <v>45695</v>
      </c>
      <c r="M69" s="52" t="s">
        <v>114</v>
      </c>
      <c r="N69" s="70" t="s">
        <v>737</v>
      </c>
      <c r="O69" s="73" t="s">
        <v>106</v>
      </c>
      <c r="P69" s="73" t="s">
        <v>592</v>
      </c>
      <c r="Q69" s="115">
        <v>3</v>
      </c>
    </row>
    <row r="70" ht="107" customHeight="1" spans="1:17">
      <c r="A70" s="37" t="s">
        <v>738</v>
      </c>
      <c r="B70" s="103"/>
      <c r="C70" s="96"/>
      <c r="D70" s="72" t="s">
        <v>129</v>
      </c>
      <c r="E70" s="73" t="s">
        <v>739</v>
      </c>
      <c r="F70" s="74" t="s">
        <v>77</v>
      </c>
      <c r="G70" s="73" t="s">
        <v>740</v>
      </c>
      <c r="H70" s="74" t="s">
        <v>68</v>
      </c>
      <c r="I70" s="73" t="s">
        <v>39</v>
      </c>
      <c r="J70" s="70" t="s">
        <v>717</v>
      </c>
      <c r="K70" s="70" t="s">
        <v>741</v>
      </c>
      <c r="L70" s="98">
        <v>45692</v>
      </c>
      <c r="M70" s="52" t="s">
        <v>114</v>
      </c>
      <c r="N70" s="73" t="s">
        <v>742</v>
      </c>
      <c r="O70" s="70" t="s">
        <v>271</v>
      </c>
      <c r="P70" s="73" t="s">
        <v>592</v>
      </c>
      <c r="Q70" s="66">
        <v>4</v>
      </c>
    </row>
    <row r="71" ht="37" customHeight="1" spans="1:17">
      <c r="A71" s="37" t="s">
        <v>743</v>
      </c>
      <c r="B71" s="103"/>
      <c r="C71" s="96"/>
      <c r="D71" s="72" t="s">
        <v>242</v>
      </c>
      <c r="E71" s="73" t="s">
        <v>744</v>
      </c>
      <c r="F71" s="74" t="s">
        <v>77</v>
      </c>
      <c r="G71" s="73" t="s">
        <v>745</v>
      </c>
      <c r="H71" s="74" t="s">
        <v>68</v>
      </c>
      <c r="I71" s="73" t="s">
        <v>39</v>
      </c>
      <c r="J71" s="70" t="s">
        <v>746</v>
      </c>
      <c r="K71" s="70" t="s">
        <v>747</v>
      </c>
      <c r="L71" s="98">
        <v>45694</v>
      </c>
      <c r="M71" s="52" t="s">
        <v>114</v>
      </c>
      <c r="N71" s="73" t="s">
        <v>748</v>
      </c>
      <c r="O71" s="70" t="s">
        <v>749</v>
      </c>
      <c r="P71" s="73" t="s">
        <v>592</v>
      </c>
      <c r="Q71" s="66">
        <v>1</v>
      </c>
    </row>
    <row r="72" ht="72" customHeight="1" spans="1:17">
      <c r="A72" s="37" t="s">
        <v>750</v>
      </c>
      <c r="B72" s="103"/>
      <c r="C72" s="96"/>
      <c r="D72" s="83" t="s">
        <v>555</v>
      </c>
      <c r="E72" s="84" t="s">
        <v>751</v>
      </c>
      <c r="F72" s="74" t="s">
        <v>77</v>
      </c>
      <c r="G72" s="73" t="s">
        <v>752</v>
      </c>
      <c r="H72" s="74" t="s">
        <v>68</v>
      </c>
      <c r="I72" s="73" t="s">
        <v>39</v>
      </c>
      <c r="J72" s="70" t="s">
        <v>306</v>
      </c>
      <c r="K72" s="98">
        <v>45697</v>
      </c>
      <c r="L72" s="98">
        <v>45703</v>
      </c>
      <c r="M72" s="52" t="s">
        <v>114</v>
      </c>
      <c r="N72" s="73" t="s">
        <v>753</v>
      </c>
      <c r="O72" s="70" t="s">
        <v>271</v>
      </c>
      <c r="P72" s="73" t="s">
        <v>592</v>
      </c>
      <c r="Q72" s="66">
        <v>4</v>
      </c>
    </row>
    <row r="73" s="20" customFormat="1" ht="35" spans="1:17">
      <c r="A73" s="37" t="s">
        <v>754</v>
      </c>
      <c r="B73" s="74" t="s">
        <v>368</v>
      </c>
      <c r="C73" s="73" t="s">
        <v>755</v>
      </c>
      <c r="D73" s="72" t="s">
        <v>20</v>
      </c>
      <c r="E73" s="73" t="s">
        <v>756</v>
      </c>
      <c r="F73" s="74" t="s">
        <v>77</v>
      </c>
      <c r="G73" s="73" t="s">
        <v>757</v>
      </c>
      <c r="H73" s="73" t="s">
        <v>573</v>
      </c>
      <c r="I73" s="73" t="s">
        <v>39</v>
      </c>
      <c r="J73" s="70" t="s">
        <v>758</v>
      </c>
      <c r="K73" s="70" t="s">
        <v>759</v>
      </c>
      <c r="L73" s="98">
        <v>45706</v>
      </c>
      <c r="M73" s="52" t="s">
        <v>114</v>
      </c>
      <c r="N73" s="73" t="s">
        <v>760</v>
      </c>
      <c r="O73" s="70" t="s">
        <v>292</v>
      </c>
      <c r="P73" s="73" t="s">
        <v>761</v>
      </c>
      <c r="Q73" s="27" t="s">
        <v>33</v>
      </c>
    </row>
    <row r="74" s="20" customFormat="1" ht="35" spans="1:17">
      <c r="A74" s="37" t="s">
        <v>762</v>
      </c>
      <c r="B74" s="74" t="s">
        <v>368</v>
      </c>
      <c r="C74" s="73" t="s">
        <v>763</v>
      </c>
      <c r="D74" s="72" t="s">
        <v>20</v>
      </c>
      <c r="E74" s="73" t="s">
        <v>764</v>
      </c>
      <c r="F74" s="74" t="s">
        <v>77</v>
      </c>
      <c r="G74" s="73" t="s">
        <v>765</v>
      </c>
      <c r="H74" s="74" t="s">
        <v>389</v>
      </c>
      <c r="I74" s="73" t="s">
        <v>39</v>
      </c>
      <c r="J74" s="73" t="s">
        <v>766</v>
      </c>
      <c r="K74" s="73" t="s">
        <v>759</v>
      </c>
      <c r="L74" s="98">
        <v>45706</v>
      </c>
      <c r="M74" s="52" t="s">
        <v>114</v>
      </c>
      <c r="N74" s="73" t="s">
        <v>767</v>
      </c>
      <c r="O74" s="73" t="s">
        <v>300</v>
      </c>
      <c r="P74" s="73" t="s">
        <v>768</v>
      </c>
      <c r="Q74" s="30" t="s">
        <v>17</v>
      </c>
    </row>
    <row r="75" ht="59" customHeight="1" spans="1:17">
      <c r="A75" s="37" t="s">
        <v>769</v>
      </c>
      <c r="B75" s="73" t="s">
        <v>368</v>
      </c>
      <c r="C75" s="101" t="s">
        <v>770</v>
      </c>
      <c r="D75" s="72" t="s">
        <v>20</v>
      </c>
      <c r="E75" s="73" t="s">
        <v>771</v>
      </c>
      <c r="F75" s="74" t="s">
        <v>77</v>
      </c>
      <c r="G75" s="73" t="s">
        <v>772</v>
      </c>
      <c r="H75" s="74" t="s">
        <v>68</v>
      </c>
      <c r="I75" s="73" t="s">
        <v>39</v>
      </c>
      <c r="J75" s="70" t="s">
        <v>773</v>
      </c>
      <c r="K75" s="98">
        <v>45712</v>
      </c>
      <c r="L75" s="98">
        <v>45715</v>
      </c>
      <c r="M75" s="52" t="s">
        <v>114</v>
      </c>
      <c r="N75" s="70" t="s">
        <v>774</v>
      </c>
      <c r="O75" s="70" t="s">
        <v>292</v>
      </c>
      <c r="P75" s="73" t="s">
        <v>592</v>
      </c>
      <c r="Q75" s="66">
        <v>2</v>
      </c>
    </row>
    <row r="76" s="20" customFormat="1" ht="32" customHeight="1" spans="1:17">
      <c r="A76" s="37" t="s">
        <v>775</v>
      </c>
      <c r="B76" s="84" t="s">
        <v>368</v>
      </c>
      <c r="C76" s="116" t="s">
        <v>776</v>
      </c>
      <c r="D76" s="72" t="s">
        <v>20</v>
      </c>
      <c r="E76" s="73" t="s">
        <v>777</v>
      </c>
      <c r="F76" s="74" t="s">
        <v>77</v>
      </c>
      <c r="G76" s="73" t="s">
        <v>778</v>
      </c>
      <c r="H76" s="73" t="s">
        <v>573</v>
      </c>
      <c r="I76" s="73" t="s">
        <v>39</v>
      </c>
      <c r="J76" s="70" t="s">
        <v>779</v>
      </c>
      <c r="K76" s="98">
        <v>45733</v>
      </c>
      <c r="L76" s="98">
        <v>45740</v>
      </c>
      <c r="M76" s="62" t="s">
        <v>114</v>
      </c>
      <c r="N76" s="73" t="s">
        <v>780</v>
      </c>
      <c r="O76" s="73" t="s">
        <v>308</v>
      </c>
      <c r="P76" s="73" t="s">
        <v>592</v>
      </c>
      <c r="Q76" s="115">
        <v>1</v>
      </c>
    </row>
    <row r="77" s="20" customFormat="1" ht="47" customHeight="1" spans="1:17">
      <c r="A77" s="37" t="s">
        <v>781</v>
      </c>
      <c r="B77" s="97"/>
      <c r="C77" s="117"/>
      <c r="D77" s="118" t="s">
        <v>46</v>
      </c>
      <c r="E77" s="84" t="s">
        <v>782</v>
      </c>
      <c r="F77" s="85" t="s">
        <v>77</v>
      </c>
      <c r="G77" s="73" t="s">
        <v>783</v>
      </c>
      <c r="H77" s="74" t="s">
        <v>68</v>
      </c>
      <c r="I77" s="73" t="s">
        <v>39</v>
      </c>
      <c r="J77" s="78" t="s">
        <v>784</v>
      </c>
      <c r="K77" s="108">
        <v>45737</v>
      </c>
      <c r="L77" s="108">
        <v>45744</v>
      </c>
      <c r="M77" s="62" t="s">
        <v>114</v>
      </c>
      <c r="N77" s="74" t="s">
        <v>785</v>
      </c>
      <c r="O77" s="73" t="s">
        <v>308</v>
      </c>
      <c r="P77" s="73" t="s">
        <v>592</v>
      </c>
      <c r="Q77" s="66">
        <v>1</v>
      </c>
    </row>
    <row r="78" ht="32" customHeight="1" spans="1:17">
      <c r="A78" s="37" t="s">
        <v>786</v>
      </c>
      <c r="B78" s="97"/>
      <c r="C78" s="117"/>
      <c r="D78" s="119"/>
      <c r="E78" s="91"/>
      <c r="F78" s="93"/>
      <c r="G78" s="73" t="s">
        <v>787</v>
      </c>
      <c r="H78" s="74" t="s">
        <v>68</v>
      </c>
      <c r="I78" s="73" t="s">
        <v>39</v>
      </c>
      <c r="J78" s="92"/>
      <c r="K78" s="112"/>
      <c r="L78" s="108">
        <v>45744</v>
      </c>
      <c r="M78" s="62" t="s">
        <v>114</v>
      </c>
      <c r="N78" s="73" t="s">
        <v>788</v>
      </c>
      <c r="O78" s="73" t="s">
        <v>308</v>
      </c>
      <c r="P78" s="73" t="s">
        <v>592</v>
      </c>
      <c r="Q78" s="66">
        <v>1</v>
      </c>
    </row>
    <row r="79" ht="32" customHeight="1" spans="1:17">
      <c r="A79" s="37" t="s">
        <v>789</v>
      </c>
      <c r="B79" s="97"/>
      <c r="C79" s="117"/>
      <c r="D79" s="83" t="s">
        <v>119</v>
      </c>
      <c r="E79" s="84" t="s">
        <v>790</v>
      </c>
      <c r="F79" s="85" t="s">
        <v>77</v>
      </c>
      <c r="G79" s="84" t="s">
        <v>791</v>
      </c>
      <c r="H79" s="85" t="s">
        <v>68</v>
      </c>
      <c r="I79" s="84" t="s">
        <v>39</v>
      </c>
      <c r="J79" s="78" t="s">
        <v>792</v>
      </c>
      <c r="K79" s="108">
        <v>45734</v>
      </c>
      <c r="L79" s="98">
        <v>45740</v>
      </c>
      <c r="M79" s="62" t="s">
        <v>114</v>
      </c>
      <c r="N79" s="73" t="s">
        <v>793</v>
      </c>
      <c r="O79" s="73" t="s">
        <v>271</v>
      </c>
      <c r="P79" s="84" t="s">
        <v>592</v>
      </c>
      <c r="Q79" s="66">
        <v>4</v>
      </c>
    </row>
    <row r="80" ht="51" customHeight="1" spans="1:17">
      <c r="A80" s="37" t="s">
        <v>794</v>
      </c>
      <c r="B80" s="97"/>
      <c r="C80" s="117"/>
      <c r="D80" s="90"/>
      <c r="E80" s="91"/>
      <c r="F80" s="93"/>
      <c r="G80" s="91"/>
      <c r="H80" s="93"/>
      <c r="I80" s="91"/>
      <c r="J80" s="92"/>
      <c r="K80" s="112"/>
      <c r="L80" s="98">
        <v>45740</v>
      </c>
      <c r="M80" s="62" t="s">
        <v>114</v>
      </c>
      <c r="N80" s="74" t="s">
        <v>795</v>
      </c>
      <c r="O80" s="73" t="s">
        <v>308</v>
      </c>
      <c r="P80" s="91"/>
      <c r="Q80" s="66">
        <v>1</v>
      </c>
    </row>
    <row r="81" ht="32" customHeight="1" spans="1:17">
      <c r="A81" s="37" t="s">
        <v>796</v>
      </c>
      <c r="B81" s="97"/>
      <c r="C81" s="117"/>
      <c r="D81" s="72" t="s">
        <v>129</v>
      </c>
      <c r="E81" s="73" t="s">
        <v>797</v>
      </c>
      <c r="F81" s="74" t="s">
        <v>77</v>
      </c>
      <c r="G81" s="73" t="s">
        <v>798</v>
      </c>
      <c r="H81" s="74" t="s">
        <v>68</v>
      </c>
      <c r="I81" s="73" t="s">
        <v>39</v>
      </c>
      <c r="J81" s="70" t="s">
        <v>799</v>
      </c>
      <c r="K81" s="98">
        <v>45743</v>
      </c>
      <c r="L81" s="108">
        <v>45750</v>
      </c>
      <c r="M81" s="120" t="s">
        <v>114</v>
      </c>
      <c r="N81" s="73" t="s">
        <v>800</v>
      </c>
      <c r="O81" s="73" t="s">
        <v>271</v>
      </c>
      <c r="P81" s="73" t="s">
        <v>592</v>
      </c>
      <c r="Q81" s="66">
        <v>4</v>
      </c>
    </row>
    <row r="82" s="20" customFormat="1" ht="36" spans="1:17">
      <c r="A82" s="37" t="s">
        <v>801</v>
      </c>
      <c r="B82" s="97"/>
      <c r="C82" s="117"/>
      <c r="D82" s="72" t="s">
        <v>242</v>
      </c>
      <c r="E82" s="73" t="s">
        <v>802</v>
      </c>
      <c r="F82" s="74" t="s">
        <v>77</v>
      </c>
      <c r="G82" s="73" t="s">
        <v>803</v>
      </c>
      <c r="H82" s="74" t="s">
        <v>68</v>
      </c>
      <c r="I82" s="73" t="s">
        <v>39</v>
      </c>
      <c r="J82" s="70" t="s">
        <v>804</v>
      </c>
      <c r="K82" s="98">
        <v>45748</v>
      </c>
      <c r="L82" s="98">
        <f>K82+5</f>
        <v>45753</v>
      </c>
      <c r="M82" s="121" t="s">
        <v>114</v>
      </c>
      <c r="N82" s="73" t="s">
        <v>805</v>
      </c>
      <c r="O82" s="70" t="s">
        <v>300</v>
      </c>
      <c r="P82" s="73" t="s">
        <v>592</v>
      </c>
      <c r="Q82" s="66">
        <v>1</v>
      </c>
    </row>
    <row r="83" s="20" customFormat="1" ht="36" spans="1:17">
      <c r="A83" s="37" t="s">
        <v>806</v>
      </c>
      <c r="B83" s="97"/>
      <c r="C83" s="117"/>
      <c r="D83" s="72" t="s">
        <v>555</v>
      </c>
      <c r="E83" s="73" t="s">
        <v>807</v>
      </c>
      <c r="F83" s="74" t="s">
        <v>77</v>
      </c>
      <c r="G83" s="73" t="s">
        <v>808</v>
      </c>
      <c r="H83" s="74" t="s">
        <v>68</v>
      </c>
      <c r="I83" s="73" t="s">
        <v>39</v>
      </c>
      <c r="J83" s="70" t="s">
        <v>809</v>
      </c>
      <c r="K83" s="61">
        <v>45754</v>
      </c>
      <c r="L83" s="98">
        <v>45761</v>
      </c>
      <c r="M83" s="121" t="s">
        <v>114</v>
      </c>
      <c r="N83" s="74" t="s">
        <v>810</v>
      </c>
      <c r="O83" s="70" t="s">
        <v>479</v>
      </c>
      <c r="P83" s="73" t="s">
        <v>592</v>
      </c>
      <c r="Q83" s="66">
        <v>8</v>
      </c>
    </row>
    <row r="84" s="20" customFormat="1" ht="34" customHeight="1" spans="1:17">
      <c r="A84" s="37" t="s">
        <v>811</v>
      </c>
      <c r="B84" s="91"/>
      <c r="C84" s="122"/>
      <c r="D84" s="72" t="s">
        <v>562</v>
      </c>
      <c r="E84" s="73" t="s">
        <v>812</v>
      </c>
      <c r="F84" s="74" t="s">
        <v>77</v>
      </c>
      <c r="G84" s="73" t="s">
        <v>813</v>
      </c>
      <c r="H84" s="74" t="s">
        <v>68</v>
      </c>
      <c r="I84" s="73" t="s">
        <v>39</v>
      </c>
      <c r="J84" s="70" t="s">
        <v>814</v>
      </c>
      <c r="K84" s="98">
        <v>45756</v>
      </c>
      <c r="L84" s="98">
        <v>45761</v>
      </c>
      <c r="M84" s="121" t="s">
        <v>114</v>
      </c>
      <c r="N84" s="106" t="s">
        <v>815</v>
      </c>
      <c r="O84" s="70" t="s">
        <v>239</v>
      </c>
      <c r="P84" s="73" t="s">
        <v>592</v>
      </c>
      <c r="Q84" s="66">
        <v>5</v>
      </c>
    </row>
    <row r="85" s="20" customFormat="1" ht="32" customHeight="1" spans="1:17">
      <c r="A85" s="37" t="s">
        <v>816</v>
      </c>
      <c r="B85" s="100" t="s">
        <v>368</v>
      </c>
      <c r="C85" s="84" t="s">
        <v>817</v>
      </c>
      <c r="D85" s="83" t="s">
        <v>20</v>
      </c>
      <c r="E85" s="84" t="s">
        <v>818</v>
      </c>
      <c r="F85" s="85" t="s">
        <v>77</v>
      </c>
      <c r="G85" s="73" t="s">
        <v>819</v>
      </c>
      <c r="H85" s="74" t="s">
        <v>68</v>
      </c>
      <c r="I85" s="73" t="s">
        <v>39</v>
      </c>
      <c r="J85" s="70" t="s">
        <v>799</v>
      </c>
      <c r="K85" s="123" t="s">
        <v>820</v>
      </c>
      <c r="L85" s="108">
        <v>45755</v>
      </c>
      <c r="M85" s="121" t="s">
        <v>114</v>
      </c>
      <c r="N85" s="73" t="s">
        <v>821</v>
      </c>
      <c r="O85" s="73" t="s">
        <v>822</v>
      </c>
      <c r="P85" s="74" t="s">
        <v>823</v>
      </c>
      <c r="Q85" s="27" t="s">
        <v>45</v>
      </c>
    </row>
    <row r="86" s="20" customFormat="1" ht="32" customHeight="1" spans="1:17">
      <c r="A86" s="37" t="s">
        <v>824</v>
      </c>
      <c r="B86" s="103"/>
      <c r="C86" s="97"/>
      <c r="D86" s="90"/>
      <c r="E86" s="91"/>
      <c r="F86" s="93"/>
      <c r="G86" s="73" t="s">
        <v>825</v>
      </c>
      <c r="H86" s="73" t="s">
        <v>826</v>
      </c>
      <c r="I86" s="73" t="s">
        <v>827</v>
      </c>
      <c r="J86" s="70" t="s">
        <v>828</v>
      </c>
      <c r="K86" s="123" t="s">
        <v>829</v>
      </c>
      <c r="L86" s="108">
        <v>45752</v>
      </c>
      <c r="M86" s="121" t="s">
        <v>114</v>
      </c>
      <c r="N86" s="73" t="s">
        <v>830</v>
      </c>
      <c r="O86" s="73" t="s">
        <v>308</v>
      </c>
      <c r="P86" s="74" t="s">
        <v>823</v>
      </c>
      <c r="Q86" s="27" t="s">
        <v>17</v>
      </c>
    </row>
    <row r="87" s="20" customFormat="1" ht="32" customHeight="1" spans="1:17">
      <c r="A87" s="37" t="s">
        <v>831</v>
      </c>
      <c r="B87" s="124"/>
      <c r="C87" s="91"/>
      <c r="D87" s="72" t="s">
        <v>46</v>
      </c>
      <c r="E87" s="73" t="s">
        <v>832</v>
      </c>
      <c r="F87" s="74" t="s">
        <v>77</v>
      </c>
      <c r="G87" s="73" t="s">
        <v>178</v>
      </c>
      <c r="H87" s="73" t="s">
        <v>833</v>
      </c>
      <c r="I87" s="73" t="s">
        <v>827</v>
      </c>
      <c r="J87" s="70" t="s">
        <v>820</v>
      </c>
      <c r="K87" s="70" t="s">
        <v>834</v>
      </c>
      <c r="L87" s="98">
        <v>45761</v>
      </c>
      <c r="M87" s="121" t="s">
        <v>114</v>
      </c>
      <c r="N87" s="73" t="s">
        <v>835</v>
      </c>
      <c r="O87" s="73" t="s">
        <v>836</v>
      </c>
      <c r="P87" s="74" t="s">
        <v>823</v>
      </c>
      <c r="Q87" s="27" t="s">
        <v>17</v>
      </c>
    </row>
    <row r="88" s="20" customFormat="1" ht="35" spans="1:17">
      <c r="A88" s="37" t="s">
        <v>837</v>
      </c>
      <c r="B88" s="73" t="s">
        <v>512</v>
      </c>
      <c r="C88" s="73" t="s">
        <v>838</v>
      </c>
      <c r="D88" s="72" t="s">
        <v>20</v>
      </c>
      <c r="E88" s="73" t="s">
        <v>839</v>
      </c>
      <c r="F88" s="73" t="s">
        <v>519</v>
      </c>
      <c r="G88" s="73" t="s">
        <v>840</v>
      </c>
      <c r="H88" s="73" t="s">
        <v>841</v>
      </c>
      <c r="I88" s="73" t="s">
        <v>39</v>
      </c>
      <c r="J88" s="73" t="s">
        <v>314</v>
      </c>
      <c r="K88" s="70" t="s">
        <v>842</v>
      </c>
      <c r="L88" s="98">
        <v>45765</v>
      </c>
      <c r="M88" s="62" t="s">
        <v>114</v>
      </c>
      <c r="N88" s="73" t="s">
        <v>843</v>
      </c>
      <c r="O88" s="73" t="s">
        <v>300</v>
      </c>
      <c r="P88" s="73" t="s">
        <v>844</v>
      </c>
      <c r="Q88" s="27" t="s">
        <v>17</v>
      </c>
    </row>
    <row r="89" s="20" customFormat="1" ht="35" spans="1:17">
      <c r="A89" s="72" t="s">
        <v>845</v>
      </c>
      <c r="B89" s="73" t="s">
        <v>512</v>
      </c>
      <c r="C89" s="73" t="s">
        <v>846</v>
      </c>
      <c r="D89" s="72" t="s">
        <v>20</v>
      </c>
      <c r="E89" s="73" t="s">
        <v>847</v>
      </c>
      <c r="F89" s="73" t="s">
        <v>519</v>
      </c>
      <c r="G89" s="73" t="s">
        <v>848</v>
      </c>
      <c r="H89" s="73" t="s">
        <v>521</v>
      </c>
      <c r="I89" s="73" t="s">
        <v>39</v>
      </c>
      <c r="J89" s="73" t="s">
        <v>849</v>
      </c>
      <c r="K89" s="107">
        <v>45775</v>
      </c>
      <c r="L89" s="98">
        <f>K89+7</f>
        <v>45782</v>
      </c>
      <c r="M89" s="52" t="s">
        <v>114</v>
      </c>
      <c r="N89" s="73" t="s">
        <v>850</v>
      </c>
      <c r="O89" s="70" t="s">
        <v>239</v>
      </c>
      <c r="P89" s="73" t="s">
        <v>592</v>
      </c>
      <c r="Q89" s="66">
        <v>5</v>
      </c>
    </row>
    <row r="90" s="20" customFormat="1" ht="33" customHeight="1" spans="1:17">
      <c r="A90" s="72" t="s">
        <v>851</v>
      </c>
      <c r="B90" s="73" t="s">
        <v>512</v>
      </c>
      <c r="C90" s="73" t="s">
        <v>852</v>
      </c>
      <c r="D90" s="72" t="s">
        <v>20</v>
      </c>
      <c r="E90" s="73" t="s">
        <v>853</v>
      </c>
      <c r="F90" s="73" t="s">
        <v>519</v>
      </c>
      <c r="G90" s="73" t="s">
        <v>854</v>
      </c>
      <c r="H90" s="73" t="s">
        <v>521</v>
      </c>
      <c r="I90" s="73" t="s">
        <v>39</v>
      </c>
      <c r="J90" s="73" t="s">
        <v>855</v>
      </c>
      <c r="K90" s="70" t="s">
        <v>856</v>
      </c>
      <c r="L90" s="98">
        <v>45790</v>
      </c>
      <c r="M90" s="52" t="s">
        <v>114</v>
      </c>
      <c r="N90" s="74" t="s">
        <v>857</v>
      </c>
      <c r="O90" s="73" t="s">
        <v>308</v>
      </c>
      <c r="P90" s="73" t="s">
        <v>592</v>
      </c>
      <c r="Q90" s="27" t="s">
        <v>17</v>
      </c>
    </row>
    <row r="91" s="20" customFormat="1" ht="35" customHeight="1" spans="1:17">
      <c r="A91" s="72" t="s">
        <v>858</v>
      </c>
      <c r="B91" s="73" t="s">
        <v>512</v>
      </c>
      <c r="C91" s="73" t="s">
        <v>859</v>
      </c>
      <c r="D91" s="72" t="s">
        <v>20</v>
      </c>
      <c r="E91" s="73" t="s">
        <v>860</v>
      </c>
      <c r="F91" s="73" t="s">
        <v>519</v>
      </c>
      <c r="G91" s="73" t="s">
        <v>861</v>
      </c>
      <c r="H91" s="73" t="s">
        <v>521</v>
      </c>
      <c r="I91" s="73" t="s">
        <v>39</v>
      </c>
      <c r="J91" s="70" t="s">
        <v>862</v>
      </c>
      <c r="K91" s="98">
        <v>45803</v>
      </c>
      <c r="L91" s="70" t="s">
        <v>863</v>
      </c>
      <c r="M91" s="52" t="s">
        <v>114</v>
      </c>
      <c r="N91" s="74" t="s">
        <v>864</v>
      </c>
      <c r="O91" s="73" t="s">
        <v>308</v>
      </c>
      <c r="P91" s="73" t="s">
        <v>592</v>
      </c>
      <c r="Q91" s="27" t="s">
        <v>17</v>
      </c>
    </row>
    <row r="92" s="20" customFormat="1" ht="35" spans="1:17">
      <c r="A92" s="72" t="s">
        <v>865</v>
      </c>
      <c r="B92" s="73" t="s">
        <v>512</v>
      </c>
      <c r="C92" s="73" t="s">
        <v>866</v>
      </c>
      <c r="D92" s="72" t="s">
        <v>20</v>
      </c>
      <c r="E92" s="73" t="s">
        <v>867</v>
      </c>
      <c r="F92" s="73" t="s">
        <v>519</v>
      </c>
      <c r="G92" s="73" t="s">
        <v>868</v>
      </c>
      <c r="H92" s="73" t="s">
        <v>521</v>
      </c>
      <c r="I92" s="73" t="s">
        <v>39</v>
      </c>
      <c r="J92" s="70" t="s">
        <v>869</v>
      </c>
      <c r="K92" s="98">
        <v>45820</v>
      </c>
      <c r="L92" s="107">
        <v>45825</v>
      </c>
      <c r="M92" s="52" t="s">
        <v>114</v>
      </c>
      <c r="N92" s="73" t="s">
        <v>870</v>
      </c>
      <c r="O92" s="70" t="s">
        <v>300</v>
      </c>
      <c r="P92" s="73" t="s">
        <v>592</v>
      </c>
      <c r="Q92" s="27" t="s">
        <v>17</v>
      </c>
    </row>
    <row r="93" s="20" customFormat="1" ht="28" customHeight="1" spans="1:17">
      <c r="A93" s="72" t="s">
        <v>871</v>
      </c>
      <c r="B93" s="73" t="s">
        <v>512</v>
      </c>
      <c r="C93" s="73" t="s">
        <v>872</v>
      </c>
      <c r="D93" s="72" t="s">
        <v>20</v>
      </c>
      <c r="E93" s="73" t="s">
        <v>873</v>
      </c>
      <c r="F93" s="74" t="s">
        <v>874</v>
      </c>
      <c r="G93" s="73" t="s">
        <v>875</v>
      </c>
      <c r="H93" s="73" t="s">
        <v>521</v>
      </c>
      <c r="I93" s="73" t="s">
        <v>876</v>
      </c>
      <c r="J93" s="70" t="s">
        <v>877</v>
      </c>
      <c r="K93" s="70" t="s">
        <v>877</v>
      </c>
      <c r="L93" s="70" t="s">
        <v>863</v>
      </c>
      <c r="M93" s="52" t="s">
        <v>114</v>
      </c>
      <c r="N93" s="74" t="s">
        <v>878</v>
      </c>
      <c r="O93" s="70" t="s">
        <v>879</v>
      </c>
      <c r="P93" s="73" t="s">
        <v>592</v>
      </c>
      <c r="Q93" s="27"/>
    </row>
    <row r="94" s="20" customFormat="1" ht="35" spans="1:17">
      <c r="A94" s="72" t="s">
        <v>880</v>
      </c>
      <c r="B94" s="73" t="s">
        <v>512</v>
      </c>
      <c r="C94" s="73" t="s">
        <v>881</v>
      </c>
      <c r="D94" s="72" t="s">
        <v>20</v>
      </c>
      <c r="E94" s="73" t="s">
        <v>882</v>
      </c>
      <c r="F94" s="73" t="s">
        <v>519</v>
      </c>
      <c r="G94" s="73" t="s">
        <v>883</v>
      </c>
      <c r="H94" s="73" t="s">
        <v>521</v>
      </c>
      <c r="I94" s="73" t="s">
        <v>39</v>
      </c>
      <c r="J94" s="70" t="s">
        <v>884</v>
      </c>
      <c r="K94" s="98">
        <v>45834</v>
      </c>
      <c r="L94" s="98">
        <f>K94+10</f>
        <v>45844</v>
      </c>
      <c r="M94" s="52" t="s">
        <v>114</v>
      </c>
      <c r="N94" s="73" t="s">
        <v>885</v>
      </c>
      <c r="O94" s="70" t="s">
        <v>433</v>
      </c>
      <c r="P94" s="73" t="s">
        <v>592</v>
      </c>
      <c r="Q94" s="27" t="s">
        <v>108</v>
      </c>
    </row>
    <row r="95" s="20" customFormat="1" ht="29" customHeight="1" spans="1:17">
      <c r="A95" s="72" t="s">
        <v>886</v>
      </c>
      <c r="B95" s="73" t="s">
        <v>512</v>
      </c>
      <c r="C95" s="73" t="s">
        <v>887</v>
      </c>
      <c r="D95" s="72" t="s">
        <v>20</v>
      </c>
      <c r="E95" s="73" t="s">
        <v>873</v>
      </c>
      <c r="F95" s="74" t="s">
        <v>874</v>
      </c>
      <c r="G95" s="73" t="s">
        <v>888</v>
      </c>
      <c r="H95" s="73" t="s">
        <v>521</v>
      </c>
      <c r="I95" s="69" t="s">
        <v>333</v>
      </c>
      <c r="J95" s="70" t="s">
        <v>889</v>
      </c>
      <c r="K95" s="70" t="s">
        <v>889</v>
      </c>
      <c r="L95" s="98">
        <v>45829</v>
      </c>
      <c r="M95" s="52" t="s">
        <v>114</v>
      </c>
      <c r="N95" s="74" t="s">
        <v>890</v>
      </c>
      <c r="O95" s="70" t="s">
        <v>891</v>
      </c>
      <c r="P95" s="73" t="s">
        <v>592</v>
      </c>
      <c r="Q95" s="27"/>
    </row>
    <row r="96" s="20" customFormat="1" ht="29" customHeight="1" spans="1:17">
      <c r="A96" s="72" t="s">
        <v>892</v>
      </c>
      <c r="B96" s="72" t="s">
        <v>512</v>
      </c>
      <c r="C96" s="73" t="s">
        <v>893</v>
      </c>
      <c r="D96" s="72" t="s">
        <v>20</v>
      </c>
      <c r="E96" s="73" t="s">
        <v>894</v>
      </c>
      <c r="F96" s="73" t="s">
        <v>519</v>
      </c>
      <c r="G96" s="73" t="s">
        <v>895</v>
      </c>
      <c r="H96" s="73" t="s">
        <v>521</v>
      </c>
      <c r="I96" s="73" t="s">
        <v>39</v>
      </c>
      <c r="J96" s="70" t="s">
        <v>342</v>
      </c>
      <c r="K96" s="107">
        <f>J96+10</f>
        <v>45840</v>
      </c>
      <c r="L96" s="98">
        <v>45849</v>
      </c>
      <c r="M96" s="52" t="s">
        <v>114</v>
      </c>
      <c r="N96" s="74" t="s">
        <v>896</v>
      </c>
      <c r="O96" s="73" t="s">
        <v>308</v>
      </c>
      <c r="P96" s="73" t="s">
        <v>592</v>
      </c>
      <c r="Q96" s="27" t="s">
        <v>17</v>
      </c>
    </row>
    <row r="97" s="20" customFormat="1" ht="29" customHeight="1" spans="1:17">
      <c r="A97" s="72" t="s">
        <v>897</v>
      </c>
      <c r="B97" s="72" t="s">
        <v>512</v>
      </c>
      <c r="C97" s="73" t="s">
        <v>898</v>
      </c>
      <c r="D97" s="72" t="s">
        <v>20</v>
      </c>
      <c r="E97" s="73" t="s">
        <v>899</v>
      </c>
      <c r="F97" s="74" t="s">
        <v>874</v>
      </c>
      <c r="G97" s="73" t="s">
        <v>900</v>
      </c>
      <c r="H97" s="73" t="s">
        <v>521</v>
      </c>
      <c r="I97" s="69" t="s">
        <v>333</v>
      </c>
      <c r="J97" s="70" t="s">
        <v>901</v>
      </c>
      <c r="K97" s="70" t="s">
        <v>901</v>
      </c>
      <c r="L97" s="98">
        <v>45835</v>
      </c>
      <c r="M97" s="52" t="s">
        <v>114</v>
      </c>
      <c r="N97" s="74" t="s">
        <v>902</v>
      </c>
      <c r="O97" s="70" t="s">
        <v>903</v>
      </c>
      <c r="P97" s="73" t="s">
        <v>592</v>
      </c>
      <c r="Q97" s="27"/>
    </row>
    <row r="98" s="20" customFormat="1" ht="29" customHeight="1" spans="1:17">
      <c r="A98" s="72" t="s">
        <v>904</v>
      </c>
      <c r="B98" s="72" t="s">
        <v>512</v>
      </c>
      <c r="C98" s="73" t="s">
        <v>905</v>
      </c>
      <c r="D98" s="72" t="s">
        <v>20</v>
      </c>
      <c r="E98" s="73" t="s">
        <v>906</v>
      </c>
      <c r="F98" s="74" t="s">
        <v>874</v>
      </c>
      <c r="G98" s="73" t="s">
        <v>907</v>
      </c>
      <c r="H98" s="74" t="s">
        <v>908</v>
      </c>
      <c r="I98" s="69" t="s">
        <v>333</v>
      </c>
      <c r="J98" s="70" t="s">
        <v>909</v>
      </c>
      <c r="K98" s="70" t="s">
        <v>909</v>
      </c>
      <c r="L98" s="63">
        <v>45839</v>
      </c>
      <c r="M98" s="52" t="s">
        <v>114</v>
      </c>
      <c r="N98" s="74" t="s">
        <v>910</v>
      </c>
      <c r="O98" s="70" t="s">
        <v>911</v>
      </c>
      <c r="P98" s="73" t="s">
        <v>592</v>
      </c>
      <c r="Q98" s="27"/>
    </row>
    <row r="99" s="20" customFormat="1" ht="29" customHeight="1" spans="1:17">
      <c r="A99" s="72" t="s">
        <v>912</v>
      </c>
      <c r="B99" s="72" t="s">
        <v>512</v>
      </c>
      <c r="C99" s="73" t="s">
        <v>913</v>
      </c>
      <c r="D99" s="72" t="s">
        <v>20</v>
      </c>
      <c r="E99" s="73" t="s">
        <v>873</v>
      </c>
      <c r="F99" s="74" t="s">
        <v>874</v>
      </c>
      <c r="G99" s="73" t="s">
        <v>914</v>
      </c>
      <c r="H99" s="73" t="s">
        <v>521</v>
      </c>
      <c r="I99" s="69" t="s">
        <v>333</v>
      </c>
      <c r="J99" s="70" t="s">
        <v>350</v>
      </c>
      <c r="K99" s="70" t="s">
        <v>350</v>
      </c>
      <c r="L99" s="98">
        <v>45843</v>
      </c>
      <c r="M99" s="52" t="s">
        <v>114</v>
      </c>
      <c r="N99" s="74" t="s">
        <v>915</v>
      </c>
      <c r="O99" s="73" t="s">
        <v>916</v>
      </c>
      <c r="P99" s="73" t="s">
        <v>592</v>
      </c>
      <c r="Q99" s="27"/>
    </row>
    <row r="100" s="20" customFormat="1" ht="29" customHeight="1" spans="1:17">
      <c r="A100" s="72" t="s">
        <v>917</v>
      </c>
      <c r="B100" s="72" t="s">
        <v>512</v>
      </c>
      <c r="C100" s="73" t="s">
        <v>918</v>
      </c>
      <c r="D100" s="72" t="s">
        <v>20</v>
      </c>
      <c r="E100" s="73" t="s">
        <v>919</v>
      </c>
      <c r="F100" s="74" t="s">
        <v>874</v>
      </c>
      <c r="G100" s="73">
        <v>92148965092</v>
      </c>
      <c r="H100" s="74" t="s">
        <v>920</v>
      </c>
      <c r="I100" s="69" t="s">
        <v>333</v>
      </c>
      <c r="J100" s="70" t="s">
        <v>921</v>
      </c>
      <c r="K100" s="70" t="s">
        <v>921</v>
      </c>
      <c r="L100" s="98">
        <v>45845</v>
      </c>
      <c r="M100" s="52" t="s">
        <v>114</v>
      </c>
      <c r="N100" s="74" t="s">
        <v>922</v>
      </c>
      <c r="O100" s="73" t="s">
        <v>923</v>
      </c>
      <c r="P100" s="73" t="s">
        <v>592</v>
      </c>
      <c r="Q100" s="27"/>
    </row>
    <row r="101" s="20" customFormat="1" ht="29" customHeight="1" spans="1:17">
      <c r="A101" s="72" t="s">
        <v>924</v>
      </c>
      <c r="B101" s="72" t="s">
        <v>512</v>
      </c>
      <c r="C101" s="73" t="s">
        <v>925</v>
      </c>
      <c r="D101" s="72" t="s">
        <v>20</v>
      </c>
      <c r="E101" s="73" t="s">
        <v>926</v>
      </c>
      <c r="F101" s="73" t="s">
        <v>519</v>
      </c>
      <c r="G101" s="73" t="s">
        <v>178</v>
      </c>
      <c r="H101" s="73" t="s">
        <v>927</v>
      </c>
      <c r="I101" s="69" t="s">
        <v>827</v>
      </c>
      <c r="J101" s="70" t="s">
        <v>928</v>
      </c>
      <c r="K101" s="70" t="s">
        <v>929</v>
      </c>
      <c r="L101" s="98">
        <v>45856</v>
      </c>
      <c r="M101" s="52" t="s">
        <v>114</v>
      </c>
      <c r="N101" s="74" t="s">
        <v>930</v>
      </c>
      <c r="O101" s="73" t="s">
        <v>931</v>
      </c>
      <c r="P101" s="73" t="s">
        <v>592</v>
      </c>
      <c r="Q101" s="27"/>
    </row>
    <row r="102" s="20" customFormat="1" ht="29" customHeight="1" spans="1:17">
      <c r="A102" s="72" t="s">
        <v>932</v>
      </c>
      <c r="B102" s="72" t="s">
        <v>512</v>
      </c>
      <c r="C102" s="73" t="s">
        <v>933</v>
      </c>
      <c r="D102" s="72" t="s">
        <v>20</v>
      </c>
      <c r="E102" s="73" t="s">
        <v>934</v>
      </c>
      <c r="F102" s="73" t="s">
        <v>519</v>
      </c>
      <c r="G102" s="73" t="s">
        <v>178</v>
      </c>
      <c r="H102" s="73" t="s">
        <v>927</v>
      </c>
      <c r="I102" s="69" t="s">
        <v>827</v>
      </c>
      <c r="J102" s="70" t="s">
        <v>935</v>
      </c>
      <c r="K102" s="70" t="s">
        <v>936</v>
      </c>
      <c r="L102" s="98">
        <v>45860</v>
      </c>
      <c r="M102" s="52" t="s">
        <v>114</v>
      </c>
      <c r="N102" s="74" t="s">
        <v>937</v>
      </c>
      <c r="O102" s="73" t="s">
        <v>938</v>
      </c>
      <c r="P102" s="73" t="s">
        <v>592</v>
      </c>
      <c r="Q102" s="27"/>
    </row>
    <row r="103" s="20" customFormat="1" ht="29" customHeight="1" spans="1:17">
      <c r="A103" s="72" t="s">
        <v>939</v>
      </c>
      <c r="B103" s="72" t="s">
        <v>512</v>
      </c>
      <c r="C103" s="73" t="s">
        <v>940</v>
      </c>
      <c r="D103" s="72" t="s">
        <v>20</v>
      </c>
      <c r="E103" s="73" t="s">
        <v>941</v>
      </c>
      <c r="F103" s="73" t="s">
        <v>874</v>
      </c>
      <c r="G103" s="73" t="s">
        <v>942</v>
      </c>
      <c r="H103" s="73" t="s">
        <v>927</v>
      </c>
      <c r="I103" s="69" t="s">
        <v>333</v>
      </c>
      <c r="J103" s="70" t="s">
        <v>943</v>
      </c>
      <c r="K103" s="70" t="s">
        <v>943</v>
      </c>
      <c r="L103" s="98">
        <v>45845</v>
      </c>
      <c r="M103" s="52" t="s">
        <v>114</v>
      </c>
      <c r="N103" s="74" t="s">
        <v>944</v>
      </c>
      <c r="O103" s="73" t="s">
        <v>945</v>
      </c>
      <c r="P103" s="73" t="s">
        <v>592</v>
      </c>
      <c r="Q103" s="27"/>
    </row>
    <row r="104" ht="32" customHeight="1" spans="1:17">
      <c r="A104" s="72" t="s">
        <v>946</v>
      </c>
      <c r="B104" s="72" t="s">
        <v>512</v>
      </c>
      <c r="C104" s="73" t="s">
        <v>947</v>
      </c>
      <c r="D104" s="72" t="s">
        <v>20</v>
      </c>
      <c r="E104" s="73" t="s">
        <v>330</v>
      </c>
      <c r="F104" s="73" t="s">
        <v>874</v>
      </c>
      <c r="G104" s="73" t="s">
        <v>948</v>
      </c>
      <c r="H104" s="73" t="s">
        <v>521</v>
      </c>
      <c r="I104" s="69" t="s">
        <v>333</v>
      </c>
      <c r="J104" s="70" t="s">
        <v>949</v>
      </c>
      <c r="K104" s="70" t="s">
        <v>949</v>
      </c>
      <c r="L104" s="98">
        <v>45860</v>
      </c>
      <c r="M104" s="52" t="s">
        <v>114</v>
      </c>
      <c r="N104" s="74" t="s">
        <v>950</v>
      </c>
      <c r="O104" s="73" t="s">
        <v>951</v>
      </c>
      <c r="P104" s="73" t="s">
        <v>592</v>
      </c>
    </row>
    <row r="105" ht="32" customHeight="1" spans="1:17">
      <c r="A105" s="72" t="s">
        <v>952</v>
      </c>
      <c r="B105" s="72" t="s">
        <v>512</v>
      </c>
      <c r="C105" s="73" t="s">
        <v>953</v>
      </c>
      <c r="D105" s="72" t="s">
        <v>20</v>
      </c>
      <c r="E105" s="73" t="s">
        <v>873</v>
      </c>
      <c r="F105" s="73" t="s">
        <v>874</v>
      </c>
      <c r="G105" s="73" t="s">
        <v>954</v>
      </c>
      <c r="H105" s="73" t="s">
        <v>521</v>
      </c>
      <c r="I105" s="69" t="s">
        <v>333</v>
      </c>
      <c r="J105" s="70" t="s">
        <v>955</v>
      </c>
      <c r="K105" s="70" t="s">
        <v>955</v>
      </c>
      <c r="L105" s="98">
        <v>45868</v>
      </c>
      <c r="M105" s="52" t="s">
        <v>114</v>
      </c>
      <c r="N105" s="74" t="s">
        <v>956</v>
      </c>
      <c r="O105" s="73" t="s">
        <v>957</v>
      </c>
      <c r="P105" s="73" t="s">
        <v>592</v>
      </c>
    </row>
    <row r="106" ht="32" customHeight="1" spans="1:17">
      <c r="A106" s="72" t="s">
        <v>958</v>
      </c>
      <c r="B106" s="72" t="s">
        <v>512</v>
      </c>
      <c r="C106" s="73" t="s">
        <v>959</v>
      </c>
      <c r="D106" s="72" t="s">
        <v>20</v>
      </c>
      <c r="E106" s="73" t="s">
        <v>960</v>
      </c>
      <c r="F106" s="73" t="s">
        <v>874</v>
      </c>
      <c r="G106" s="73" t="s">
        <v>961</v>
      </c>
      <c r="H106" s="73" t="s">
        <v>962</v>
      </c>
      <c r="I106" s="69" t="s">
        <v>333</v>
      </c>
      <c r="J106" s="70" t="s">
        <v>963</v>
      </c>
      <c r="K106" s="70" t="s">
        <v>963</v>
      </c>
      <c r="L106" s="98">
        <v>45866</v>
      </c>
      <c r="M106" s="52" t="s">
        <v>114</v>
      </c>
      <c r="N106" s="74" t="s">
        <v>964</v>
      </c>
      <c r="O106" s="73" t="s">
        <v>965</v>
      </c>
      <c r="P106" s="73" t="s">
        <v>592</v>
      </c>
    </row>
    <row r="107" ht="27" customHeight="1" spans="1:17">
      <c r="A107" s="72" t="s">
        <v>966</v>
      </c>
      <c r="B107" s="72" t="s">
        <v>512</v>
      </c>
      <c r="C107" s="73" t="s">
        <v>967</v>
      </c>
      <c r="D107" s="72" t="s">
        <v>20</v>
      </c>
      <c r="E107" s="73" t="s">
        <v>968</v>
      </c>
      <c r="F107" s="73" t="s">
        <v>874</v>
      </c>
      <c r="G107" s="73" t="s">
        <v>969</v>
      </c>
      <c r="H107" s="73" t="s">
        <v>962</v>
      </c>
      <c r="I107" s="69" t="s">
        <v>333</v>
      </c>
      <c r="J107" s="70" t="s">
        <v>970</v>
      </c>
      <c r="K107" s="70" t="s">
        <v>970</v>
      </c>
      <c r="L107" s="98">
        <v>45878</v>
      </c>
      <c r="M107" s="52" t="s">
        <v>114</v>
      </c>
      <c r="N107" s="74" t="s">
        <v>971</v>
      </c>
      <c r="O107" s="73" t="s">
        <v>972</v>
      </c>
      <c r="P107" s="73" t="s">
        <v>592</v>
      </c>
    </row>
    <row r="108" ht="29" customHeight="1" spans="1:17">
      <c r="A108" s="72" t="s">
        <v>973</v>
      </c>
      <c r="B108" s="72" t="s">
        <v>512</v>
      </c>
      <c r="C108" s="73" t="s">
        <v>974</v>
      </c>
      <c r="D108" s="72" t="s">
        <v>20</v>
      </c>
      <c r="E108" s="73" t="s">
        <v>975</v>
      </c>
      <c r="F108" s="73" t="s">
        <v>874</v>
      </c>
      <c r="G108" s="73" t="s">
        <v>976</v>
      </c>
      <c r="H108" s="73" t="s">
        <v>962</v>
      </c>
      <c r="I108" s="69" t="s">
        <v>333</v>
      </c>
      <c r="J108" s="70" t="s">
        <v>977</v>
      </c>
      <c r="K108" s="70" t="s">
        <v>977</v>
      </c>
      <c r="L108" s="98">
        <f t="shared" ref="L108:L112" si="0">K108+5</f>
        <v>45878</v>
      </c>
      <c r="M108" s="52" t="s">
        <v>114</v>
      </c>
      <c r="N108" s="74" t="s">
        <v>978</v>
      </c>
      <c r="O108" s="73" t="s">
        <v>979</v>
      </c>
      <c r="P108" s="73" t="s">
        <v>592</v>
      </c>
    </row>
    <row r="109" ht="29" customHeight="1" spans="1:17">
      <c r="A109" s="72" t="s">
        <v>980</v>
      </c>
      <c r="B109" s="72" t="s">
        <v>512</v>
      </c>
      <c r="C109" s="73" t="s">
        <v>981</v>
      </c>
      <c r="D109" s="72" t="s">
        <v>20</v>
      </c>
      <c r="E109" s="73" t="s">
        <v>982</v>
      </c>
      <c r="F109" s="73" t="s">
        <v>519</v>
      </c>
      <c r="G109" s="73" t="s">
        <v>178</v>
      </c>
      <c r="H109" s="73" t="s">
        <v>962</v>
      </c>
      <c r="I109" s="69" t="s">
        <v>333</v>
      </c>
      <c r="J109" s="70" t="s">
        <v>983</v>
      </c>
      <c r="K109" s="70" t="s">
        <v>984</v>
      </c>
      <c r="L109" s="98">
        <f>K109+7</f>
        <v>45903</v>
      </c>
      <c r="M109" s="52" t="s">
        <v>114</v>
      </c>
      <c r="N109" s="74" t="s">
        <v>985</v>
      </c>
      <c r="O109" s="73" t="s">
        <v>986</v>
      </c>
      <c r="P109" s="73" t="s">
        <v>592</v>
      </c>
    </row>
    <row r="110" ht="29" customHeight="1" spans="1:17">
      <c r="A110" s="72" t="s">
        <v>987</v>
      </c>
      <c r="B110" s="72" t="s">
        <v>512</v>
      </c>
      <c r="C110" s="73" t="s">
        <v>988</v>
      </c>
      <c r="D110" s="72" t="s">
        <v>20</v>
      </c>
      <c r="E110" s="73" t="s">
        <v>989</v>
      </c>
      <c r="F110" s="73" t="s">
        <v>874</v>
      </c>
      <c r="G110" s="73" t="s">
        <v>178</v>
      </c>
      <c r="H110" s="73" t="s">
        <v>962</v>
      </c>
      <c r="I110" s="69" t="s">
        <v>333</v>
      </c>
      <c r="J110" s="70" t="s">
        <v>990</v>
      </c>
      <c r="K110" s="70" t="s">
        <v>991</v>
      </c>
      <c r="L110" s="98">
        <f t="shared" si="0"/>
        <v>45911</v>
      </c>
      <c r="M110" s="52" t="s">
        <v>114</v>
      </c>
      <c r="N110" s="74" t="s">
        <v>992</v>
      </c>
      <c r="O110" s="73" t="s">
        <v>993</v>
      </c>
      <c r="P110" s="73" t="s">
        <v>592</v>
      </c>
    </row>
    <row r="111" ht="29" customHeight="1" spans="1:17">
      <c r="A111" s="72" t="s">
        <v>994</v>
      </c>
      <c r="B111" s="72" t="s">
        <v>512</v>
      </c>
      <c r="C111" s="73" t="s">
        <v>995</v>
      </c>
      <c r="D111" s="72" t="s">
        <v>20</v>
      </c>
      <c r="E111" s="73" t="s">
        <v>996</v>
      </c>
      <c r="F111" s="73" t="s">
        <v>874</v>
      </c>
      <c r="G111" s="73" t="s">
        <v>178</v>
      </c>
      <c r="H111" s="73" t="s">
        <v>962</v>
      </c>
      <c r="I111" s="69" t="s">
        <v>333</v>
      </c>
      <c r="J111" s="70" t="s">
        <v>997</v>
      </c>
      <c r="K111" s="70" t="s">
        <v>998</v>
      </c>
      <c r="L111" s="98">
        <v>45918</v>
      </c>
      <c r="M111" s="52" t="s">
        <v>114</v>
      </c>
      <c r="N111" s="74" t="s">
        <v>999</v>
      </c>
      <c r="O111" s="73" t="s">
        <v>1000</v>
      </c>
      <c r="P111" s="73" t="s">
        <v>592</v>
      </c>
    </row>
    <row r="112" ht="29" customHeight="1" spans="1:17">
      <c r="A112" s="72" t="s">
        <v>1001</v>
      </c>
      <c r="B112" s="72" t="s">
        <v>512</v>
      </c>
      <c r="C112" s="73" t="s">
        <v>1002</v>
      </c>
      <c r="D112" s="72" t="s">
        <v>20</v>
      </c>
      <c r="E112" s="73" t="s">
        <v>1003</v>
      </c>
      <c r="F112" s="73" t="s">
        <v>874</v>
      </c>
      <c r="G112" s="73" t="s">
        <v>178</v>
      </c>
      <c r="H112" s="73" t="s">
        <v>962</v>
      </c>
      <c r="I112" s="69" t="s">
        <v>333</v>
      </c>
      <c r="J112" s="70" t="s">
        <v>998</v>
      </c>
      <c r="K112" s="70" t="s">
        <v>1004</v>
      </c>
      <c r="L112" s="98">
        <v>45918</v>
      </c>
      <c r="M112" s="52" t="s">
        <v>114</v>
      </c>
      <c r="N112" s="74" t="s">
        <v>1005</v>
      </c>
      <c r="O112" s="73" t="s">
        <v>1006</v>
      </c>
      <c r="P112" s="73" t="s">
        <v>592</v>
      </c>
    </row>
    <row r="113" ht="29" customHeight="1" spans="1:16">
      <c r="A113" s="72" t="s">
        <v>1007</v>
      </c>
      <c r="B113" s="72" t="s">
        <v>512</v>
      </c>
      <c r="C113" s="73" t="s">
        <v>1008</v>
      </c>
      <c r="D113" s="72" t="s">
        <v>20</v>
      </c>
      <c r="E113" s="73" t="s">
        <v>1009</v>
      </c>
      <c r="F113" s="73" t="s">
        <v>874</v>
      </c>
      <c r="G113" s="73" t="s">
        <v>178</v>
      </c>
      <c r="H113" s="73" t="s">
        <v>962</v>
      </c>
      <c r="I113" s="69" t="s">
        <v>333</v>
      </c>
      <c r="J113" s="70" t="s">
        <v>1010</v>
      </c>
      <c r="K113" s="70" t="s">
        <v>1011</v>
      </c>
      <c r="L113" s="98">
        <v>45952</v>
      </c>
      <c r="M113" s="52" t="s">
        <v>114</v>
      </c>
      <c r="N113" s="74" t="s">
        <v>1012</v>
      </c>
      <c r="O113" s="73" t="s">
        <v>1013</v>
      </c>
      <c r="P113" s="73" t="s">
        <v>592</v>
      </c>
    </row>
    <row r="114" ht="29" customHeight="1" spans="1:16">
      <c r="A114" s="72" t="s">
        <v>1014</v>
      </c>
      <c r="B114" s="72" t="s">
        <v>512</v>
      </c>
      <c r="C114" s="73" t="s">
        <v>1015</v>
      </c>
      <c r="D114" s="72" t="s">
        <v>20</v>
      </c>
      <c r="E114" s="73" t="s">
        <v>1016</v>
      </c>
      <c r="F114" s="73" t="s">
        <v>874</v>
      </c>
      <c r="G114" s="73" t="s">
        <v>178</v>
      </c>
      <c r="H114" s="73" t="s">
        <v>962</v>
      </c>
      <c r="I114" s="69" t="s">
        <v>333</v>
      </c>
      <c r="J114" s="70" t="s">
        <v>1017</v>
      </c>
      <c r="K114" s="70" t="s">
        <v>1017</v>
      </c>
      <c r="L114" s="98">
        <v>45979</v>
      </c>
      <c r="M114" s="52" t="s">
        <v>114</v>
      </c>
      <c r="N114" s="74" t="s">
        <v>1018</v>
      </c>
      <c r="O114" s="73" t="s">
        <v>1000</v>
      </c>
      <c r="P114" s="73" t="s">
        <v>592</v>
      </c>
    </row>
    <row r="115" ht="29" customHeight="1" spans="1:16">
      <c r="A115" s="72" t="s">
        <v>1019</v>
      </c>
      <c r="B115" s="72" t="s">
        <v>512</v>
      </c>
      <c r="C115" s="73" t="s">
        <v>1020</v>
      </c>
      <c r="D115" s="72" t="s">
        <v>20</v>
      </c>
      <c r="E115" s="73" t="s">
        <v>1021</v>
      </c>
      <c r="F115" s="73" t="s">
        <v>874</v>
      </c>
      <c r="G115" s="73" t="s">
        <v>178</v>
      </c>
      <c r="H115" s="73" t="s">
        <v>962</v>
      </c>
      <c r="I115" s="69" t="s">
        <v>333</v>
      </c>
      <c r="J115" s="70" t="s">
        <v>1022</v>
      </c>
      <c r="K115" s="70" t="s">
        <v>1017</v>
      </c>
      <c r="L115" s="98">
        <v>45986</v>
      </c>
      <c r="M115" s="52" t="s">
        <v>114</v>
      </c>
      <c r="N115" s="74" t="s">
        <v>1023</v>
      </c>
      <c r="O115" s="73" t="s">
        <v>1024</v>
      </c>
      <c r="P115" s="73" t="s">
        <v>592</v>
      </c>
    </row>
    <row r="116" ht="29" customHeight="1" spans="1:16">
      <c r="A116" s="72" t="s">
        <v>1025</v>
      </c>
      <c r="B116" s="72" t="s">
        <v>512</v>
      </c>
      <c r="C116" s="73" t="s">
        <v>1026</v>
      </c>
      <c r="D116" s="72" t="s">
        <v>20</v>
      </c>
      <c r="E116" s="73" t="s">
        <v>941</v>
      </c>
      <c r="F116" s="73" t="s">
        <v>874</v>
      </c>
      <c r="G116" s="73" t="s">
        <v>178</v>
      </c>
      <c r="H116" s="73" t="s">
        <v>962</v>
      </c>
      <c r="I116" s="69" t="s">
        <v>333</v>
      </c>
      <c r="J116" s="70" t="s">
        <v>1027</v>
      </c>
      <c r="K116" s="70" t="s">
        <v>1027</v>
      </c>
      <c r="L116" s="70" t="s">
        <v>1028</v>
      </c>
      <c r="M116" s="52" t="s">
        <v>114</v>
      </c>
      <c r="N116" s="74" t="s">
        <v>1029</v>
      </c>
      <c r="O116" s="73" t="s">
        <v>1030</v>
      </c>
      <c r="P116" s="73" t="s">
        <v>592</v>
      </c>
    </row>
    <row r="117" ht="29" customHeight="1" spans="1:16">
      <c r="A117" s="72" t="s">
        <v>1031</v>
      </c>
      <c r="B117" s="72" t="s">
        <v>512</v>
      </c>
      <c r="C117" s="73" t="s">
        <v>1032</v>
      </c>
      <c r="D117" s="72" t="s">
        <v>20</v>
      </c>
      <c r="E117" s="73" t="s">
        <v>906</v>
      </c>
      <c r="F117" s="73" t="s">
        <v>874</v>
      </c>
      <c r="G117" s="73" t="s">
        <v>178</v>
      </c>
      <c r="H117" s="73" t="s">
        <v>962</v>
      </c>
      <c r="I117" s="69" t="s">
        <v>333</v>
      </c>
      <c r="J117" s="70" t="s">
        <v>1033</v>
      </c>
      <c r="K117" s="70" t="s">
        <v>1033</v>
      </c>
      <c r="L117" s="98">
        <v>45998</v>
      </c>
      <c r="M117" s="52" t="s">
        <v>114</v>
      </c>
      <c r="N117" s="74" t="s">
        <v>1034</v>
      </c>
      <c r="O117" s="73" t="s">
        <v>1035</v>
      </c>
      <c r="P117" s="73" t="s">
        <v>592</v>
      </c>
    </row>
    <row r="118" ht="29" customHeight="1" spans="1:16">
      <c r="A118" s="72" t="s">
        <v>1036</v>
      </c>
      <c r="B118" s="72" t="s">
        <v>512</v>
      </c>
      <c r="C118" s="73" t="s">
        <v>1037</v>
      </c>
      <c r="D118" s="72" t="s">
        <v>20</v>
      </c>
      <c r="E118" s="73" t="s">
        <v>906</v>
      </c>
      <c r="F118" s="73" t="s">
        <v>874</v>
      </c>
      <c r="G118" s="73" t="s">
        <v>178</v>
      </c>
      <c r="H118" s="73" t="s">
        <v>962</v>
      </c>
      <c r="I118" s="69" t="s">
        <v>333</v>
      </c>
      <c r="J118" s="70" t="s">
        <v>1038</v>
      </c>
      <c r="K118" s="70" t="s">
        <v>1038</v>
      </c>
      <c r="L118" s="98">
        <v>46007</v>
      </c>
      <c r="M118" s="52" t="s">
        <v>114</v>
      </c>
      <c r="N118" s="74" t="s">
        <v>1039</v>
      </c>
      <c r="O118" s="73" t="s">
        <v>1040</v>
      </c>
      <c r="P118" s="73" t="s">
        <v>592</v>
      </c>
    </row>
    <row r="119" ht="29" customHeight="1" spans="1:16">
      <c r="A119" s="72" t="s">
        <v>1041</v>
      </c>
      <c r="B119" s="72" t="s">
        <v>512</v>
      </c>
      <c r="C119" s="73" t="s">
        <v>1042</v>
      </c>
      <c r="D119" s="72" t="s">
        <v>20</v>
      </c>
      <c r="E119" s="73" t="s">
        <v>1043</v>
      </c>
      <c r="F119" s="73" t="s">
        <v>874</v>
      </c>
      <c r="G119" s="73" t="s">
        <v>178</v>
      </c>
      <c r="H119" s="73" t="s">
        <v>962</v>
      </c>
      <c r="I119" s="69" t="s">
        <v>333</v>
      </c>
      <c r="J119" s="70" t="s">
        <v>1044</v>
      </c>
      <c r="K119" s="70" t="s">
        <v>1044</v>
      </c>
      <c r="L119" s="98">
        <v>46021</v>
      </c>
      <c r="M119" s="52" t="s">
        <v>114</v>
      </c>
      <c r="N119" s="74" t="s">
        <v>1045</v>
      </c>
      <c r="O119" s="73" t="s">
        <v>1046</v>
      </c>
      <c r="P119" s="73" t="s">
        <v>592</v>
      </c>
    </row>
    <row r="120" ht="29" customHeight="1" spans="1:16">
      <c r="A120" s="72" t="s">
        <v>1047</v>
      </c>
      <c r="B120" s="72" t="s">
        <v>512</v>
      </c>
      <c r="C120" s="84" t="s">
        <v>1048</v>
      </c>
      <c r="D120" s="72" t="s">
        <v>20</v>
      </c>
      <c r="E120" s="73" t="s">
        <v>1049</v>
      </c>
      <c r="F120" s="73" t="s">
        <v>874</v>
      </c>
      <c r="G120" s="73" t="s">
        <v>178</v>
      </c>
      <c r="H120" s="73" t="s">
        <v>962</v>
      </c>
      <c r="I120" s="69" t="s">
        <v>333</v>
      </c>
      <c r="J120" s="70" t="s">
        <v>1050</v>
      </c>
      <c r="K120" s="70" t="s">
        <v>1050</v>
      </c>
      <c r="L120" s="98">
        <v>45677</v>
      </c>
      <c r="M120" s="52" t="s">
        <v>114</v>
      </c>
      <c r="N120" s="74" t="s">
        <v>1051</v>
      </c>
      <c r="O120" s="73" t="s">
        <v>1052</v>
      </c>
      <c r="P120" s="73" t="s">
        <v>592</v>
      </c>
    </row>
    <row r="121" ht="29" customHeight="1" spans="1:16">
      <c r="A121" s="72" t="s">
        <v>1053</v>
      </c>
      <c r="B121" s="72" t="s">
        <v>512</v>
      </c>
      <c r="C121" s="91"/>
      <c r="D121" s="72" t="s">
        <v>46</v>
      </c>
      <c r="E121" s="73" t="s">
        <v>178</v>
      </c>
      <c r="F121" s="74" t="s">
        <v>1054</v>
      </c>
      <c r="G121" s="73" t="s">
        <v>178</v>
      </c>
      <c r="H121" s="73" t="s">
        <v>962</v>
      </c>
      <c r="I121" s="69" t="s">
        <v>333</v>
      </c>
      <c r="J121" s="70" t="s">
        <v>1050</v>
      </c>
      <c r="K121" s="70" t="s">
        <v>1055</v>
      </c>
      <c r="L121" s="98">
        <v>46059</v>
      </c>
      <c r="M121" s="52" t="s">
        <v>114</v>
      </c>
      <c r="N121" s="74" t="s">
        <v>1056</v>
      </c>
      <c r="O121" s="73" t="s">
        <v>1057</v>
      </c>
      <c r="P121" s="73" t="s">
        <v>592</v>
      </c>
    </row>
  </sheetData>
  <autoFilter xmlns:etc="http://www.wps.cn/officeDocument/2017/etCustomData" ref="A2:P121" etc:filterBottomFollowUsedRange="0">
    <extLst/>
  </autoFilter>
  <mergeCells count="60">
    <mergeCell ref="B3:B5"/>
    <mergeCell ref="B9:B10"/>
    <mergeCell ref="B27:B29"/>
    <mergeCell ref="B32:B39"/>
    <mergeCell ref="B42:B43"/>
    <mergeCell ref="B45:B49"/>
    <mergeCell ref="B55:B59"/>
    <mergeCell ref="B60:B62"/>
    <mergeCell ref="B63:B66"/>
    <mergeCell ref="B67:B72"/>
    <mergeCell ref="B76:B84"/>
    <mergeCell ref="B85:B87"/>
    <mergeCell ref="C3:C5"/>
    <mergeCell ref="C9:C10"/>
    <mergeCell ref="C27:C29"/>
    <mergeCell ref="C42:C43"/>
    <mergeCell ref="C45:C49"/>
    <mergeCell ref="C51:C53"/>
    <mergeCell ref="C55:C59"/>
    <mergeCell ref="C60:C62"/>
    <mergeCell ref="C63:C66"/>
    <mergeCell ref="C67:C72"/>
    <mergeCell ref="C76:C84"/>
    <mergeCell ref="C85:C87"/>
    <mergeCell ref="C120:C121"/>
    <mergeCell ref="D45:D46"/>
    <mergeCell ref="D47:D48"/>
    <mergeCell ref="D63:D65"/>
    <mergeCell ref="D77:D78"/>
    <mergeCell ref="D79:D80"/>
    <mergeCell ref="D85:D86"/>
    <mergeCell ref="E45:E46"/>
    <mergeCell ref="E47:E48"/>
    <mergeCell ref="E63:E65"/>
    <mergeCell ref="E77:E78"/>
    <mergeCell ref="E79:E80"/>
    <mergeCell ref="E85:E86"/>
    <mergeCell ref="F45:F46"/>
    <mergeCell ref="F77:F78"/>
    <mergeCell ref="F79:F80"/>
    <mergeCell ref="F85:F86"/>
    <mergeCell ref="G9:G10"/>
    <mergeCell ref="G45:G46"/>
    <mergeCell ref="G79:G80"/>
    <mergeCell ref="H45:H46"/>
    <mergeCell ref="H79:H80"/>
    <mergeCell ref="I45:I46"/>
    <mergeCell ref="I79:I80"/>
    <mergeCell ref="J45:J46"/>
    <mergeCell ref="J63:J65"/>
    <mergeCell ref="J77:J78"/>
    <mergeCell ref="J79:J80"/>
    <mergeCell ref="K45:K46"/>
    <mergeCell ref="K63:K65"/>
    <mergeCell ref="K77:K78"/>
    <mergeCell ref="K79:K80"/>
    <mergeCell ref="L45:L46"/>
    <mergeCell ref="O9:O10"/>
    <mergeCell ref="P9:P10"/>
    <mergeCell ref="P79:P80"/>
  </mergeCells>
  <pageMargins left="0.75" right="0.75" top="1" bottom="1" header="0.5" footer="0.5"/>
  <pageSetup paperSize="9" scale="6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R6" sqref="R6:R77"/>
    </sheetView>
  </sheetViews>
  <sheetFormatPr defaultColWidth="8.25" defaultRowHeight="14"/>
  <cols>
    <col min="1" max="1" width="8.08333333333333" style="3" customWidth="1"/>
    <col min="2" max="2" width="11.5833333333333" style="5" customWidth="1"/>
    <col min="3" max="3" width="16.6666666666667" style="3" customWidth="1"/>
    <col min="4" max="5" width="21.3333333333333" style="3" customWidth="1"/>
    <col min="6" max="6" width="15" style="3" customWidth="1"/>
    <col min="7" max="7" width="8.25" style="3"/>
    <col min="8" max="8" width="16.75" style="3" customWidth="1"/>
    <col min="9" max="9" width="8.41666666666667" style="3"/>
    <col min="10" max="16384" width="8.25" style="3"/>
  </cols>
  <sheetData>
    <row r="1" s="3" customFormat="1" spans="1:11">
      <c r="A1" s="6" t="s">
        <v>1058</v>
      </c>
      <c r="B1" s="7" t="s">
        <v>1059</v>
      </c>
      <c r="C1" s="6" t="s">
        <v>1060</v>
      </c>
      <c r="D1" s="6" t="s">
        <v>1061</v>
      </c>
      <c r="E1" s="6" t="s">
        <v>1062</v>
      </c>
      <c r="F1" s="6" t="s">
        <v>1063</v>
      </c>
      <c r="G1" s="6" t="s">
        <v>1064</v>
      </c>
      <c r="H1" s="6" t="s">
        <v>1065</v>
      </c>
    </row>
    <row r="2" s="3" customFormat="1" spans="1:11">
      <c r="A2" s="8" t="s">
        <v>1066</v>
      </c>
      <c r="B2" s="9">
        <f t="shared" ref="B2:B20" si="0">C2-7</f>
        <v>45405</v>
      </c>
      <c r="C2" s="10">
        <v>45412</v>
      </c>
      <c r="D2" s="10">
        <v>45431</v>
      </c>
      <c r="E2" s="10">
        <f>D2+3</f>
        <v>45434</v>
      </c>
      <c r="F2" s="8">
        <v>15</v>
      </c>
      <c r="G2" s="8"/>
      <c r="H2" s="8" t="s">
        <v>1067</v>
      </c>
      <c r="I2" s="3" t="s">
        <v>1068</v>
      </c>
      <c r="J2" s="3" t="s">
        <v>1069</v>
      </c>
      <c r="K2" s="3" t="s">
        <v>1070</v>
      </c>
    </row>
    <row r="3" s="3" customFormat="1" spans="1:11">
      <c r="A3" s="8" t="s">
        <v>1071</v>
      </c>
      <c r="B3" s="9">
        <f t="shared" si="0"/>
        <v>45414</v>
      </c>
      <c r="C3" s="10">
        <v>45421</v>
      </c>
      <c r="D3" s="10">
        <v>45438</v>
      </c>
      <c r="E3" s="10">
        <f>D3+3</f>
        <v>45441</v>
      </c>
      <c r="F3" s="8">
        <v>12</v>
      </c>
      <c r="G3" s="8"/>
      <c r="H3" s="8" t="s">
        <v>1067</v>
      </c>
      <c r="I3" s="3">
        <v>131.036</v>
      </c>
      <c r="J3" s="3" t="s">
        <v>1069</v>
      </c>
      <c r="K3" s="3" t="s">
        <v>1070</v>
      </c>
    </row>
    <row r="4" s="3" customFormat="1" spans="1:11">
      <c r="A4" s="8" t="s">
        <v>1072</v>
      </c>
      <c r="B4" s="9">
        <f t="shared" si="0"/>
        <v>45432</v>
      </c>
      <c r="C4" s="11">
        <v>45439</v>
      </c>
      <c r="D4" s="10">
        <v>45460</v>
      </c>
      <c r="E4" s="10">
        <f>D4+3</f>
        <v>45463</v>
      </c>
      <c r="F4" s="8">
        <v>6</v>
      </c>
      <c r="G4" s="8"/>
      <c r="H4" s="8" t="s">
        <v>1067</v>
      </c>
      <c r="I4" s="3">
        <v>78.98</v>
      </c>
      <c r="J4" s="3" t="s">
        <v>1069</v>
      </c>
      <c r="K4" s="3" t="s">
        <v>1073</v>
      </c>
    </row>
    <row r="5" s="4" customFormat="1" spans="1:11">
      <c r="A5" s="8" t="s">
        <v>1074</v>
      </c>
      <c r="B5" s="9">
        <f t="shared" si="0"/>
        <v>45444</v>
      </c>
      <c r="C5" s="10">
        <v>45451</v>
      </c>
      <c r="D5" s="10">
        <v>45482</v>
      </c>
      <c r="E5" s="10">
        <f>D5+3</f>
        <v>45485</v>
      </c>
      <c r="F5" s="8">
        <v>14</v>
      </c>
      <c r="G5" s="8"/>
      <c r="H5" s="8" t="s">
        <v>1067</v>
      </c>
      <c r="I5" s="3">
        <v>209.785</v>
      </c>
      <c r="J5" s="3" t="s">
        <v>1069</v>
      </c>
      <c r="K5" s="3" t="s">
        <v>1073</v>
      </c>
    </row>
    <row r="6" s="4" customFormat="1" spans="1:11">
      <c r="A6" s="8" t="s">
        <v>1075</v>
      </c>
      <c r="B6" s="9">
        <f t="shared" si="0"/>
        <v>45449</v>
      </c>
      <c r="C6" s="10">
        <v>45456</v>
      </c>
      <c r="D6" s="10">
        <v>45493</v>
      </c>
      <c r="E6" s="10">
        <f>D6+3</f>
        <v>45496</v>
      </c>
      <c r="F6" s="8">
        <v>15</v>
      </c>
      <c r="G6" s="12"/>
      <c r="H6" s="8" t="s">
        <v>1067</v>
      </c>
      <c r="I6" s="3">
        <v>212.492</v>
      </c>
      <c r="J6" s="3" t="s">
        <v>1069</v>
      </c>
      <c r="K6" s="3" t="s">
        <v>1076</v>
      </c>
    </row>
    <row r="7" s="3" customFormat="1" spans="1:11">
      <c r="A7" s="8" t="s">
        <v>1077</v>
      </c>
      <c r="B7" s="9">
        <v>45481</v>
      </c>
      <c r="C7" s="13">
        <v>45491</v>
      </c>
      <c r="D7" s="14" t="s">
        <v>173</v>
      </c>
      <c r="E7" s="14" t="s">
        <v>154</v>
      </c>
      <c r="F7" s="8">
        <v>15</v>
      </c>
      <c r="G7" s="8"/>
      <c r="H7" s="15" t="s">
        <v>1078</v>
      </c>
      <c r="I7" s="3">
        <v>210</v>
      </c>
      <c r="J7" s="3" t="s">
        <v>1069</v>
      </c>
      <c r="K7" s="3" t="s">
        <v>1079</v>
      </c>
    </row>
    <row r="8" s="3" customFormat="1" spans="1:11">
      <c r="A8" s="8" t="s">
        <v>1080</v>
      </c>
      <c r="B8" s="9">
        <f t="shared" si="0"/>
        <v>45488</v>
      </c>
      <c r="C8" s="13">
        <v>45495</v>
      </c>
      <c r="D8" s="14" t="s">
        <v>173</v>
      </c>
      <c r="E8" s="14" t="s">
        <v>154</v>
      </c>
      <c r="F8" s="8">
        <v>10</v>
      </c>
      <c r="G8" s="8"/>
      <c r="H8" s="15" t="s">
        <v>1078</v>
      </c>
      <c r="I8" s="3">
        <v>132.6</v>
      </c>
      <c r="J8" s="3" t="s">
        <v>1069</v>
      </c>
      <c r="K8" s="3" t="s">
        <v>1081</v>
      </c>
    </row>
    <row r="9" s="3" customFormat="1" spans="1:11">
      <c r="A9" s="8" t="s">
        <v>1082</v>
      </c>
      <c r="B9" s="9">
        <f t="shared" si="0"/>
        <v>45496</v>
      </c>
      <c r="C9" s="13">
        <v>45503</v>
      </c>
      <c r="D9" s="14" t="s">
        <v>217</v>
      </c>
      <c r="E9" s="14" t="s">
        <v>565</v>
      </c>
      <c r="F9" s="8">
        <v>10</v>
      </c>
      <c r="G9" s="8"/>
      <c r="H9" s="15" t="s">
        <v>1078</v>
      </c>
      <c r="I9" s="3">
        <v>105.575</v>
      </c>
      <c r="J9" s="3" t="s">
        <v>1069</v>
      </c>
      <c r="K9" s="3" t="s">
        <v>1083</v>
      </c>
    </row>
    <row r="10" s="3" customFormat="1" spans="1:11">
      <c r="A10" s="8" t="s">
        <v>1084</v>
      </c>
      <c r="B10" s="16">
        <v>45525</v>
      </c>
      <c r="C10" s="16">
        <f t="shared" ref="C10:C16" si="1">B10+7</f>
        <v>45532</v>
      </c>
      <c r="D10" s="17">
        <f t="shared" ref="D10:D16" si="2">C10+18</f>
        <v>45550</v>
      </c>
      <c r="E10" s="17">
        <f t="shared" ref="E10:E16" si="3">D10+3</f>
        <v>45553</v>
      </c>
      <c r="F10" s="15">
        <v>39</v>
      </c>
      <c r="G10" s="8"/>
      <c r="H10" s="15" t="s">
        <v>1085</v>
      </c>
      <c r="K10" s="3" t="s">
        <v>1086</v>
      </c>
    </row>
    <row r="11" s="3" customFormat="1" spans="1:11">
      <c r="A11" s="8" t="s">
        <v>1087</v>
      </c>
      <c r="B11" s="16">
        <v>45547</v>
      </c>
      <c r="C11" s="16">
        <f t="shared" si="1"/>
        <v>45554</v>
      </c>
      <c r="D11" s="17">
        <f t="shared" si="2"/>
        <v>45572</v>
      </c>
      <c r="E11" s="17">
        <f t="shared" si="3"/>
        <v>45575</v>
      </c>
      <c r="F11" s="15">
        <v>25</v>
      </c>
      <c r="G11" s="8"/>
      <c r="H11" s="8"/>
      <c r="K11" s="3" t="s">
        <v>1088</v>
      </c>
    </row>
    <row r="12" s="3" customFormat="1" spans="1:11">
      <c r="A12" s="8" t="s">
        <v>1089</v>
      </c>
      <c r="B12" s="16">
        <f t="shared" ref="B12:B15" si="4">B11+14</f>
        <v>45561</v>
      </c>
      <c r="C12" s="16">
        <f t="shared" si="1"/>
        <v>45568</v>
      </c>
      <c r="D12" s="17">
        <f t="shared" si="2"/>
        <v>45586</v>
      </c>
      <c r="E12" s="17">
        <f t="shared" si="3"/>
        <v>45589</v>
      </c>
      <c r="F12" s="15">
        <v>25</v>
      </c>
      <c r="G12" s="8"/>
      <c r="H12" s="8"/>
      <c r="K12" s="3" t="s">
        <v>1088</v>
      </c>
    </row>
    <row r="13" s="3" customFormat="1" spans="1:11">
      <c r="A13" s="8" t="s">
        <v>1090</v>
      </c>
      <c r="B13" s="16">
        <f t="shared" si="4"/>
        <v>45575</v>
      </c>
      <c r="C13" s="16">
        <f t="shared" si="1"/>
        <v>45582</v>
      </c>
      <c r="D13" s="17">
        <f t="shared" si="2"/>
        <v>45600</v>
      </c>
      <c r="E13" s="17">
        <f t="shared" si="3"/>
        <v>45603</v>
      </c>
      <c r="F13" s="15">
        <v>30</v>
      </c>
      <c r="G13" s="8"/>
      <c r="H13" s="8"/>
      <c r="K13" s="3" t="s">
        <v>1088</v>
      </c>
    </row>
    <row r="14" s="3" customFormat="1" spans="1:11">
      <c r="A14" s="8" t="s">
        <v>1091</v>
      </c>
      <c r="B14" s="16">
        <f t="shared" si="4"/>
        <v>45589</v>
      </c>
      <c r="C14" s="16">
        <f t="shared" si="1"/>
        <v>45596</v>
      </c>
      <c r="D14" s="17">
        <f t="shared" si="2"/>
        <v>45614</v>
      </c>
      <c r="E14" s="17">
        <f t="shared" si="3"/>
        <v>45617</v>
      </c>
      <c r="F14" s="15">
        <v>30</v>
      </c>
      <c r="G14" s="8"/>
      <c r="H14" s="8"/>
      <c r="K14" s="3" t="s">
        <v>1088</v>
      </c>
    </row>
    <row r="15" s="3" customFormat="1" spans="1:11">
      <c r="A15" s="8" t="s">
        <v>1092</v>
      </c>
      <c r="B15" s="16">
        <f t="shared" si="4"/>
        <v>45603</v>
      </c>
      <c r="C15" s="16">
        <f t="shared" si="1"/>
        <v>45610</v>
      </c>
      <c r="D15" s="17">
        <f t="shared" si="2"/>
        <v>45628</v>
      </c>
      <c r="E15" s="17">
        <f t="shared" si="3"/>
        <v>45631</v>
      </c>
      <c r="F15" s="15">
        <v>30</v>
      </c>
      <c r="G15" s="8"/>
      <c r="H15" s="8"/>
      <c r="K15" s="3" t="s">
        <v>1088</v>
      </c>
    </row>
    <row r="16" s="3" customFormat="1" spans="1:11">
      <c r="A16" s="8" t="s">
        <v>1093</v>
      </c>
      <c r="B16" s="16">
        <f>B15+7</f>
        <v>45610</v>
      </c>
      <c r="C16" s="16">
        <f t="shared" si="1"/>
        <v>45617</v>
      </c>
      <c r="D16" s="17">
        <f t="shared" si="2"/>
        <v>45635</v>
      </c>
      <c r="E16" s="17">
        <f t="shared" si="3"/>
        <v>45638</v>
      </c>
      <c r="F16" s="15">
        <v>25</v>
      </c>
      <c r="G16" s="8"/>
      <c r="H16" s="8"/>
      <c r="K16" s="3" t="s">
        <v>1088</v>
      </c>
    </row>
    <row r="17" s="3" customFormat="1" spans="1:8">
      <c r="A17" s="18" t="s">
        <v>1094</v>
      </c>
      <c r="B17" s="19"/>
      <c r="C17" s="18"/>
      <c r="D17" s="18"/>
      <c r="E17" s="18"/>
      <c r="F17" s="18"/>
      <c r="G17" s="18"/>
      <c r="H17" s="18"/>
    </row>
  </sheetData>
  <mergeCells count="1">
    <mergeCell ref="A17:H1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R6" sqref="R6:R77"/>
    </sheetView>
  </sheetViews>
  <sheetFormatPr defaultColWidth="8.66666666666667" defaultRowHeight="14" outlineLevelRow="5" outlineLevelCol="1"/>
  <cols>
    <col min="1" max="1" width="4.91666666666667" customWidth="1"/>
    <col min="2" max="2" width="12.25" style="1" customWidth="1"/>
  </cols>
  <sheetData>
    <row r="1" spans="1:2">
      <c r="A1" t="s">
        <v>17</v>
      </c>
      <c r="B1" s="2" t="s">
        <v>1095</v>
      </c>
    </row>
    <row r="2" spans="1:2">
      <c r="A2" t="s">
        <v>33</v>
      </c>
      <c r="B2" s="2" t="s">
        <v>1096</v>
      </c>
    </row>
    <row r="3" spans="1:2">
      <c r="A3" t="s">
        <v>45</v>
      </c>
      <c r="B3" s="2" t="s">
        <v>1097</v>
      </c>
    </row>
    <row r="4" spans="1:2">
      <c r="A4" t="s">
        <v>54</v>
      </c>
      <c r="B4" s="2" t="s">
        <v>1098</v>
      </c>
    </row>
    <row r="5" spans="1:2">
      <c r="A5" t="s">
        <v>65</v>
      </c>
      <c r="B5" s="2" t="s">
        <v>1099</v>
      </c>
    </row>
    <row r="6" spans="1:2">
      <c r="A6" t="s">
        <v>74</v>
      </c>
      <c r="B6" s="1" t="s">
        <v>1100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Free Issued</vt:lpstr>
      <vt:lpstr>PCC Purchased</vt:lpstr>
      <vt:lpstr>乙供钢结构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P - List of Owner Procured Items (Free Issued) (Rev7).xlsx</dc:title>
  <dc:creator>Yuxun Yuan</dc:creator>
  <cp:lastModifiedBy>Stephanie</cp:lastModifiedBy>
  <dcterms:created xsi:type="dcterms:W3CDTF">2023-11-09T17:36:00Z</dcterms:created>
  <cp:lastPrinted>2024-01-31T15:04:00Z</cp:lastPrinted>
  <dcterms:modified xsi:type="dcterms:W3CDTF">2026-04-17T02:21:26Z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2023-11-11T06:06:27Z</vt:filetime>
  </property>
  <property fmtid="{D5CDD505-2E9C-101B-9397-08002B2CF9AE}" pid="4" name="ICV">
    <vt:lpwstr>643830972E5C4BB1BB08B2FE63B9D835</vt:lpwstr>
  </property>
  <property fmtid="{D5CDD505-2E9C-101B-9397-08002B2CF9AE}" pid="5" name="KSOProductBuildVer">
    <vt:lpwstr>2052-12.1.0.25865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