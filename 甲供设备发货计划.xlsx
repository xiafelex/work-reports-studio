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甲供设备材料清单" sheetId="3" r:id="rId1"/>
    <sheet name="乙供钢结构" sheetId="7" state="hidden" r:id="rId2"/>
    <sheet name="Sheet1" sheetId="6" state="hidden" r:id="rId3"/>
  </sheets>
  <definedNames>
    <definedName name="_xlnm._FilterDatabase" localSheetId="0" hidden="1">甲供设备材料清单!$A$1:$AF$352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G275" authorId="0">
      <text>
        <r>
          <rPr>
            <sz val="9"/>
            <rFont val="宋体"/>
            <charset val="134"/>
          </rPr>
          <t>2 of them has been sent in the 1st batch</t>
        </r>
      </text>
    </comment>
    <comment ref="T345" authorId="0">
      <text>
        <r>
          <rPr>
            <sz val="9"/>
            <rFont val="宋体"/>
            <charset val="134"/>
          </rPr>
          <t xml:space="preserve">先发程控阀，吸附剂等需要使用的时候再发
</t>
        </r>
      </text>
    </comment>
  </commentList>
</comments>
</file>

<file path=xl/sharedStrings.xml><?xml version="1.0" encoding="utf-8"?>
<sst xmlns="http://schemas.openxmlformats.org/spreadsheetml/2006/main" count="7065" uniqueCount="1661">
  <si>
    <t>Item no.</t>
  </si>
  <si>
    <t>Equipment
Tag No</t>
  </si>
  <si>
    <t>Equipment Tag
No (2)</t>
  </si>
  <si>
    <t>Category</t>
  </si>
  <si>
    <t>Chinese</t>
  </si>
  <si>
    <t>Machinery &amp; Equipment Description</t>
  </si>
  <si>
    <t>Quantity</t>
  </si>
  <si>
    <t>UOM</t>
  </si>
  <si>
    <t>Incoterms for Import
Goods</t>
  </si>
  <si>
    <t>Country of
Origin</t>
  </si>
  <si>
    <t>Contract No.</t>
  </si>
  <si>
    <r>
      <rPr>
        <b/>
        <sz val="6"/>
        <rFont val="Calibri"/>
        <charset val="134"/>
      </rPr>
      <t xml:space="preserve">Estimated Earliest
Delivery Date
</t>
    </r>
    <r>
      <rPr>
        <b/>
        <sz val="6"/>
        <rFont val="Microsoft YaHei"/>
        <charset val="134"/>
      </rPr>
      <t>（</t>
    </r>
    <r>
      <rPr>
        <b/>
        <sz val="6"/>
        <rFont val="Calibri"/>
        <charset val="134"/>
      </rPr>
      <t>FOB China</t>
    </r>
    <r>
      <rPr>
        <b/>
        <sz val="6"/>
        <rFont val="Microsoft YaHei"/>
        <charset val="134"/>
      </rPr>
      <t>）</t>
    </r>
  </si>
  <si>
    <r>
      <rPr>
        <b/>
        <sz val="6"/>
        <rFont val="Calibri"/>
        <charset val="134"/>
      </rPr>
      <t xml:space="preserve">Lastest PCC To
Collect Date
</t>
    </r>
    <r>
      <rPr>
        <b/>
        <sz val="6"/>
        <rFont val="Microsoft YaHei"/>
        <charset val="134"/>
      </rPr>
      <t>（</t>
    </r>
    <r>
      <rPr>
        <b/>
        <sz val="6"/>
        <rFont val="Calibri"/>
        <charset val="134"/>
      </rPr>
      <t>FOB China</t>
    </r>
    <r>
      <rPr>
        <b/>
        <sz val="6"/>
        <rFont val="Microsoft YaHei"/>
        <charset val="134"/>
      </rPr>
      <t>）</t>
    </r>
  </si>
  <si>
    <t>Manuacturer</t>
  </si>
  <si>
    <t>厂家计划反馈装箱单时间
Packing list readiness</t>
  </si>
  <si>
    <r>
      <rPr>
        <b/>
        <sz val="6"/>
        <rFont val="宋体"/>
        <charset val="134"/>
      </rPr>
      <t>计划到场时间</t>
    </r>
    <r>
      <rPr>
        <b/>
        <sz val="6"/>
        <rFont val="Arial"/>
        <charset val="134"/>
      </rPr>
      <t>On site reception time</t>
    </r>
  </si>
  <si>
    <t>Depature Port</t>
  </si>
  <si>
    <t>Arrival Port</t>
  </si>
  <si>
    <r>
      <rPr>
        <b/>
        <sz val="6"/>
        <rFont val="宋体"/>
        <charset val="134"/>
      </rPr>
      <t>船舶形式</t>
    </r>
    <r>
      <rPr>
        <b/>
        <sz val="6"/>
        <rFont val="Calibri"/>
        <charset val="134"/>
      </rPr>
      <t xml:space="preserve">
Type of Ships</t>
    </r>
  </si>
  <si>
    <r>
      <rPr>
        <b/>
        <sz val="6"/>
        <rFont val="宋体"/>
        <charset val="134"/>
      </rPr>
      <t>集港时间</t>
    </r>
    <r>
      <rPr>
        <b/>
        <sz val="6"/>
        <rFont val="Calibri"/>
        <charset val="134"/>
      </rPr>
      <t>Arrive to departure port</t>
    </r>
  </si>
  <si>
    <r>
      <rPr>
        <b/>
        <sz val="6"/>
        <rFont val="宋体"/>
        <charset val="134"/>
      </rPr>
      <t>预计发船时间</t>
    </r>
    <r>
      <rPr>
        <b/>
        <sz val="6"/>
        <rFont val="Calibri"/>
        <charset val="134"/>
      </rPr>
      <t>ETD</t>
    </r>
  </si>
  <si>
    <r>
      <rPr>
        <b/>
        <sz val="6"/>
        <rFont val="宋体"/>
        <charset val="134"/>
      </rPr>
      <t>预计到港时间</t>
    </r>
    <r>
      <rPr>
        <b/>
        <sz val="6"/>
        <rFont val="Calibri"/>
        <charset val="134"/>
      </rPr>
      <t>ETA</t>
    </r>
  </si>
  <si>
    <r>
      <rPr>
        <b/>
        <sz val="6"/>
        <rFont val="宋体"/>
        <charset val="134"/>
      </rPr>
      <t>预计到场时间</t>
    </r>
    <r>
      <rPr>
        <b/>
        <sz val="6"/>
        <rFont val="Calibri"/>
        <charset val="134"/>
      </rPr>
      <t>Arrive to the site</t>
    </r>
  </si>
  <si>
    <t>Remark</t>
  </si>
  <si>
    <r>
      <rPr>
        <b/>
        <sz val="6"/>
        <rFont val="宋体"/>
        <charset val="134"/>
      </rPr>
      <t>批次</t>
    </r>
    <r>
      <rPr>
        <b/>
        <sz val="6"/>
        <rFont val="Calibri"/>
        <charset val="134"/>
      </rPr>
      <t>batch</t>
    </r>
  </si>
  <si>
    <t>Description on the Lampriran III</t>
  </si>
  <si>
    <t>Item No. on Lampriran III</t>
  </si>
  <si>
    <t>EC 
Comments
3.19</t>
  </si>
  <si>
    <t>已发货数量Shipped quantity</t>
  </si>
  <si>
    <t>未发货数量Unshipped quantity</t>
  </si>
  <si>
    <t>船名航次</t>
  </si>
  <si>
    <t>提单号</t>
  </si>
  <si>
    <t>Mechanical</t>
  </si>
  <si>
    <t>K8301</t>
  </si>
  <si>
    <t>RFP</t>
  </si>
  <si>
    <t>循环氢压缩机</t>
  </si>
  <si>
    <t>Hydrogenation Recycle Gas Compressor</t>
  </si>
  <si>
    <t>set</t>
  </si>
  <si>
    <t>FOB China</t>
  </si>
  <si>
    <t>China</t>
  </si>
  <si>
    <t>ECO-MAS-HVO-C-E-22005</t>
  </si>
  <si>
    <t>30/11/2023</t>
  </si>
  <si>
    <t>28/02/2024</t>
  </si>
  <si>
    <r>
      <rPr>
        <sz val="6"/>
        <rFont val="宋体"/>
        <charset val="134"/>
      </rPr>
      <t>沈阳鼓风机机电设备进出口有限公司，沈阳透平机械股份有限公司</t>
    </r>
  </si>
  <si>
    <t>已收到</t>
  </si>
  <si>
    <t>Shanghai 上海</t>
  </si>
  <si>
    <t>TLP</t>
  </si>
  <si>
    <t>散杂货船Cargo Ship</t>
  </si>
  <si>
    <t>5</t>
  </si>
  <si>
    <t>✔</t>
  </si>
  <si>
    <r>
      <rPr>
        <sz val="6"/>
        <rFont val="Arial"/>
        <charset val="134"/>
      </rPr>
      <t>MV.NAGAMOTO(</t>
    </r>
    <r>
      <rPr>
        <sz val="6"/>
        <rFont val="宋体"/>
        <charset val="134"/>
      </rPr>
      <t>永源</t>
    </r>
    <r>
      <rPr>
        <sz val="6"/>
        <rFont val="Arial"/>
        <charset val="134"/>
      </rPr>
      <t>) </t>
    </r>
  </si>
  <si>
    <t>NG24228SHATLA06</t>
  </si>
  <si>
    <t>K8302ab</t>
  </si>
  <si>
    <t>新氢压缩机</t>
  </si>
  <si>
    <t>Hydrogenation Makeup Gas Compressor</t>
  </si>
  <si>
    <t>ECO-MAS-HVO-C-E-22006</t>
  </si>
  <si>
    <t>31/01/2024</t>
  </si>
  <si>
    <r>
      <rPr>
        <sz val="6"/>
        <rFont val="宋体"/>
        <charset val="134"/>
      </rPr>
      <t>沈阳远大压缩机有限公司</t>
    </r>
  </si>
  <si>
    <t>Hydrogenation Makeup Gas Compressor c/w accessories</t>
  </si>
  <si>
    <t>NG24228SHATLA03</t>
  </si>
  <si>
    <t>K8303ab</t>
  </si>
  <si>
    <t>异构化循环氢压缩机</t>
  </si>
  <si>
    <t>Isomerisation Recycle Gas Compressor</t>
  </si>
  <si>
    <t>K8304ab</t>
  </si>
  <si>
    <t>异构化新氢压缩机</t>
  </si>
  <si>
    <t>Isomerisation Makeup Gas Compressor</t>
  </si>
  <si>
    <t>Pasir Gudang</t>
  </si>
  <si>
    <t>集装箱船Container Ship</t>
  </si>
  <si>
    <t>SEASPAN LUMACO V.426S</t>
  </si>
  <si>
    <t>241149679</t>
  </si>
  <si>
    <t>K8305ab</t>
  </si>
  <si>
    <t>天然气压缩机</t>
  </si>
  <si>
    <t>Natural Gas Compressor</t>
  </si>
  <si>
    <t>CPK8501</t>
  </si>
  <si>
    <t>膜分离提氢成套装置
含三套中空纤维氢分离膜 ）</t>
  </si>
  <si>
    <t>Membrane Separation Unit</t>
  </si>
  <si>
    <t>ECO-MAS-HVO-C-E-22007
ECO-MAS-HVO-C-E-23028</t>
  </si>
  <si>
    <t>30/01/2024</t>
  </si>
  <si>
    <r>
      <rPr>
        <sz val="6"/>
        <rFont val="宋体"/>
        <charset val="134"/>
      </rPr>
      <t>大连欧科膜技术工程有限公司</t>
    </r>
  </si>
  <si>
    <t>2-2</t>
  </si>
  <si>
    <r>
      <rPr>
        <sz val="6"/>
        <rFont val="Arial"/>
        <charset val="134"/>
      </rPr>
      <t>MV  MIMASAKA</t>
    </r>
    <r>
      <rPr>
        <sz val="6"/>
        <rFont val="宋体"/>
        <charset val="134"/>
      </rPr>
      <t>Ⅲ</t>
    </r>
    <r>
      <rPr>
        <sz val="6"/>
        <rFont val="Arial"/>
        <charset val="134"/>
      </rPr>
      <t xml:space="preserve">/9562831 </t>
    </r>
  </si>
  <si>
    <t>MMS24128SHATLA08</t>
  </si>
  <si>
    <t>/</t>
  </si>
  <si>
    <t>反应器内件</t>
  </si>
  <si>
    <t>Reactor Internal</t>
  </si>
  <si>
    <t>ECO-MAS-HVO-C-E-22008</t>
  </si>
  <si>
    <r>
      <rPr>
        <sz val="6"/>
        <rFont val="宋体"/>
        <charset val="134"/>
      </rPr>
      <t>抚顺市炼化配件厂</t>
    </r>
  </si>
  <si>
    <r>
      <rPr>
        <b/>
        <sz val="5"/>
        <rFont val="宋体"/>
        <charset val="134"/>
      </rPr>
      <t>重件散杂货船</t>
    </r>
    <r>
      <rPr>
        <b/>
        <sz val="5"/>
        <rFont val="Calibri"/>
        <charset val="134"/>
      </rPr>
      <t>Heavy Cargo Ship</t>
    </r>
  </si>
  <si>
    <t>6</t>
  </si>
  <si>
    <t>MV.MIKAWA</t>
  </si>
  <si>
    <t>MKW24273CSTJLS04</t>
  </si>
  <si>
    <t>R8101</t>
  </si>
  <si>
    <t>加氢反应器（一）</t>
  </si>
  <si>
    <t>Hydrogenation Reactor (I)</t>
  </si>
  <si>
    <t>unit</t>
  </si>
  <si>
    <t>ECO-MAS-HVO-C-E-22009</t>
  </si>
  <si>
    <t>15/03/2024</t>
  </si>
  <si>
    <r>
      <rPr>
        <sz val="6"/>
        <rFont val="宋体"/>
        <charset val="134"/>
      </rPr>
      <t>抚顺机械设备制造有限公司</t>
    </r>
  </si>
  <si>
    <r>
      <rPr>
        <b/>
        <sz val="5"/>
        <rFont val="Calibri"/>
        <charset val="134"/>
      </rPr>
      <t xml:space="preserve">YingKou </t>
    </r>
    <r>
      <rPr>
        <b/>
        <sz val="5"/>
        <rFont val="Microsoft YaHei"/>
        <charset val="134"/>
      </rPr>
      <t>营口</t>
    </r>
    <r>
      <rPr>
        <b/>
        <sz val="5"/>
        <rFont val="Calibri"/>
        <charset val="134"/>
      </rPr>
      <t>/Bayuquan</t>
    </r>
    <r>
      <rPr>
        <b/>
        <sz val="5"/>
        <rFont val="宋体"/>
        <charset val="134"/>
      </rPr>
      <t>鲅鱼圈</t>
    </r>
  </si>
  <si>
    <r>
      <rPr>
        <b/>
        <sz val="5"/>
        <rFont val="Calibri"/>
        <charset val="134"/>
      </rPr>
      <t>Decked Barge</t>
    </r>
    <r>
      <rPr>
        <b/>
        <sz val="5"/>
        <rFont val="宋体"/>
        <charset val="134"/>
      </rPr>
      <t>甲板驳船</t>
    </r>
  </si>
  <si>
    <t>Delivery date depends on the designs of Hanging Cover and Tailing Lug</t>
  </si>
  <si>
    <t>3-1</t>
  </si>
  <si>
    <t>Hydrogenation Reactor (I) c/w accessories</t>
  </si>
  <si>
    <r>
      <rPr>
        <sz val="6"/>
        <rFont val="Arial"/>
        <charset val="134"/>
      </rPr>
      <t>MV YUZHOUQIHANG</t>
    </r>
    <r>
      <rPr>
        <sz val="6"/>
        <rFont val="宋体"/>
        <charset val="134"/>
      </rPr>
      <t>钰洲启航</t>
    </r>
  </si>
  <si>
    <t>R8102</t>
  </si>
  <si>
    <t>加氢反应器（二）</t>
  </si>
  <si>
    <r>
      <rPr>
        <b/>
        <sz val="5"/>
        <rFont val="Calibri"/>
        <charset val="134"/>
      </rPr>
      <t>Hydrogenation Reactor (</t>
    </r>
    <r>
      <rPr>
        <b/>
        <sz val="5"/>
        <rFont val="Microsoft YaHei"/>
        <charset val="134"/>
      </rPr>
      <t>Ⅱ</t>
    </r>
    <r>
      <rPr>
        <b/>
        <sz val="5"/>
        <rFont val="Calibri"/>
        <charset val="134"/>
      </rPr>
      <t>)</t>
    </r>
  </si>
  <si>
    <r>
      <rPr>
        <sz val="5"/>
        <rFont val="Arial"/>
        <charset val="134"/>
      </rPr>
      <t>Hydrogenation Reactor (</t>
    </r>
    <r>
      <rPr>
        <sz val="5"/>
        <rFont val="宋体"/>
        <charset val="134"/>
      </rPr>
      <t>Ⅱ</t>
    </r>
    <r>
      <rPr>
        <sz val="5"/>
        <rFont val="Arial"/>
        <charset val="134"/>
      </rPr>
      <t>) c/w accessories</t>
    </r>
  </si>
  <si>
    <t>R8201</t>
  </si>
  <si>
    <t>加氢保护反应器</t>
  </si>
  <si>
    <t>Guard Reactor</t>
  </si>
  <si>
    <t>Guard Reactor   c/w accessories</t>
  </si>
  <si>
    <t>R8202</t>
  </si>
  <si>
    <t>加氢异构反应器</t>
  </si>
  <si>
    <t>Isomerisation Reactor</t>
  </si>
  <si>
    <t>Isomerisation Reactor c/w accessories</t>
  </si>
  <si>
    <r>
      <rPr>
        <b/>
        <sz val="5"/>
        <rFont val="Calibri"/>
        <charset val="134"/>
      </rPr>
      <t>E8101ab</t>
    </r>
    <r>
      <rPr>
        <b/>
        <strike/>
        <sz val="5"/>
        <rFont val="Calibri"/>
        <charset val="134"/>
      </rPr>
      <t>c</t>
    </r>
  </si>
  <si>
    <r>
      <rPr>
        <b/>
        <sz val="5"/>
        <rFont val="Microsoft YaHei"/>
        <charset val="134"/>
      </rPr>
      <t>反应流出物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循环料换热器Ⅰ</t>
    </r>
  </si>
  <si>
    <t>Recycle Oil/Effluent Heat Exchanger</t>
  </si>
  <si>
    <t>ECO-MAS-HVO-C-E-22010</t>
  </si>
  <si>
    <r>
      <rPr>
        <b/>
        <sz val="5"/>
        <rFont val="Calibri"/>
        <charset val="134"/>
      </rPr>
      <t>E8101C</t>
    </r>
    <r>
      <rPr>
        <b/>
        <sz val="5"/>
        <rFont val="Microsoft YaHei"/>
        <charset val="134"/>
      </rPr>
      <t xml:space="preserve">：  </t>
    </r>
    <r>
      <rPr>
        <b/>
        <sz val="5"/>
        <rFont val="Calibri"/>
        <charset val="134"/>
      </rPr>
      <t>31/05/2024</t>
    </r>
  </si>
  <si>
    <t>Recycle Oil/Effluent Heat Exchanger c/w accessories</t>
  </si>
  <si>
    <t>12</t>
  </si>
  <si>
    <t>E8101c</t>
  </si>
  <si>
    <t>管程部件</t>
  </si>
  <si>
    <t>1</t>
  </si>
  <si>
    <t>ECO-MAS-HVO-C-E-23027</t>
  </si>
  <si>
    <t>31/05/2024</t>
  </si>
  <si>
    <r>
      <rPr>
        <b/>
        <sz val="5"/>
        <rFont val="Calibri"/>
        <charset val="134"/>
      </rPr>
      <t xml:space="preserve">Shanghai </t>
    </r>
    <r>
      <rPr>
        <b/>
        <sz val="5"/>
        <rFont val="Microsoft YaHei"/>
        <charset val="134"/>
      </rPr>
      <t>上海</t>
    </r>
  </si>
  <si>
    <t>46</t>
  </si>
  <si>
    <t>MKW24273CSTJLS06</t>
  </si>
  <si>
    <t>V8104</t>
  </si>
  <si>
    <t>高压分离器</t>
  </si>
  <si>
    <t>High Pressure Separator</t>
  </si>
  <si>
    <t>ECO-MAS-HVO-C-E-22012</t>
  </si>
  <si>
    <r>
      <rPr>
        <sz val="6"/>
        <rFont val="宋体"/>
        <charset val="134"/>
      </rPr>
      <t>江苏中圣压力容器装备制造有限公司</t>
    </r>
  </si>
  <si>
    <t>High Pressure Separator c/w accessories</t>
  </si>
  <si>
    <r>
      <rPr>
        <b/>
        <sz val="6"/>
        <color rgb="FFFF0000"/>
        <rFont val="宋体"/>
        <charset val="134"/>
      </rPr>
      <t>厂家要求</t>
    </r>
    <r>
      <rPr>
        <b/>
        <sz val="6"/>
        <color rgb="FFFF0000"/>
        <rFont val="Arial"/>
        <charset val="134"/>
      </rPr>
      <t>4</t>
    </r>
    <r>
      <rPr>
        <b/>
        <sz val="6"/>
        <color rgb="FFFF0000"/>
        <rFont val="宋体"/>
        <charset val="134"/>
      </rPr>
      <t>月</t>
    </r>
    <r>
      <rPr>
        <b/>
        <sz val="6"/>
        <color rgb="FFFF0000"/>
        <rFont val="Arial"/>
        <charset val="134"/>
      </rPr>
      <t>5</t>
    </r>
    <r>
      <rPr>
        <b/>
        <sz val="6"/>
        <color rgb="FFFF0000"/>
        <rFont val="宋体"/>
        <charset val="134"/>
      </rPr>
      <t>日一船发货</t>
    </r>
  </si>
  <si>
    <r>
      <rPr>
        <sz val="6"/>
        <color rgb="FF000000"/>
        <rFont val="Arial"/>
        <charset val="204"/>
      </rPr>
      <t>MV  MIMASAKA</t>
    </r>
    <r>
      <rPr>
        <sz val="6"/>
        <color rgb="FF000000"/>
        <rFont val="宋体"/>
        <charset val="204"/>
      </rPr>
      <t>Ⅲ</t>
    </r>
    <r>
      <rPr>
        <sz val="6"/>
        <color rgb="FF000000"/>
        <rFont val="Arial"/>
        <charset val="204"/>
      </rPr>
      <t xml:space="preserve">/9562831 </t>
    </r>
  </si>
  <si>
    <t>MMS24128SHATLA09</t>
  </si>
  <si>
    <t>V8105</t>
  </si>
  <si>
    <t>低压分离器</t>
  </si>
  <si>
    <t>Low Pressure Separator</t>
  </si>
  <si>
    <t>Low Pressure Separator c/w accessories</t>
  </si>
  <si>
    <t>V8401</t>
  </si>
  <si>
    <t>汽提塔顶回流罐</t>
  </si>
  <si>
    <t>Stripper Reflux Drum</t>
  </si>
  <si>
    <r>
      <rPr>
        <b/>
        <sz val="5"/>
        <rFont val="宋体"/>
        <charset val="134"/>
      </rPr>
      <t>散杂货船</t>
    </r>
    <r>
      <rPr>
        <b/>
        <sz val="5"/>
        <rFont val="Calibri"/>
        <charset val="134"/>
      </rPr>
      <t>Cargo Ship</t>
    </r>
  </si>
  <si>
    <t>E8101d</t>
  </si>
  <si>
    <r>
      <rPr>
        <b/>
        <sz val="5"/>
        <rFont val="Microsoft YaHei"/>
        <charset val="134"/>
      </rPr>
      <t>反应流出物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循环料换热器Ⅱ</t>
    </r>
  </si>
  <si>
    <t>3-2</t>
  </si>
  <si>
    <t>MV MIKAWA</t>
  </si>
  <si>
    <t>E8102</t>
  </si>
  <si>
    <r>
      <rPr>
        <b/>
        <sz val="5"/>
        <rFont val="Microsoft YaHei"/>
        <charset val="134"/>
      </rPr>
      <t>加氢反应产物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低分油换热器</t>
    </r>
  </si>
  <si>
    <t>LPS Oil/Effluent Heat Exchanger</t>
  </si>
  <si>
    <t>LPS Oil/Effluent Heat Exchanger c/w accessories</t>
  </si>
  <si>
    <t>E8103</t>
  </si>
  <si>
    <r>
      <rPr>
        <b/>
        <sz val="5"/>
        <rFont val="Microsoft YaHei"/>
        <charset val="134"/>
      </rPr>
      <t>反应流出物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进料换热器</t>
    </r>
  </si>
  <si>
    <t>Feed/Effluent Heat Exchanger</t>
  </si>
  <si>
    <t>Feed/Effluent Heat Exchanger c/w accessories</t>
  </si>
  <si>
    <t>E8104</t>
  </si>
  <si>
    <r>
      <rPr>
        <b/>
        <sz val="5"/>
        <rFont val="Microsoft YaHei"/>
        <charset val="134"/>
      </rPr>
      <t>反应流出物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异构化低分油换热器</t>
    </r>
  </si>
  <si>
    <t>ISO LPS Oil/Effluent Heat Exchanger</t>
  </si>
  <si>
    <t>ISO LPS Oil/Effluent Heat Exchanger c/w accessories</t>
  </si>
  <si>
    <t>E8201abc</t>
  </si>
  <si>
    <r>
      <rPr>
        <b/>
        <sz val="5"/>
        <rFont val="Microsoft YaHei"/>
        <charset val="134"/>
      </rPr>
      <t>异构化反应产物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进料换热器</t>
    </r>
  </si>
  <si>
    <t>ISO Feed/Effluent Heat Exchanger</t>
  </si>
  <si>
    <t>E8202</t>
  </si>
  <si>
    <r>
      <rPr>
        <b/>
        <sz val="5"/>
        <rFont val="Microsoft YaHei"/>
        <charset val="134"/>
      </rPr>
      <t>异构化反应产物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低分油换热器</t>
    </r>
  </si>
  <si>
    <t>AC8101a-h</t>
  </si>
  <si>
    <t>加氢反应产物空冷器</t>
  </si>
  <si>
    <t>Hydrogenation Reactor Effluent Air Cooler</t>
  </si>
  <si>
    <t>ECO-MAS-HVO-C-E-22013</t>
  </si>
  <si>
    <t>30/04/2024</t>
  </si>
  <si>
    <t>哈尔滨空调股份有限公司</t>
  </si>
  <si>
    <t>MKW24273CSTJLS01
MKW24273CSTJLS02</t>
  </si>
  <si>
    <t>AC8201a-d</t>
  </si>
  <si>
    <t>异构化产物空冷器</t>
  </si>
  <si>
    <t>Isomerisation Reactor Effluent Air Cooler</t>
  </si>
  <si>
    <t>31/03/2024</t>
  </si>
  <si>
    <t>AC8403ab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</si>
  <si>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精馏塔侧线抽出空冷器</t>
    </r>
  </si>
  <si>
    <t>Vacuum Distillation Pump Around Air Cooler</t>
  </si>
  <si>
    <t>AC8901a-h</t>
  </si>
  <si>
    <t>热水空冷器</t>
  </si>
  <si>
    <t>Hot Water Air Cooler</t>
  </si>
  <si>
    <t>Hot Water Air Cooler c/w accessories</t>
  </si>
  <si>
    <t>AC9101A~D</t>
  </si>
  <si>
    <t>HPU</t>
  </si>
  <si>
    <t>中变气空冷器</t>
  </si>
  <si>
    <t>Shift Gas Air Cooler</t>
  </si>
  <si>
    <t>H8101</t>
  </si>
  <si>
    <t>加氢反应加热炉</t>
  </si>
  <si>
    <t>Hydrogenation Heater</t>
  </si>
  <si>
    <t>ECO-MAS-HVO-C-E-22014</t>
  </si>
  <si>
    <r>
      <rPr>
        <sz val="6"/>
        <rFont val="宋体"/>
        <charset val="134"/>
      </rPr>
      <t>托普工业（江苏）有限公司</t>
    </r>
  </si>
  <si>
    <r>
      <rPr>
        <b/>
        <sz val="5"/>
        <rFont val="Calibri"/>
        <charset val="134"/>
      </rPr>
      <t xml:space="preserve">JingJiang </t>
    </r>
    <r>
      <rPr>
        <b/>
        <sz val="5"/>
        <rFont val="Microsoft YaHei"/>
        <charset val="134"/>
      </rPr>
      <t>靖江</t>
    </r>
  </si>
  <si>
    <t>Hydrogenation Heater c/w accessories</t>
  </si>
  <si>
    <t>H8201</t>
  </si>
  <si>
    <t>异构化反应加热炉</t>
  </si>
  <si>
    <t>Isomerisation Heater</t>
  </si>
  <si>
    <t>H8401</t>
  </si>
  <si>
    <t>分馏塔重沸炉</t>
  </si>
  <si>
    <t>Distillation Reboiler</t>
  </si>
  <si>
    <t>Distillation Reboiler c/w accessories</t>
  </si>
  <si>
    <t>余热回收系统</t>
  </si>
  <si>
    <t>Waste Heat Recovery System</t>
  </si>
  <si>
    <t>H8402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</si>
  <si>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精馏塔底重沸炉</t>
    </r>
  </si>
  <si>
    <t>Vacuum Distillation Reboiler</t>
  </si>
  <si>
    <r>
      <rPr>
        <sz val="6"/>
        <rFont val="宋体"/>
        <charset val="134"/>
      </rPr>
      <t>成套包</t>
    </r>
  </si>
  <si>
    <r>
      <rPr>
        <b/>
        <sz val="6"/>
        <rFont val="Microsoft YaHei"/>
        <charset val="134"/>
      </rPr>
      <t>地面火炬</t>
    </r>
  </si>
  <si>
    <t>Ground Flare System</t>
  </si>
  <si>
    <t>ECO-MAS-HVO-C-E-22015</t>
  </si>
  <si>
    <t>30/03/2024</t>
  </si>
  <si>
    <t>柘科（中国）工程设备有限公司</t>
  </si>
  <si>
    <r>
      <rPr>
        <sz val="6"/>
        <rFont val="Arial"/>
        <charset val="134"/>
      </rPr>
      <t>Main equipment</t>
    </r>
    <r>
      <rPr>
        <sz val="6"/>
        <rFont val="宋体"/>
        <charset val="134"/>
      </rPr>
      <t>：</t>
    </r>
    <r>
      <rPr>
        <sz val="6"/>
        <rFont val="Arial"/>
        <charset val="134"/>
      </rPr>
      <t>2024/3/30
Pumps and instruments</t>
    </r>
    <r>
      <rPr>
        <sz val="6"/>
        <rFont val="宋体"/>
        <charset val="134"/>
      </rPr>
      <t>：</t>
    </r>
    <r>
      <rPr>
        <sz val="6"/>
        <rFont val="Arial"/>
        <charset val="134"/>
      </rPr>
      <t>2024/6/30
Foundation should be under PCC Scope</t>
    </r>
  </si>
  <si>
    <r>
      <rPr>
        <sz val="6"/>
        <rFont val="Arial"/>
        <charset val="134"/>
      </rPr>
      <t>5</t>
    </r>
    <r>
      <rPr>
        <sz val="6"/>
        <rFont val="宋体"/>
        <charset val="134"/>
      </rPr>
      <t>，</t>
    </r>
    <r>
      <rPr>
        <sz val="6"/>
        <rFont val="Arial"/>
        <charset val="134"/>
      </rPr>
      <t>8</t>
    </r>
  </si>
  <si>
    <t>Ground Flare System c/w accessories</t>
  </si>
  <si>
    <t>NG24228SHATLA08</t>
  </si>
  <si>
    <t>C8401/C8402/C8403</t>
  </si>
  <si>
    <t>塔内件</t>
  </si>
  <si>
    <t>Column Internal</t>
  </si>
  <si>
    <t>ECO-MAS-HVO-C-E-22016</t>
  </si>
  <si>
    <t>北京泽华凯泰科技发展有限公司</t>
  </si>
  <si>
    <t>7</t>
  </si>
  <si>
    <t>EVER BEAMY V.1985-061S</t>
  </si>
  <si>
    <t>EGLV142402584620</t>
  </si>
  <si>
    <t>AC8401</t>
  </si>
  <si>
    <t>汽提塔顶空冷器</t>
  </si>
  <si>
    <t>Stripper Overhead Air Cooler</t>
  </si>
  <si>
    <t>ECO-MAS-HVO-C-E-22018</t>
  </si>
  <si>
    <r>
      <rPr>
        <sz val="6"/>
        <rFont val="宋体"/>
        <charset val="134"/>
      </rPr>
      <t>隆华科技集团（洛阳）股份有限公司</t>
    </r>
  </si>
  <si>
    <t>MKW24273CSTJLS03</t>
  </si>
  <si>
    <t>AC8404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</si>
  <si>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空冷器</t>
    </r>
  </si>
  <si>
    <t>HVO Air Cooler</t>
  </si>
  <si>
    <r>
      <rPr>
        <sz val="5"/>
        <rFont val="Arial"/>
        <charset val="134"/>
      </rPr>
      <t>HVO</t>
    </r>
    <r>
      <rPr>
        <sz val="5"/>
        <rFont val="宋体"/>
        <charset val="134"/>
      </rPr>
      <t>（</t>
    </r>
    <r>
      <rPr>
        <sz val="5"/>
        <rFont val="Arial"/>
        <charset val="134"/>
      </rPr>
      <t>Hydrotreated vegetable oil</t>
    </r>
    <r>
      <rPr>
        <sz val="5"/>
        <rFont val="宋体"/>
        <charset val="134"/>
      </rPr>
      <t>）</t>
    </r>
    <r>
      <rPr>
        <sz val="5"/>
        <rFont val="Arial"/>
        <charset val="134"/>
      </rPr>
      <t xml:space="preserve"> Air Cooler c/w accessories</t>
    </r>
  </si>
  <si>
    <t>AC8402</t>
  </si>
  <si>
    <t>分馏塔顶空冷器</t>
  </si>
  <si>
    <t>Distillation Overhead Air Cooler</t>
  </si>
  <si>
    <t>Distillation Overhead Air Cooler c/w accessories</t>
  </si>
  <si>
    <t>AC8405</t>
  </si>
  <si>
    <r>
      <rPr>
        <b/>
        <sz val="5"/>
        <rFont val="Calibri"/>
        <charset val="134"/>
      </rPr>
      <t>SAF</t>
    </r>
    <r>
      <rPr>
        <b/>
        <sz val="5"/>
        <rFont val="Microsoft YaHei"/>
        <charset val="134"/>
      </rPr>
      <t>空冷器</t>
    </r>
  </si>
  <si>
    <t>SAF Air Cooler</t>
  </si>
  <si>
    <t>SAF   (sustainable aviation fuel )Air Cooler</t>
  </si>
  <si>
    <t>C8401</t>
  </si>
  <si>
    <t>汽提塔</t>
  </si>
  <si>
    <t>Stripper</t>
  </si>
  <si>
    <t>ECO-MAS-HVO-C-E-22019A</t>
  </si>
  <si>
    <t>31/01/2023</t>
  </si>
  <si>
    <r>
      <rPr>
        <sz val="6"/>
        <rFont val="宋体"/>
        <charset val="134"/>
      </rPr>
      <t>苏州圣汇装备有限公司</t>
    </r>
  </si>
  <si>
    <t>Stripper c/w accessories</t>
  </si>
  <si>
    <t>已发货</t>
  </si>
  <si>
    <t>MV HAN YI/2408E</t>
  </si>
  <si>
    <t>HY2408ESHATAN01</t>
  </si>
  <si>
    <t>C8402</t>
  </si>
  <si>
    <t>分馏塔</t>
  </si>
  <si>
    <t>Distillation Column</t>
  </si>
  <si>
    <t>Distillation Column c/w accessories</t>
  </si>
  <si>
    <t>C8403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</si>
  <si>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</t>
    </r>
  </si>
  <si>
    <t>Vacuum Distillation Column</t>
  </si>
  <si>
    <t>Vacuum Distillation Column c/w accessories</t>
  </si>
  <si>
    <t>C8404</t>
  </si>
  <si>
    <t>石脑油稳定塔</t>
  </si>
  <si>
    <t>Bio-naphtha Stabilizer</t>
  </si>
  <si>
    <t>Bio-naphtha Stabilizer c/w accessories</t>
  </si>
  <si>
    <t>R8601</t>
  </si>
  <si>
    <t>吸收塔</t>
  </si>
  <si>
    <t>Absorber</t>
  </si>
  <si>
    <t>Absorber c/w accessories</t>
  </si>
  <si>
    <t>HY2408ESHATAN02</t>
  </si>
  <si>
    <t>R8602</t>
  </si>
  <si>
    <t>氧化塔</t>
  </si>
  <si>
    <t>Oxidizer</t>
  </si>
  <si>
    <t>Oxidizer c/w accessories</t>
  </si>
  <si>
    <t>V8101</t>
  </si>
  <si>
    <t>加氢原料油缓冲罐</t>
  </si>
  <si>
    <t>Hydrogenation Feed Drum</t>
  </si>
  <si>
    <t>MMS24128SHATLA02</t>
  </si>
  <si>
    <t>V8102</t>
  </si>
  <si>
    <t>硫化剂罐</t>
  </si>
  <si>
    <t>DMDS drum</t>
  </si>
  <si>
    <t>V8103</t>
  </si>
  <si>
    <t>注水罐</t>
  </si>
  <si>
    <t>Wash Water Drum</t>
  </si>
  <si>
    <t>V8106ab</t>
  </si>
  <si>
    <t>脱硫罐</t>
  </si>
  <si>
    <t>H2S Adsorber</t>
  </si>
  <si>
    <t>H2S Adsorber c/w accessories</t>
  </si>
  <si>
    <t>V8107</t>
  </si>
  <si>
    <t>仪表风罐</t>
  </si>
  <si>
    <t>Instrument Air Drum</t>
  </si>
  <si>
    <t>V8108</t>
  </si>
  <si>
    <t>V8109</t>
  </si>
  <si>
    <t>V8110</t>
  </si>
  <si>
    <t>V8111</t>
  </si>
  <si>
    <t>V8112</t>
  </si>
  <si>
    <t>V8113</t>
  </si>
  <si>
    <t>V8201</t>
  </si>
  <si>
    <t>异构化原料油缓冲罐</t>
  </si>
  <si>
    <t>Isomerisation Feed Drum</t>
  </si>
  <si>
    <t>V8202</t>
  </si>
  <si>
    <t>异构化高压分离器</t>
  </si>
  <si>
    <t>V8203</t>
  </si>
  <si>
    <t>异构化低压分离器</t>
  </si>
  <si>
    <t>V8204</t>
  </si>
  <si>
    <t>V8205</t>
  </si>
  <si>
    <t>V8301</t>
  </si>
  <si>
    <t>循环氢压缩机入口分液罐</t>
  </si>
  <si>
    <t>Hydrogenation Recycle Gas Knockout Drum</t>
  </si>
  <si>
    <t>V8302</t>
  </si>
  <si>
    <t>新氢压缩机入口分液罐</t>
  </si>
  <si>
    <t>Hydrogenation Makeup Gas Knockout Drum</t>
  </si>
  <si>
    <t>V8303</t>
  </si>
  <si>
    <t>异构化循环氢压缩机入口分液罐</t>
  </si>
  <si>
    <t>Isomerisation Recycle Gas Knockout Drum</t>
  </si>
  <si>
    <t>V8304</t>
  </si>
  <si>
    <t>异构化新氢压缩机入口分液罐</t>
  </si>
  <si>
    <t>Isomerisation Makeup Gas Knockout Drum</t>
  </si>
  <si>
    <t>V8305</t>
  </si>
  <si>
    <t>天然气压缩机入口分液罐</t>
  </si>
  <si>
    <t>Natural Gas Knockout Drum</t>
  </si>
  <si>
    <t>V8402</t>
  </si>
  <si>
    <t>分馏塔顶回流罐</t>
  </si>
  <si>
    <t>Distillation Column Reflux Drum</t>
  </si>
  <si>
    <t>V8403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</si>
  <si>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精馏塔回流罐</t>
    </r>
  </si>
  <si>
    <t>Vacuum Distillation Column Reflux Drum</t>
  </si>
  <si>
    <t>28</t>
  </si>
  <si>
    <t>V8404</t>
  </si>
  <si>
    <t>石脑油稳定塔顶回流罐</t>
  </si>
  <si>
    <t>Bio-naphtha Stabilizer Reflux Drum</t>
  </si>
  <si>
    <t>29</t>
  </si>
  <si>
    <t>V8405</t>
  </si>
  <si>
    <r>
      <rPr>
        <b/>
        <sz val="5"/>
        <rFont val="Calibri"/>
        <charset val="134"/>
      </rPr>
      <t>LPG</t>
    </r>
    <r>
      <rPr>
        <b/>
        <sz val="5"/>
        <rFont val="Microsoft YaHei"/>
        <charset val="134"/>
      </rPr>
      <t>分液罐</t>
    </r>
  </si>
  <si>
    <t>LPG Separator</t>
  </si>
  <si>
    <t>LPG Separator c/w accessories</t>
  </si>
  <si>
    <t>30</t>
  </si>
  <si>
    <t>V8406</t>
  </si>
  <si>
    <t>冷冻液储罐</t>
  </si>
  <si>
    <t>Refrigerant Drum</t>
  </si>
  <si>
    <t>31</t>
  </si>
  <si>
    <t>V8407</t>
  </si>
  <si>
    <t>17</t>
  </si>
  <si>
    <t>V8408</t>
  </si>
  <si>
    <t>V8409</t>
  </si>
  <si>
    <t>V8410</t>
  </si>
  <si>
    <t>V8601</t>
  </si>
  <si>
    <t>气液分离器</t>
  </si>
  <si>
    <t>Sour Gas Knockout Drum</t>
  </si>
  <si>
    <t>33</t>
  </si>
  <si>
    <t>V8602</t>
  </si>
  <si>
    <t>闪蒸罐</t>
  </si>
  <si>
    <t>Flash Drum</t>
  </si>
  <si>
    <t>34</t>
  </si>
  <si>
    <t>V8603</t>
  </si>
  <si>
    <t>滤液罐</t>
  </si>
  <si>
    <t>Filtrate drum</t>
  </si>
  <si>
    <t>Filtrate Drum</t>
  </si>
  <si>
    <t>35</t>
  </si>
  <si>
    <t>V8604</t>
  </si>
  <si>
    <t>空气缓冲罐</t>
  </si>
  <si>
    <t>Compress Air Drum</t>
  </si>
  <si>
    <t>36</t>
  </si>
  <si>
    <t>V8605/V8606/V8607</t>
  </si>
  <si>
    <r>
      <rPr>
        <b/>
        <sz val="5"/>
        <rFont val="Microsoft YaHei"/>
        <charset val="134"/>
      </rPr>
      <t>螯合剂储罐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表面活性剂储罐</t>
    </r>
    <r>
      <rPr>
        <b/>
        <sz val="5"/>
        <rFont val="Calibri"/>
        <charset val="134"/>
      </rPr>
      <t>/KOH</t>
    </r>
    <r>
      <rPr>
        <b/>
        <sz val="5"/>
        <rFont val="Microsoft YaHei"/>
        <charset val="134"/>
      </rPr>
      <t>储罐</t>
    </r>
  </si>
  <si>
    <t>Chelating Agent Drum</t>
  </si>
  <si>
    <t>37</t>
  </si>
  <si>
    <t>V8608</t>
  </si>
  <si>
    <t>净化气缓冲罐</t>
  </si>
  <si>
    <t>Treated Gas Knockout Drum</t>
  </si>
  <si>
    <t>38</t>
  </si>
  <si>
    <t>V8901</t>
  </si>
  <si>
    <t>燃料气分液罐</t>
  </si>
  <si>
    <t>Fuel Gas Knockout Drum</t>
  </si>
  <si>
    <t>40</t>
  </si>
  <si>
    <t>V8902</t>
  </si>
  <si>
    <t>火炬气分液罐</t>
  </si>
  <si>
    <t>Flare Separator</t>
  </si>
  <si>
    <t>Flare Separator c/w accessories</t>
  </si>
  <si>
    <t>41</t>
  </si>
  <si>
    <t>V8903</t>
  </si>
  <si>
    <t>地下污油罐</t>
  </si>
  <si>
    <t>Underground Slop Oil Drum</t>
  </si>
  <si>
    <t>42</t>
  </si>
  <si>
    <t>V8904</t>
  </si>
  <si>
    <t>热水缓冲罐</t>
  </si>
  <si>
    <t>Hot Water Drum</t>
  </si>
  <si>
    <t>43</t>
  </si>
  <si>
    <t>V8905</t>
  </si>
  <si>
    <t>低压蒸汽分水器</t>
  </si>
  <si>
    <t>LP Steam Separator</t>
  </si>
  <si>
    <t>44</t>
  </si>
  <si>
    <t>V8906</t>
  </si>
  <si>
    <t>低压燃料气分液罐</t>
  </si>
  <si>
    <t>LP Fuel Gas Knockout Drum</t>
  </si>
  <si>
    <t>45</t>
  </si>
  <si>
    <t>E8301</t>
  </si>
  <si>
    <t>防喘振返回冷却器</t>
  </si>
  <si>
    <t>Compressor Recycle Cooler</t>
  </si>
  <si>
    <t>Compressor Recycle Cooler  c/w accessories</t>
  </si>
  <si>
    <t>53</t>
  </si>
  <si>
    <t>E8302</t>
  </si>
  <si>
    <t>新氢压缩机返回冷却器</t>
  </si>
  <si>
    <t>54</t>
  </si>
  <si>
    <t>E8304</t>
  </si>
  <si>
    <t>异构化新氢压缩机返回冷却器</t>
  </si>
  <si>
    <t>Compressor Recycle Cooler c/w accessories</t>
  </si>
  <si>
    <t>55</t>
  </si>
  <si>
    <t>E8305</t>
  </si>
  <si>
    <t>天然气压缩机返回冷却器</t>
  </si>
  <si>
    <t>56</t>
  </si>
  <si>
    <t>E8401</t>
  </si>
  <si>
    <t>汽提塔顶气/热水冷却器</t>
  </si>
  <si>
    <t>Stripper Overhead Cooler</t>
  </si>
  <si>
    <t>Stripper Overhead Cooler c/w accessories</t>
  </si>
  <si>
    <t>57</t>
  </si>
  <si>
    <t>E8402ab</t>
  </si>
  <si>
    <r>
      <rPr>
        <b/>
        <sz val="5"/>
        <rFont val="Microsoft YaHei"/>
        <charset val="134"/>
      </rPr>
      <t>分馏塔底油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异构化低分油换热器</t>
    </r>
  </si>
  <si>
    <t>Distillation Bottom/ISO LPS Oil Exchanger</t>
  </si>
  <si>
    <t>Distillation Bottom/ISO LPS Oil Exchanger c/w accessories</t>
  </si>
  <si>
    <t>58</t>
  </si>
  <si>
    <t>E8403ab</t>
  </si>
  <si>
    <r>
      <rPr>
        <b/>
        <sz val="5"/>
        <rFont val="Microsoft YaHei"/>
        <charset val="134"/>
      </rPr>
      <t>分馏塔底油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低分油换热器</t>
    </r>
  </si>
  <si>
    <t>Distillation Bottom/LPS Oil Exchanger</t>
  </si>
  <si>
    <t>Distillation Bottom/LPS Oil Exchanger c/w accessories</t>
  </si>
  <si>
    <t>59</t>
  </si>
  <si>
    <t>E8404ab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</si>
  <si>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精馏塔底油/异构化低分油换热器</t>
    </r>
  </si>
  <si>
    <t>Vacuum Distillation Bottom/LPS Oil Exchanger</t>
  </si>
  <si>
    <t>Vacuum Distillation Bottom/LPS Oil Exchanger c/w accessories</t>
  </si>
  <si>
    <t>60</t>
  </si>
  <si>
    <t>E8405ab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</si>
  <si>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精馏塔底油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热水换热器</t>
    </r>
  </si>
  <si>
    <t>Vacuum Distillation Bottom/Hot Water Exchanger</t>
  </si>
  <si>
    <t>Vacuum Distillation Bottom/Hot Water Exchanger c/w accessories</t>
  </si>
  <si>
    <t>61</t>
  </si>
  <si>
    <t>E8406ab</t>
  </si>
  <si>
    <r>
      <rPr>
        <b/>
        <sz val="5"/>
        <rFont val="Microsoft YaHei"/>
        <charset val="134"/>
      </rPr>
      <t>汽提塔底油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异构化低分油换热器</t>
    </r>
  </si>
  <si>
    <t>Stripper Bottom/ISO LPS Oil Exchanger</t>
  </si>
  <si>
    <t>Stripper Bottom/ISO LPS Oil Exchanger c/w accessories</t>
  </si>
  <si>
    <t>62</t>
  </si>
  <si>
    <t>E8407ab</t>
  </si>
  <si>
    <r>
      <rPr>
        <b/>
        <sz val="5"/>
        <rFont val="Microsoft YaHei"/>
        <charset val="134"/>
      </rPr>
      <t>汽提塔底油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热水换热器</t>
    </r>
  </si>
  <si>
    <t>Stripper Bottom/Hot Water Exchanger</t>
  </si>
  <si>
    <t>Stripper Bottom/Hot Water Exchanger c/w accessories</t>
  </si>
  <si>
    <t>63</t>
  </si>
  <si>
    <t>E8408ab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</si>
  <si>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精馏塔循热水换热器</t>
    </r>
  </si>
  <si>
    <t>Vacuum Distillation Pump Around/Hot Water Exchanger</t>
  </si>
  <si>
    <t>64</t>
  </si>
  <si>
    <t>E8409ab</t>
  </si>
  <si>
    <t>汽提塔底油冷却器</t>
  </si>
  <si>
    <t>Stripper Bottom Cooler</t>
  </si>
  <si>
    <t>65</t>
  </si>
  <si>
    <t>E8411</t>
  </si>
  <si>
    <t>石脑油稳定塔顶气冷凝器</t>
  </si>
  <si>
    <t>Bio-naphtha Stabilizer Overhead Condenser</t>
  </si>
  <si>
    <t>66</t>
  </si>
  <si>
    <t>E8412</t>
  </si>
  <si>
    <t>石脑油水冷器</t>
  </si>
  <si>
    <t>Bio-naphtha Cooler</t>
  </si>
  <si>
    <t>67</t>
  </si>
  <si>
    <t>E8413</t>
  </si>
  <si>
    <t>石脑油稳定塔再沸器</t>
  </si>
  <si>
    <t>Bio-naphtha Stabilizer Reboiler</t>
  </si>
  <si>
    <t>68</t>
  </si>
  <si>
    <t>E8414</t>
  </si>
  <si>
    <r>
      <rPr>
        <b/>
        <sz val="5"/>
        <rFont val="Microsoft YaHei"/>
        <charset val="134"/>
      </rPr>
      <t>汽提塔底油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石脑油换热器</t>
    </r>
  </si>
  <si>
    <t>Stripper Bottom/Bio-naphtha Heat Exchanger</t>
  </si>
  <si>
    <t>69</t>
  </si>
  <si>
    <t>E8415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</si>
  <si>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精馏塔顶气冷凝器</t>
    </r>
  </si>
  <si>
    <t>Vacuum Distillation Overhead Condenser</t>
  </si>
  <si>
    <t>70</t>
  </si>
  <si>
    <t>E8416</t>
  </si>
  <si>
    <t>石脑油稳定塔顶气二级冷凝器</t>
  </si>
  <si>
    <t>LPG Condenser</t>
  </si>
  <si>
    <t>71</t>
  </si>
  <si>
    <t>E8601</t>
  </si>
  <si>
    <t>溶液换热器</t>
  </si>
  <si>
    <t>Solution Cooler</t>
  </si>
  <si>
    <t>72</t>
  </si>
  <si>
    <t>V7102</t>
  </si>
  <si>
    <t>V7502</t>
  </si>
  <si>
    <t>Pretreatment</t>
  </si>
  <si>
    <t>弱酸罐</t>
  </si>
  <si>
    <t>Acid Tank</t>
  </si>
  <si>
    <t>Acid Tank c/w accessories</t>
  </si>
  <si>
    <t>149</t>
  </si>
  <si>
    <t>NG24228SHATLA07</t>
  </si>
  <si>
    <t>V7103</t>
  </si>
  <si>
    <t>V7503</t>
  </si>
  <si>
    <r>
      <rPr>
        <b/>
        <sz val="5"/>
        <rFont val="Microsoft YaHei"/>
        <charset val="134"/>
      </rPr>
      <t>酸炼罐</t>
    </r>
    <r>
      <rPr>
        <b/>
        <sz val="5"/>
        <rFont val="Calibri"/>
        <charset val="134"/>
      </rPr>
      <t>(</t>
    </r>
    <r>
      <rPr>
        <b/>
        <sz val="5"/>
        <rFont val="Microsoft YaHei"/>
        <charset val="134"/>
      </rPr>
      <t>一</t>
    </r>
    <r>
      <rPr>
        <b/>
        <sz val="5"/>
        <rFont val="Calibri"/>
        <charset val="134"/>
      </rPr>
      <t>)</t>
    </r>
  </si>
  <si>
    <t>Degumming Tank (I)</t>
  </si>
  <si>
    <t>150</t>
  </si>
  <si>
    <t>V7104</t>
  </si>
  <si>
    <t>V7504</t>
  </si>
  <si>
    <r>
      <rPr>
        <b/>
        <sz val="5"/>
        <rFont val="Microsoft YaHei"/>
        <charset val="134"/>
      </rPr>
      <t>酸炼罐</t>
    </r>
    <r>
      <rPr>
        <b/>
        <sz val="5"/>
        <rFont val="Calibri"/>
        <charset val="134"/>
      </rPr>
      <t>(</t>
    </r>
    <r>
      <rPr>
        <b/>
        <sz val="5"/>
        <rFont val="Microsoft YaHei"/>
        <charset val="134"/>
      </rPr>
      <t>二</t>
    </r>
    <r>
      <rPr>
        <b/>
        <sz val="5"/>
        <rFont val="Calibri"/>
        <charset val="134"/>
      </rPr>
      <t>)</t>
    </r>
  </si>
  <si>
    <t>Degumming Tank (II)</t>
  </si>
  <si>
    <t>151</t>
  </si>
  <si>
    <t>V7106</t>
  </si>
  <si>
    <t>V7506</t>
  </si>
  <si>
    <t>中和罐</t>
  </si>
  <si>
    <t>Neutralizing Tank</t>
  </si>
  <si>
    <t>153</t>
  </si>
  <si>
    <t>V7108</t>
  </si>
  <si>
    <t>V7508</t>
  </si>
  <si>
    <t>水洗罐</t>
  </si>
  <si>
    <t>Washing Tank</t>
  </si>
  <si>
    <t>155</t>
  </si>
  <si>
    <t>V7109</t>
  </si>
  <si>
    <t>V7509</t>
  </si>
  <si>
    <t>皂脚接收罐</t>
  </si>
  <si>
    <t>Soapstock Collector</t>
  </si>
  <si>
    <t>156</t>
  </si>
  <si>
    <t>V7213</t>
  </si>
  <si>
    <t>V7613</t>
  </si>
  <si>
    <t>干燥罐（一）</t>
  </si>
  <si>
    <t>Vacuum Dryer  (I)</t>
  </si>
  <si>
    <t>167</t>
  </si>
  <si>
    <t>V7907abc</t>
  </si>
  <si>
    <t>弱酸调和罐</t>
  </si>
  <si>
    <t>Acid Preparation Tank</t>
  </si>
  <si>
    <t>Acid Preparation Tank c/w accessories</t>
  </si>
  <si>
    <t>172</t>
  </si>
  <si>
    <t>C9101</t>
  </si>
  <si>
    <t>酸性水汽提塔</t>
  </si>
  <si>
    <t>Sour Water Stripper</t>
  </si>
  <si>
    <t>247</t>
  </si>
  <si>
    <t>R9101</t>
  </si>
  <si>
    <t>加氢反应器</t>
  </si>
  <si>
    <t>Hydrogenation Reactor</t>
  </si>
  <si>
    <t>ECO-MAS-HVO-C-E-22019B</t>
  </si>
  <si>
    <t>江苏江锅智能装备股份有限公司</t>
  </si>
  <si>
    <r>
      <rPr>
        <b/>
        <sz val="5"/>
        <rFont val="Calibri"/>
        <charset val="134"/>
      </rPr>
      <t>Zhangjiagang</t>
    </r>
    <r>
      <rPr>
        <b/>
        <sz val="5"/>
        <rFont val="宋体"/>
        <charset val="134"/>
      </rPr>
      <t>张家港</t>
    </r>
  </si>
  <si>
    <t>2-1</t>
  </si>
  <si>
    <t>Hydrogenation Reactor c/w accessrories</t>
  </si>
  <si>
    <t>243</t>
  </si>
  <si>
    <t>MV MM AMBER V.10-4861</t>
  </si>
  <si>
    <t>104861ZJG103</t>
  </si>
  <si>
    <t>R9102A/B</t>
  </si>
  <si>
    <t>脱硫反应器</t>
  </si>
  <si>
    <t>ZnO Desulphurization Reactor</t>
  </si>
  <si>
    <r>
      <rPr>
        <sz val="6"/>
        <rFont val="宋体"/>
        <charset val="134"/>
      </rPr>
      <t>江苏江锅智能装备股份有限公司</t>
    </r>
  </si>
  <si>
    <t>ZnO Desulphurization Reactor c/w accessories</t>
  </si>
  <si>
    <t>248</t>
  </si>
  <si>
    <t>R9103</t>
  </si>
  <si>
    <t>中温变换反应器</t>
  </si>
  <si>
    <t>LT Shift Reactor</t>
  </si>
  <si>
    <t>249</t>
  </si>
  <si>
    <t>C9201A~J</t>
  </si>
  <si>
    <t>吸附塔</t>
  </si>
  <si>
    <t>Adsorber</t>
  </si>
  <si>
    <t xml:space="preserve"> Adsorber  c/w accessories</t>
  </si>
  <si>
    <t>250</t>
  </si>
  <si>
    <t>V7105</t>
  </si>
  <si>
    <t>V7505</t>
  </si>
  <si>
    <t>液碱罐</t>
  </si>
  <si>
    <t>Alkali Tank</t>
  </si>
  <si>
    <t>217</t>
  </si>
  <si>
    <t>V7107</t>
  </si>
  <si>
    <t>V7507</t>
  </si>
  <si>
    <t>热水罐</t>
  </si>
  <si>
    <t>Hot Water Tank</t>
  </si>
  <si>
    <t>218</t>
  </si>
  <si>
    <t>V7112</t>
  </si>
  <si>
    <t>V7512</t>
  </si>
  <si>
    <r>
      <rPr>
        <b/>
        <sz val="5"/>
        <rFont val="Calibri"/>
        <charset val="134"/>
      </rPr>
      <t>CIP</t>
    </r>
    <r>
      <rPr>
        <b/>
        <sz val="5"/>
        <rFont val="Microsoft YaHei"/>
        <charset val="134"/>
      </rPr>
      <t>酸罐</t>
    </r>
  </si>
  <si>
    <t>CIP Acid Tank</t>
  </si>
  <si>
    <t>219</t>
  </si>
  <si>
    <t>V7113</t>
  </si>
  <si>
    <t>V7513</t>
  </si>
  <si>
    <r>
      <rPr>
        <b/>
        <sz val="5"/>
        <rFont val="Calibri"/>
        <charset val="134"/>
      </rPr>
      <t>CIP</t>
    </r>
    <r>
      <rPr>
        <b/>
        <sz val="5"/>
        <rFont val="Microsoft YaHei"/>
        <charset val="134"/>
      </rPr>
      <t>碱罐</t>
    </r>
  </si>
  <si>
    <t>CIP Alkali Tank</t>
  </si>
  <si>
    <t>220</t>
  </si>
  <si>
    <t>V7208</t>
  </si>
  <si>
    <t>V7608</t>
  </si>
  <si>
    <t>吸附回收油罐</t>
  </si>
  <si>
    <t>Leaf Filter Oil Collector</t>
  </si>
  <si>
    <t>221</t>
  </si>
  <si>
    <t>V7214</t>
  </si>
  <si>
    <t>V7614</t>
  </si>
  <si>
    <t>干燥罐（二）</t>
  </si>
  <si>
    <t>Vacuum Dryer (II)</t>
  </si>
  <si>
    <t>222</t>
  </si>
  <si>
    <t>NG24228SHATLA01</t>
  </si>
  <si>
    <t>V7908</t>
  </si>
  <si>
    <t>低压凝结水回收罐</t>
  </si>
  <si>
    <t>LP Condensate Receiver</t>
  </si>
  <si>
    <t>225</t>
  </si>
  <si>
    <t>V7406</t>
  </si>
  <si>
    <t>V7806</t>
  </si>
  <si>
    <t>吹扫气罐</t>
  </si>
  <si>
    <t>Plant Air Tank</t>
  </si>
  <si>
    <t>223</t>
  </si>
  <si>
    <t>V7407</t>
  </si>
  <si>
    <t>V7807</t>
  </si>
  <si>
    <t>脱盐水罐</t>
  </si>
  <si>
    <t>DI Water Tank</t>
  </si>
  <si>
    <t>224</t>
  </si>
  <si>
    <t>E7101ab</t>
  </si>
  <si>
    <t>E7501ab</t>
  </si>
  <si>
    <t>毛油预热器</t>
  </si>
  <si>
    <t>Feed Preheater</t>
  </si>
  <si>
    <t>Feed Preheater c/w accessories</t>
  </si>
  <si>
    <t>152</t>
  </si>
  <si>
    <t>E7102ab</t>
  </si>
  <si>
    <t>E7502ab</t>
  </si>
  <si>
    <t>毛油加热器</t>
  </si>
  <si>
    <t>Feed Heater</t>
  </si>
  <si>
    <t>Feed Heater c/w accessories</t>
  </si>
  <si>
    <t>154</t>
  </si>
  <si>
    <t>E7103abcd</t>
  </si>
  <si>
    <t>E7503abcd</t>
  </si>
  <si>
    <r>
      <rPr>
        <b/>
        <sz val="5"/>
        <rFont val="Microsoft YaHei"/>
        <charset val="134"/>
      </rPr>
      <t>中和油</t>
    </r>
    <r>
      <rPr>
        <b/>
        <sz val="5"/>
        <rFont val="Calibri"/>
        <charset val="134"/>
      </rPr>
      <t>/</t>
    </r>
    <r>
      <rPr>
        <b/>
        <sz val="5"/>
        <rFont val="Microsoft YaHei"/>
        <charset val="134"/>
      </rPr>
      <t>吸附油换热器</t>
    </r>
  </si>
  <si>
    <t>Degumming Economizer</t>
  </si>
  <si>
    <t>Degumming Economizer c/w accessories</t>
  </si>
  <si>
    <t>159</t>
  </si>
  <si>
    <t>E7104</t>
  </si>
  <si>
    <t>E7504</t>
  </si>
  <si>
    <t>中和加热器</t>
  </si>
  <si>
    <t>Degumming Heater</t>
  </si>
  <si>
    <t>Degumming Heater c/w accessories</t>
  </si>
  <si>
    <t>160</t>
  </si>
  <si>
    <t>E7108</t>
  </si>
  <si>
    <t>E7508</t>
  </si>
  <si>
    <t>脱盐水加热器</t>
  </si>
  <si>
    <t>DI Water Heater</t>
  </si>
  <si>
    <t>DI Water Heater c/w accessories</t>
  </si>
  <si>
    <t>164</t>
  </si>
  <si>
    <t>E7201</t>
  </si>
  <si>
    <t>E7601</t>
  </si>
  <si>
    <t>干燥油加热器</t>
  </si>
  <si>
    <t>Bleaching Heater</t>
  </si>
  <si>
    <t>169</t>
  </si>
  <si>
    <t>E7202</t>
  </si>
  <si>
    <t>E7602</t>
  </si>
  <si>
    <t>吹饼冷凝器</t>
  </si>
  <si>
    <t>Leaf Filter Steam Condenser</t>
  </si>
  <si>
    <t>171</t>
  </si>
  <si>
    <t>E9102</t>
  </si>
  <si>
    <t>锅炉给水第一预热器</t>
  </si>
  <si>
    <t>BFW Preheater 1</t>
  </si>
  <si>
    <t>232</t>
  </si>
  <si>
    <t>E9103</t>
  </si>
  <si>
    <t>除盐水预热器</t>
  </si>
  <si>
    <t>Demin Water Preheater</t>
  </si>
  <si>
    <t>233</t>
  </si>
  <si>
    <t>E9104</t>
  </si>
  <si>
    <t>中变气水冷却器</t>
  </si>
  <si>
    <t>Shift Gas Water Cooler</t>
  </si>
  <si>
    <t xml:space="preserve"> Shift Gas Water Cooler</t>
  </si>
  <si>
    <t>234</t>
  </si>
  <si>
    <t>E9107A/B</t>
  </si>
  <si>
    <t>锅炉给水第二预热器</t>
  </si>
  <si>
    <t>BFW Preheater 2</t>
  </si>
  <si>
    <t xml:space="preserve"> BFW Preheater 2</t>
  </si>
  <si>
    <t>235</t>
  </si>
  <si>
    <t>E9108</t>
  </si>
  <si>
    <t>原料气第一预热器</t>
  </si>
  <si>
    <t>Feedstock Preheater 1</t>
  </si>
  <si>
    <t>236</t>
  </si>
  <si>
    <t>E9109</t>
  </si>
  <si>
    <t>原料气第二预热器</t>
  </si>
  <si>
    <t>Feedstock Preheater 2</t>
  </si>
  <si>
    <t>237</t>
  </si>
  <si>
    <t>E9110A/B</t>
  </si>
  <si>
    <t>酸性水/净化水换热器</t>
  </si>
  <si>
    <t>Sour Water-Purified Water Preheater</t>
  </si>
  <si>
    <t>238</t>
  </si>
  <si>
    <t>E9111</t>
  </si>
  <si>
    <t>锅炉给水第三预热器</t>
  </si>
  <si>
    <t>BFW Preheater 3</t>
  </si>
  <si>
    <t xml:space="preserve"> BFW Preheater 3</t>
  </si>
  <si>
    <t>239</t>
  </si>
  <si>
    <t>E9112</t>
  </si>
  <si>
    <t>排污冷却器</t>
  </si>
  <si>
    <t>Blowdown Cooler</t>
  </si>
  <si>
    <t>240</t>
  </si>
  <si>
    <t>E9113</t>
  </si>
  <si>
    <t>开工换热器</t>
  </si>
  <si>
    <t>Start-up Preheater</t>
  </si>
  <si>
    <t>241</t>
  </si>
  <si>
    <t>E9115</t>
  </si>
  <si>
    <t>事故冷却器</t>
  </si>
  <si>
    <t>Accident Cooler</t>
  </si>
  <si>
    <t>Accident Cooler c/w accesrories</t>
  </si>
  <si>
    <t>242</t>
  </si>
  <si>
    <t>V9102</t>
  </si>
  <si>
    <t>燃料气缓冲罐</t>
  </si>
  <si>
    <t>Fuel Gas Buffer Drum</t>
  </si>
  <si>
    <t>252</t>
  </si>
  <si>
    <t>V9103</t>
  </si>
  <si>
    <t>中压汽水分离器</t>
  </si>
  <si>
    <t>Steam Drum</t>
  </si>
  <si>
    <t>253</t>
  </si>
  <si>
    <t>V9104</t>
  </si>
  <si>
    <t>中变气分水罐</t>
  </si>
  <si>
    <t>Shift Gas Separator</t>
  </si>
  <si>
    <t>254</t>
  </si>
  <si>
    <t>V9106</t>
  </si>
  <si>
    <t>凝结水缓冲罐</t>
  </si>
  <si>
    <t>Condensate Buffer Drum</t>
  </si>
  <si>
    <t>255</t>
  </si>
  <si>
    <t>V9108</t>
  </si>
  <si>
    <t>排污扩容器</t>
  </si>
  <si>
    <t>Blowdown Flash Drum</t>
  </si>
  <si>
    <t>256</t>
  </si>
  <si>
    <t>V9109</t>
  </si>
  <si>
    <t>放空气分液罐</t>
  </si>
  <si>
    <t>Vent Gas Knock-out Drum</t>
  </si>
  <si>
    <t>257</t>
  </si>
  <si>
    <t>V9201</t>
  </si>
  <si>
    <t>顺放气罐</t>
  </si>
  <si>
    <t>Purge Gas Drum</t>
  </si>
  <si>
    <t>258</t>
  </si>
  <si>
    <t>V9202</t>
  </si>
  <si>
    <t>解吸气缓冲罐</t>
  </si>
  <si>
    <t>Off Gas Buffer Drum</t>
  </si>
  <si>
    <t>259</t>
  </si>
  <si>
    <t>V9203</t>
  </si>
  <si>
    <t>解吸气混合罐</t>
  </si>
  <si>
    <t>Off Gas Mixing Drum</t>
  </si>
  <si>
    <t>260</t>
  </si>
  <si>
    <t>V9311</t>
  </si>
  <si>
    <t>蒸汽分水器</t>
  </si>
  <si>
    <t>Steam Knock-out Drum</t>
  </si>
  <si>
    <t>261</t>
  </si>
  <si>
    <t>V9312</t>
  </si>
  <si>
    <t>净化压缩空气缓冲罐</t>
  </si>
  <si>
    <t>Instrument Air Buffer Drum</t>
  </si>
  <si>
    <t>262</t>
  </si>
  <si>
    <t>P8401ab</t>
  </si>
  <si>
    <t>汽提塔顶回流泵</t>
  </si>
  <si>
    <t>Stripper Reflux Pump</t>
  </si>
  <si>
    <t>ECO-MAS-HVO-C-E-22020</t>
  </si>
  <si>
    <r>
      <rPr>
        <sz val="6"/>
        <rFont val="宋体"/>
        <charset val="134"/>
      </rPr>
      <t>大连深蓝泵业有限公司</t>
    </r>
  </si>
  <si>
    <t>HY2408ESHATAN07/08</t>
  </si>
  <si>
    <t>P8404ab</t>
  </si>
  <si>
    <t>分馏塔顶回流泵</t>
  </si>
  <si>
    <t>Distillation Reflux Pump</t>
  </si>
  <si>
    <t>P8405ab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</si>
  <si>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精馏塔侧线抽出泵</t>
    </r>
  </si>
  <si>
    <t>Vacuum Distillation Pump Around Pump</t>
  </si>
  <si>
    <t>P8408ab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</si>
  <si>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精馏塔回流泵</t>
    </r>
  </si>
  <si>
    <t>Vacuum Distillation Reflux Pump</t>
  </si>
  <si>
    <t>P8409ab</t>
  </si>
  <si>
    <t>石脑油稳定塔顶回流泵</t>
  </si>
  <si>
    <t>Bio-naphtha Stabilizer Reflux Pump</t>
  </si>
  <si>
    <t>P8410ab</t>
  </si>
  <si>
    <t>石脑油稳定塔底泵</t>
  </si>
  <si>
    <t>Bio-naphtha Stabilizer Bottom Pump</t>
  </si>
  <si>
    <t>P8412ab</t>
  </si>
  <si>
    <t>冷冻液输送泵</t>
  </si>
  <si>
    <t>Refrigerant Circulation Pump</t>
  </si>
  <si>
    <t>P8901ab</t>
  </si>
  <si>
    <t>火炬气凝液泵</t>
  </si>
  <si>
    <t>Flare Condensate pump</t>
  </si>
  <si>
    <t>P8902</t>
  </si>
  <si>
    <t>地下污油罐泵</t>
  </si>
  <si>
    <t>Slop Oil Pump</t>
  </si>
  <si>
    <t>P8903ab</t>
  </si>
  <si>
    <t>热水输送泵</t>
  </si>
  <si>
    <t>Hot Water Circulation Pump</t>
  </si>
  <si>
    <t>P8602ab</t>
  </si>
  <si>
    <t>硫浆泵</t>
  </si>
  <si>
    <t>Filter Feed Pump</t>
  </si>
  <si>
    <t>P8603ab</t>
  </si>
  <si>
    <t>滤液泵</t>
  </si>
  <si>
    <t>Filtrate Pump</t>
  </si>
  <si>
    <t>P7101ab</t>
  </si>
  <si>
    <t>P7501ab</t>
  </si>
  <si>
    <t>毛油泵</t>
  </si>
  <si>
    <t>Feed Pump</t>
  </si>
  <si>
    <t>P7103ab</t>
  </si>
  <si>
    <t>P7503ab</t>
  </si>
  <si>
    <t>酸炼油泵</t>
  </si>
  <si>
    <t>Degumming Pump</t>
  </si>
  <si>
    <t>P7105ab</t>
  </si>
  <si>
    <t>P7505ab</t>
  </si>
  <si>
    <t>中和油泵</t>
  </si>
  <si>
    <t>Neutralizing Pump</t>
  </si>
  <si>
    <t>P7107ab</t>
  </si>
  <si>
    <t>P7507ab</t>
  </si>
  <si>
    <t>热水泵</t>
  </si>
  <si>
    <t>Hot Water Pump</t>
  </si>
  <si>
    <t>Water Pump</t>
  </si>
  <si>
    <t>P7108ab</t>
  </si>
  <si>
    <t>P7508ab</t>
  </si>
  <si>
    <t>水洗泵</t>
  </si>
  <si>
    <t>Washing Pump</t>
  </si>
  <si>
    <t>P7110ab</t>
  </si>
  <si>
    <t>P7510ab</t>
  </si>
  <si>
    <t>回收水泵</t>
  </si>
  <si>
    <t>Recycle Water Pump</t>
  </si>
  <si>
    <t>P7111</t>
  </si>
  <si>
    <t>P7511</t>
  </si>
  <si>
    <t>回收油泵</t>
  </si>
  <si>
    <t>Recycle Oil Pump</t>
  </si>
  <si>
    <t>P7112</t>
  </si>
  <si>
    <t>P7512</t>
  </si>
  <si>
    <r>
      <rPr>
        <b/>
        <sz val="5"/>
        <rFont val="Calibri"/>
        <charset val="134"/>
      </rPr>
      <t>CIP</t>
    </r>
    <r>
      <rPr>
        <b/>
        <sz val="5"/>
        <rFont val="Microsoft YaHei"/>
        <charset val="134"/>
      </rPr>
      <t>泵</t>
    </r>
  </si>
  <si>
    <t>CIP Pump</t>
  </si>
  <si>
    <t>P7202ab</t>
  </si>
  <si>
    <t>P7602ab</t>
  </si>
  <si>
    <t>干燥油泵（一）</t>
  </si>
  <si>
    <t>Vacuum Dryer Pump (I)</t>
  </si>
  <si>
    <t>P7203abcdef</t>
  </si>
  <si>
    <t>P7603abcdef</t>
  </si>
  <si>
    <r>
      <rPr>
        <b/>
        <sz val="5"/>
        <rFont val="Microsoft YaHei"/>
        <charset val="134"/>
      </rPr>
      <t>吸附油泵</t>
    </r>
    <r>
      <rPr>
        <b/>
        <sz val="5"/>
        <rFont val="Calibri"/>
        <charset val="134"/>
      </rPr>
      <t>abcdef</t>
    </r>
  </si>
  <si>
    <t>Bleaching Pump</t>
  </si>
  <si>
    <t>P7204</t>
  </si>
  <si>
    <t>P7604</t>
  </si>
  <si>
    <t>吸附回收油泵</t>
  </si>
  <si>
    <t>Leaf Filter Oil Pump</t>
  </si>
  <si>
    <t>P7205ab</t>
  </si>
  <si>
    <t>P7605ab</t>
  </si>
  <si>
    <t>干燥油泵（二）</t>
  </si>
  <si>
    <t>Vacuum Dryer Pump (II)</t>
  </si>
  <si>
    <t>P7908ab</t>
  </si>
  <si>
    <t>凝结水泵</t>
  </si>
  <si>
    <t>Condensate Pump</t>
  </si>
  <si>
    <t>P7910ab</t>
  </si>
  <si>
    <t>废水泵</t>
  </si>
  <si>
    <t>Wastewater Pump</t>
  </si>
  <si>
    <t>P7909</t>
  </si>
  <si>
    <t>废油输送泵</t>
  </si>
  <si>
    <t>Waste Oil Pump</t>
  </si>
  <si>
    <t>P7403ab</t>
  </si>
  <si>
    <t>P7803ab</t>
  </si>
  <si>
    <t>脱盐水泵</t>
  </si>
  <si>
    <t>DI Water Pump</t>
  </si>
  <si>
    <t>P7907abc</t>
  </si>
  <si>
    <t>弱酸调和泵</t>
  </si>
  <si>
    <t>Acid Preparation Pump</t>
  </si>
  <si>
    <t>P7901ab</t>
  </si>
  <si>
    <t>弱酸输送泵</t>
  </si>
  <si>
    <t>Acid Transfer Pump</t>
  </si>
  <si>
    <t>P7902ab</t>
  </si>
  <si>
    <t>液碱输送泵</t>
  </si>
  <si>
    <t>Alkali Transfer Pump</t>
  </si>
  <si>
    <t>P8104ab</t>
  </si>
  <si>
    <t>注水泵</t>
  </si>
  <si>
    <t>Wash Water Pump</t>
  </si>
  <si>
    <t>ECO-MAS-HVO-C-E-22021</t>
  </si>
  <si>
    <r>
      <rPr>
        <sz val="6"/>
        <rFont val="宋体"/>
        <charset val="134"/>
      </rPr>
      <t>浙江天德泵业有限公司</t>
    </r>
  </si>
  <si>
    <t>HY2408ESHATAN06</t>
  </si>
  <si>
    <t>P8101ab</t>
  </si>
  <si>
    <t>加氢进料泵</t>
  </si>
  <si>
    <t>Hydrogenation Feed Pump</t>
  </si>
  <si>
    <t>ECO-MAS-HVO-C-E-22022</t>
  </si>
  <si>
    <r>
      <rPr>
        <sz val="6"/>
        <rFont val="宋体"/>
        <charset val="134"/>
      </rPr>
      <t>嘉利特荏原泵业有限公司</t>
    </r>
  </si>
  <si>
    <t>HY2408ESHATAN04</t>
  </si>
  <si>
    <t>P8105ab</t>
  </si>
  <si>
    <t>低分油循环泵</t>
  </si>
  <si>
    <t>Hydrogenation Circulation pump</t>
  </si>
  <si>
    <t>P8201ab</t>
  </si>
  <si>
    <t>异构化反应进料泵</t>
  </si>
  <si>
    <t>Isomerisation Feed Pump</t>
  </si>
  <si>
    <t>P8402ab</t>
  </si>
  <si>
    <t>分馏塔底泵</t>
  </si>
  <si>
    <t>Distillation Bottom Pump</t>
  </si>
  <si>
    <t>P8403ab</t>
  </si>
  <si>
    <t>分馏塔重沸炉泵</t>
  </si>
  <si>
    <t>Distillation Reboiler Pump</t>
  </si>
  <si>
    <t>P8406ab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</si>
  <si>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精馏塔底泵</t>
    </r>
  </si>
  <si>
    <t>Vacuum Distillation Bottom Pump</t>
  </si>
  <si>
    <t>P8407ab</t>
  </si>
  <si>
    <r>
      <rPr>
        <b/>
        <sz val="5"/>
        <rFont val="Calibri"/>
        <charset val="134"/>
      </rPr>
      <t>HVO</t>
    </r>
    <r>
      <rPr>
        <b/>
        <sz val="5"/>
        <rFont val="Microsoft YaHei"/>
        <charset val="134"/>
      </rPr>
      <t>精馏塔底重沸炉泵</t>
    </r>
  </si>
  <si>
    <t>Vacuum Distillation Reboiler Pump</t>
  </si>
  <si>
    <t>P8601ab</t>
  </si>
  <si>
    <t>吸收液泵</t>
  </si>
  <si>
    <t>Solution Circulation Pump</t>
  </si>
  <si>
    <t>P9101A/B</t>
  </si>
  <si>
    <t>中压锅炉给水泵</t>
  </si>
  <si>
    <t>BFW Pump</t>
  </si>
  <si>
    <t>P9102A/B</t>
  </si>
  <si>
    <t>工艺凝结水泵</t>
  </si>
  <si>
    <t>Condensate Water Pump</t>
  </si>
  <si>
    <t>H9101</t>
  </si>
  <si>
    <t>转化炉</t>
  </si>
  <si>
    <t>Steam Reformer</t>
  </si>
  <si>
    <t>ECO-MAS-HVO-C-E-22023</t>
  </si>
  <si>
    <r>
      <rPr>
        <sz val="6"/>
        <rFont val="宋体"/>
        <charset val="134"/>
      </rPr>
      <t>上海卓然工程技术股份有限公司</t>
    </r>
  </si>
  <si>
    <r>
      <rPr>
        <b/>
        <sz val="6"/>
        <rFont val="Arial"/>
        <charset val="134"/>
      </rPr>
      <t xml:space="preserve">✔ </t>
    </r>
    <r>
      <rPr>
        <b/>
        <sz val="6"/>
        <color rgb="FFFF0000"/>
        <rFont val="宋体"/>
        <charset val="134"/>
      </rPr>
      <t>卓然设备较多，</t>
    </r>
    <r>
      <rPr>
        <b/>
        <sz val="6"/>
        <color rgb="FFFF0000"/>
        <rFont val="Arial"/>
        <charset val="134"/>
      </rPr>
      <t>NCC</t>
    </r>
    <r>
      <rPr>
        <b/>
        <sz val="6"/>
        <color rgb="FFFF0000"/>
        <rFont val="宋体"/>
        <charset val="134"/>
      </rPr>
      <t>尽快确认分船方案</t>
    </r>
  </si>
  <si>
    <t>E9101</t>
  </si>
  <si>
    <t>转化气蒸汽发生器</t>
  </si>
  <si>
    <t>Waste Heat Boiler</t>
  </si>
  <si>
    <t xml:space="preserve"> Waste Heat Boiler </t>
  </si>
  <si>
    <t>V9107</t>
  </si>
  <si>
    <t>除氧器及水箱</t>
  </si>
  <si>
    <t>Deaerator &amp; Water Tank</t>
  </si>
  <si>
    <t>F8101</t>
  </si>
  <si>
    <t>原料油过滤器</t>
  </si>
  <si>
    <t>Hydrogenation Feed Filter</t>
  </si>
  <si>
    <t>ECO-MAS-HVO-C-E-22024</t>
  </si>
  <si>
    <r>
      <rPr>
        <sz val="6"/>
        <rFont val="宋体"/>
        <charset val="134"/>
      </rPr>
      <t>南通星达过滤设备有限公司</t>
    </r>
  </si>
  <si>
    <t>Hydrogenation Feed Filter c/w accessories</t>
  </si>
  <si>
    <r>
      <rPr>
        <b/>
        <sz val="6"/>
        <color rgb="FFFF0000"/>
        <rFont val="Arial"/>
        <charset val="134"/>
      </rPr>
      <t>4</t>
    </r>
    <r>
      <rPr>
        <b/>
        <sz val="6"/>
        <color rgb="FFFF0000"/>
        <rFont val="宋体"/>
        <charset val="134"/>
      </rPr>
      <t>月</t>
    </r>
    <r>
      <rPr>
        <b/>
        <sz val="6"/>
        <color rgb="FFFF0000"/>
        <rFont val="Arial"/>
        <charset val="134"/>
      </rPr>
      <t>10~15</t>
    </r>
    <r>
      <rPr>
        <b/>
        <sz val="6"/>
        <color rgb="FFFF0000"/>
        <rFont val="宋体"/>
        <charset val="134"/>
      </rPr>
      <t>日具备交货条件</t>
    </r>
  </si>
  <si>
    <t>MMS24128SHATLA01</t>
  </si>
  <si>
    <t>F8201ab</t>
  </si>
  <si>
    <t>异构化原料油过滤器</t>
  </si>
  <si>
    <t>Isomerisation Feed Filter</t>
  </si>
  <si>
    <t>J8301</t>
  </si>
  <si>
    <t>加氢反应开工抽空器</t>
  </si>
  <si>
    <t>Startup Ejector</t>
  </si>
  <si>
    <t>ECO-MAS-HVO-C-E-22025</t>
  </si>
  <si>
    <r>
      <rPr>
        <sz val="6"/>
        <rFont val="宋体"/>
        <charset val="134"/>
      </rPr>
      <t>杭州杭真能源科技股份有限公司</t>
    </r>
  </si>
  <si>
    <t>NG24228SHATLA12</t>
  </si>
  <si>
    <t>SIL9101</t>
  </si>
  <si>
    <t>消音器</t>
  </si>
  <si>
    <t>Silencer</t>
  </si>
  <si>
    <t>SIL9102</t>
  </si>
  <si>
    <t>CPK8401</t>
  </si>
  <si>
    <r>
      <rPr>
        <b/>
        <sz val="5"/>
        <rFont val="Calibri"/>
        <charset val="134"/>
      </rPr>
      <t>HVO</t>
    </r>
    <r>
      <rPr>
        <b/>
        <sz val="5"/>
        <rFont val="Microsoft JhengHei"/>
        <charset val="136"/>
      </rPr>
      <t>精馏塔抽真空系统</t>
    </r>
  </si>
  <si>
    <t>Vaccum System</t>
  </si>
  <si>
    <t>CPK7401</t>
  </si>
  <si>
    <t>CPK7801</t>
  </si>
  <si>
    <t>抽真空系统</t>
  </si>
  <si>
    <t>X8601</t>
  </si>
  <si>
    <t>板框压滤机</t>
  </si>
  <si>
    <t>Filter Press</t>
  </si>
  <si>
    <t>ECO-MAS-HVO-C-E-22027</t>
  </si>
  <si>
    <r>
      <rPr>
        <sz val="6"/>
        <rFont val="宋体"/>
        <charset val="134"/>
      </rPr>
      <t>浙江隆源装备科技股份有限公司</t>
    </r>
  </si>
  <si>
    <t>4</t>
  </si>
  <si>
    <t>Filter Press c/w accessories</t>
  </si>
  <si>
    <t>EVER BLISS 1973-087S</t>
  </si>
  <si>
    <t>EGLV142401262734</t>
  </si>
  <si>
    <t>P7109ab</t>
  </si>
  <si>
    <t>P7509ab</t>
  </si>
  <si>
    <t>皂脚泵</t>
  </si>
  <si>
    <t>Soapstock Pump</t>
  </si>
  <si>
    <t>ECO-MAS-HVO-C-E-22028</t>
  </si>
  <si>
    <t>菲利普斯（青岛）有限公司/Boerger Pumps (Shanghai) Co., Ltd.劳衣斯博格尔泵（上海）有限公司</t>
  </si>
  <si>
    <t>MMS24128SHATLA05</t>
  </si>
  <si>
    <t>P7903</t>
  </si>
  <si>
    <t>皂脚输送泵（一）</t>
  </si>
  <si>
    <t>Soapstock Loading Pump (I)</t>
  </si>
  <si>
    <t>P7904</t>
  </si>
  <si>
    <t>皂脚输送泵（二）</t>
  </si>
  <si>
    <t>Soapstock Loading Pump (II)</t>
  </si>
  <si>
    <t>MX7101</t>
  </si>
  <si>
    <t>MX7501</t>
  </si>
  <si>
    <t>酸炼混合器</t>
  </si>
  <si>
    <t>Degumming Mixer</t>
  </si>
  <si>
    <t>ECO-MAS-HVO-C-E-22029</t>
  </si>
  <si>
    <t>29/02/2024</t>
  </si>
  <si>
    <t>阿法拉伐（上海）技术有限公司</t>
  </si>
  <si>
    <t>SEASPAN LUMACO 420S</t>
  </si>
  <si>
    <t>MAEU278528630</t>
  </si>
  <si>
    <t>MX7102</t>
  </si>
  <si>
    <t>MX7502</t>
  </si>
  <si>
    <t>中和混合器</t>
  </si>
  <si>
    <t>Neutralizing Mixer</t>
  </si>
  <si>
    <r>
      <rPr>
        <sz val="6"/>
        <rFont val="宋体"/>
        <charset val="134"/>
      </rPr>
      <t>阿法拉伐（上海）技术有限公司</t>
    </r>
  </si>
  <si>
    <t>MX7103</t>
  </si>
  <si>
    <t>MX7503</t>
  </si>
  <si>
    <t>水洗混合器</t>
  </si>
  <si>
    <t>Washing Mixer</t>
  </si>
  <si>
    <t>MX7201</t>
  </si>
  <si>
    <t>MX7601</t>
  </si>
  <si>
    <t>吸附混合器</t>
  </si>
  <si>
    <t>Bleaching Mixer</t>
  </si>
  <si>
    <t>F7101ab</t>
  </si>
  <si>
    <t>F7501ab</t>
  </si>
  <si>
    <t>毛油过滤器</t>
  </si>
  <si>
    <t>Feed Filter</t>
  </si>
  <si>
    <t>ECO-MAS-HVO-C-E-22030</t>
  </si>
  <si>
    <r>
      <rPr>
        <sz val="6"/>
        <rFont val="宋体"/>
        <charset val="134"/>
      </rPr>
      <t>江苏巨能机械有限公司</t>
    </r>
  </si>
  <si>
    <t>Feed Filter c/w accessories</t>
  </si>
  <si>
    <t>F7202ab</t>
  </si>
  <si>
    <t>F7602ab</t>
  </si>
  <si>
    <t>吸附油过滤器</t>
  </si>
  <si>
    <t>Bleaching Product Filter</t>
  </si>
  <si>
    <t>F7203ab</t>
  </si>
  <si>
    <t>F7603ab</t>
  </si>
  <si>
    <t>产品过滤器</t>
  </si>
  <si>
    <t>Product Filter</t>
  </si>
  <si>
    <t>SP7101</t>
  </si>
  <si>
    <t>SP7501</t>
  </si>
  <si>
    <t>碟式离心机（一）</t>
  </si>
  <si>
    <t>Disc Stack Centrifuge (I)</t>
  </si>
  <si>
    <t>CIP Malaysia</t>
  </si>
  <si>
    <t>Sweden</t>
  </si>
  <si>
    <t>ECO-MAS-HVO-C-E-22031</t>
  </si>
  <si>
    <t>瑞典阿法拉伐（中国）有限公司</t>
  </si>
  <si>
    <t>Alfa Laval(Sweden)</t>
  </si>
  <si>
    <t>2024/6/4</t>
  </si>
  <si>
    <t>2024/8/1</t>
  </si>
  <si>
    <t>CIF 2</t>
  </si>
  <si>
    <t>MERETE MAERSK / 423E</t>
  </si>
  <si>
    <t>STO0181738</t>
  </si>
  <si>
    <t>SP7102</t>
  </si>
  <si>
    <t>SP7502</t>
  </si>
  <si>
    <t>碟式离心机（二）</t>
  </si>
  <si>
    <t>Disc Stack Centrifuge (II)</t>
  </si>
  <si>
    <t>SP7103</t>
  </si>
  <si>
    <t>SP7503</t>
  </si>
  <si>
    <t>碟式离心机（三）</t>
  </si>
  <si>
    <t>Disc Stack Centrifuge (III)</t>
  </si>
  <si>
    <t>DC7101ab</t>
  </si>
  <si>
    <t>DC7501ab</t>
  </si>
  <si>
    <t>毛油卧螺离心机</t>
  </si>
  <si>
    <t>Feed Decanter</t>
  </si>
  <si>
    <t>Poland</t>
  </si>
  <si>
    <t>ECO-MAS-HVO-C-E-22032</t>
  </si>
  <si>
    <t>Alfa Laval(Demark)</t>
  </si>
  <si>
    <t>CIF 1</t>
  </si>
  <si>
    <t>Feed Decanter c/w accessories</t>
  </si>
  <si>
    <t xml:space="preserve">PEYTON LYNN C 060 </t>
  </si>
  <si>
    <t>VEJS24087221</t>
  </si>
  <si>
    <t>DC7102</t>
  </si>
  <si>
    <t>DC7502</t>
  </si>
  <si>
    <t>废渣卧螺离心机</t>
  </si>
  <si>
    <t>Sludge Decanter</t>
  </si>
  <si>
    <t>India</t>
  </si>
  <si>
    <t>Alfa Laval(India)</t>
  </si>
  <si>
    <t>2024/6/30</t>
  </si>
  <si>
    <t>2024/7/13</t>
  </si>
  <si>
    <t>2024/7/17</t>
  </si>
  <si>
    <t>CIF 3</t>
  </si>
  <si>
    <t>WAN HAI 369 / E004</t>
  </si>
  <si>
    <t>BOMS24098678</t>
  </si>
  <si>
    <r>
      <rPr>
        <b/>
        <sz val="5"/>
        <color rgb="FFFF0000"/>
        <rFont val="Calibri"/>
        <charset val="134"/>
      </rPr>
      <t>PX115</t>
    </r>
    <r>
      <rPr>
        <b/>
        <sz val="5"/>
        <color rgb="FFFF0000"/>
        <rFont val="宋体"/>
        <charset val="134"/>
      </rPr>
      <t>配件</t>
    </r>
  </si>
  <si>
    <t>碟式离心机配件</t>
  </si>
  <si>
    <t>LOT</t>
  </si>
  <si>
    <t>Alfa Laval(China)</t>
  </si>
  <si>
    <t>2024/8/6</t>
  </si>
  <si>
    <t>2024/8/13</t>
  </si>
  <si>
    <t>CIF 4</t>
  </si>
  <si>
    <t>无</t>
  </si>
  <si>
    <t>HANNAH SCHULTE V.0034S</t>
  </si>
  <si>
    <t>SITGSHAUK85197</t>
  </si>
  <si>
    <t>F7201abcdef</t>
  </si>
  <si>
    <t>F7601abcdef</t>
  </si>
  <si>
    <r>
      <rPr>
        <b/>
        <sz val="5"/>
        <rFont val="Microsoft YaHei"/>
        <charset val="134"/>
      </rPr>
      <t>叶片过滤机</t>
    </r>
    <r>
      <rPr>
        <b/>
        <sz val="5"/>
        <rFont val="Calibri"/>
        <charset val="134"/>
      </rPr>
      <t>abcdef</t>
    </r>
  </si>
  <si>
    <t>Leaf Filter</t>
  </si>
  <si>
    <t>ECO-MAS-HVO-C-E-22033</t>
  </si>
  <si>
    <t>Leaf Filter c/w accessories</t>
  </si>
  <si>
    <t>CPK7903</t>
  </si>
  <si>
    <t>白土输送系统</t>
  </si>
  <si>
    <t>Carclazyte delivery System</t>
  </si>
  <si>
    <t>ECO-MAS-HVO-C-E-22034</t>
  </si>
  <si>
    <t>山东省章丘鼓风机有限公司</t>
  </si>
  <si>
    <t>SITC YUNCHENG V.2409S</t>
  </si>
  <si>
    <t>SITGSHAU010005</t>
  </si>
  <si>
    <t>CPK7901</t>
  </si>
  <si>
    <t>柠檬酸拆包系统</t>
  </si>
  <si>
    <t>Unpacking System</t>
  </si>
  <si>
    <t>P8103abc</t>
  </si>
  <si>
    <t>注硫化剂泵</t>
  </si>
  <si>
    <t>DMDS Pump</t>
  </si>
  <si>
    <t>ECO-MAS-HVO-C-E-22035</t>
  </si>
  <si>
    <r>
      <rPr>
        <sz val="6"/>
        <rFont val="宋体"/>
        <charset val="134"/>
      </rPr>
      <t>里瓦（大连）流体技术有限公司</t>
    </r>
  </si>
  <si>
    <t>124/125</t>
  </si>
  <si>
    <t>MAEU278528628</t>
  </si>
  <si>
    <t>P8411ab</t>
  </si>
  <si>
    <r>
      <rPr>
        <b/>
        <sz val="5"/>
        <rFont val="Calibri"/>
        <charset val="134"/>
      </rPr>
      <t>LPG</t>
    </r>
    <r>
      <rPr>
        <b/>
        <sz val="5"/>
        <rFont val="Microsoft YaHei"/>
        <charset val="134"/>
      </rPr>
      <t>输送泵</t>
    </r>
  </si>
  <si>
    <t>LPG Pump</t>
  </si>
  <si>
    <t>P8604</t>
  </si>
  <si>
    <t>螯合剂计量泵</t>
  </si>
  <si>
    <t>Chelating Agent Pump</t>
  </si>
  <si>
    <t>P8605</t>
  </si>
  <si>
    <t>表面活性剂计量泵</t>
  </si>
  <si>
    <t>Surfactant Pump</t>
  </si>
  <si>
    <t>P8606</t>
  </si>
  <si>
    <r>
      <rPr>
        <b/>
        <sz val="5"/>
        <rFont val="Calibri"/>
        <charset val="134"/>
      </rPr>
      <t>KOH</t>
    </r>
    <r>
      <rPr>
        <b/>
        <sz val="5"/>
        <rFont val="Microsoft YaHei"/>
        <charset val="134"/>
      </rPr>
      <t>计量泵</t>
    </r>
  </si>
  <si>
    <t>KOH Pump</t>
  </si>
  <si>
    <t>CIS8901</t>
  </si>
  <si>
    <t>注阻垢剂成套设施</t>
  </si>
  <si>
    <t>Scale Inhibitor Dosing System</t>
  </si>
  <si>
    <t>MMS24128SHATLA03</t>
  </si>
  <si>
    <t>CIS8902</t>
  </si>
  <si>
    <t>注抗氧化剂成套设施</t>
  </si>
  <si>
    <t>Antioxidant Dosing System</t>
  </si>
  <si>
    <t>Antioxidant Dosing System c/w accessories</t>
  </si>
  <si>
    <t>P7102ab</t>
  </si>
  <si>
    <t>P7502ab</t>
  </si>
  <si>
    <t>弱酸添加泵（一）</t>
  </si>
  <si>
    <t>Acid Dosing Pump (I)</t>
  </si>
  <si>
    <t>P7104ab</t>
  </si>
  <si>
    <t>P7504ab</t>
  </si>
  <si>
    <t>液碱添加泵</t>
  </si>
  <si>
    <t>Alkali Pump</t>
  </si>
  <si>
    <t>P7106ab</t>
  </si>
  <si>
    <t>P7506ab</t>
  </si>
  <si>
    <t>弱酸添加泵（二）</t>
  </si>
  <si>
    <t>Acid Dosing Pump (II)</t>
  </si>
  <si>
    <t>P7201ab</t>
  </si>
  <si>
    <t>P7601ab</t>
  </si>
  <si>
    <t>弱酸添加泵（三）</t>
  </si>
  <si>
    <t>Acid Dosing Pump (III)</t>
  </si>
  <si>
    <t xml:space="preserve"> Acid Dosing Pump (III)</t>
  </si>
  <si>
    <t>CIS9101</t>
  </si>
  <si>
    <t>磷酸三钠溶液加药系统</t>
  </si>
  <si>
    <t>Na3PO4 solution</t>
  </si>
  <si>
    <t>Na3PO4 solution system</t>
  </si>
  <si>
    <t>CIS9102</t>
  </si>
  <si>
    <t>加中和胺加药系统</t>
  </si>
  <si>
    <t>Diamine solution</t>
  </si>
  <si>
    <t>Diamine solution system c/w accessories</t>
  </si>
  <si>
    <t>CU8401</t>
  </si>
  <si>
    <t>冷冻机组</t>
  </si>
  <si>
    <t>Refrigeration Unit</t>
  </si>
  <si>
    <t>ECO-MAS-HVO-C-E-22037</t>
  </si>
  <si>
    <r>
      <rPr>
        <sz val="6"/>
        <rFont val="宋体"/>
        <charset val="134"/>
      </rPr>
      <t>辰栎尚（上海）科技有限公司</t>
    </r>
  </si>
  <si>
    <t>Refrigeration system c/w accessories</t>
  </si>
  <si>
    <t>HY2408ESHATAN05</t>
  </si>
  <si>
    <t>V7205</t>
  </si>
  <si>
    <t>V7605</t>
  </si>
  <si>
    <t>预混罐</t>
  </si>
  <si>
    <t>Slurry Tank</t>
  </si>
  <si>
    <t>ECO-MAS-HVO-C-E-23001</t>
  </si>
  <si>
    <r>
      <rPr>
        <sz val="6"/>
        <rFont val="宋体"/>
        <charset val="134"/>
      </rPr>
      <t>迈安德集团有限公司</t>
    </r>
  </si>
  <si>
    <t>MKW24166SHTJLG08</t>
  </si>
  <si>
    <t>V7206</t>
  </si>
  <si>
    <t>V7606</t>
  </si>
  <si>
    <t>吸附罐</t>
  </si>
  <si>
    <t>Bleaching Tank</t>
  </si>
  <si>
    <t>V7207</t>
  </si>
  <si>
    <t>V7607</t>
  </si>
  <si>
    <t>旋液分离器</t>
  </si>
  <si>
    <t>Cyclone Separator</t>
  </si>
  <si>
    <t>V7210</t>
  </si>
  <si>
    <t>V7610</t>
  </si>
  <si>
    <r>
      <rPr>
        <b/>
        <sz val="5"/>
        <rFont val="Microsoft YaHei"/>
        <charset val="134"/>
      </rPr>
      <t>液沫捕集器</t>
    </r>
    <r>
      <rPr>
        <b/>
        <sz val="5"/>
        <rFont val="Calibri"/>
        <charset val="134"/>
      </rPr>
      <t>(</t>
    </r>
    <r>
      <rPr>
        <b/>
        <sz val="5"/>
        <rFont val="Microsoft YaHei"/>
        <charset val="134"/>
      </rPr>
      <t>二</t>
    </r>
    <r>
      <rPr>
        <b/>
        <sz val="5"/>
        <rFont val="Calibri"/>
        <charset val="134"/>
      </rPr>
      <t>)</t>
    </r>
  </si>
  <si>
    <t>Demister</t>
  </si>
  <si>
    <t>Demister c/w accessories</t>
  </si>
  <si>
    <t>V7211</t>
  </si>
  <si>
    <t>V7611</t>
  </si>
  <si>
    <r>
      <rPr>
        <b/>
        <sz val="5"/>
        <rFont val="Microsoft YaHei"/>
        <charset val="134"/>
      </rPr>
      <t>液沫捕集器</t>
    </r>
    <r>
      <rPr>
        <b/>
        <sz val="5"/>
        <rFont val="Calibri"/>
        <charset val="134"/>
      </rPr>
      <t>(</t>
    </r>
    <r>
      <rPr>
        <b/>
        <sz val="5"/>
        <rFont val="Microsoft YaHei"/>
        <charset val="134"/>
      </rPr>
      <t>一</t>
    </r>
    <r>
      <rPr>
        <b/>
        <sz val="5"/>
        <rFont val="Calibri"/>
        <charset val="134"/>
      </rPr>
      <t>)</t>
    </r>
  </si>
  <si>
    <t>V7215</t>
  </si>
  <si>
    <t>V7615</t>
  </si>
  <si>
    <r>
      <rPr>
        <b/>
        <sz val="5"/>
        <rFont val="Microsoft YaHei"/>
        <charset val="134"/>
      </rPr>
      <t>液沫捕集器</t>
    </r>
    <r>
      <rPr>
        <b/>
        <sz val="5"/>
        <rFont val="Calibri"/>
        <charset val="134"/>
      </rPr>
      <t>(</t>
    </r>
    <r>
      <rPr>
        <b/>
        <sz val="5"/>
        <rFont val="Microsoft YaHei"/>
        <charset val="134"/>
      </rPr>
      <t>三</t>
    </r>
    <r>
      <rPr>
        <b/>
        <sz val="5"/>
        <rFont val="Calibri"/>
        <charset val="134"/>
      </rPr>
      <t>)</t>
    </r>
  </si>
  <si>
    <t>E7106</t>
  </si>
  <si>
    <t>E7506</t>
  </si>
  <si>
    <t>水洗油加热器</t>
  </si>
  <si>
    <t>Vacuum Dryer Heater</t>
  </si>
  <si>
    <t>E7107</t>
  </si>
  <si>
    <t>E7507</t>
  </si>
  <si>
    <t>回收水换热器</t>
  </si>
  <si>
    <t>Recycle Water Heater</t>
  </si>
  <si>
    <t>E7203</t>
  </si>
  <si>
    <t>E7603</t>
  </si>
  <si>
    <t>产品冷却器</t>
  </si>
  <si>
    <t>Product Cooler</t>
  </si>
  <si>
    <t>E7901</t>
  </si>
  <si>
    <t>废水冷却器</t>
  </si>
  <si>
    <t>Wastewater Cooler</t>
  </si>
  <si>
    <t>脱硫装置塔内件</t>
  </si>
  <si>
    <r>
      <rPr>
        <b/>
        <sz val="5"/>
        <rFont val="Calibri"/>
        <charset val="134"/>
      </rPr>
      <t>H</t>
    </r>
    <r>
      <rPr>
        <b/>
        <sz val="3"/>
        <rFont val="Arial"/>
        <charset val="134"/>
      </rPr>
      <t>2</t>
    </r>
    <r>
      <rPr>
        <b/>
        <sz val="5"/>
        <rFont val="Arial"/>
        <charset val="134"/>
      </rPr>
      <t>SAbsorber Internal</t>
    </r>
  </si>
  <si>
    <t>ECO-MAS-HVO-C-E-23002</t>
  </si>
  <si>
    <t>30/12/2023</t>
  </si>
  <si>
    <t>烟台新瑞环保科技有限公司</t>
  </si>
  <si>
    <t>H2S Absorber Internal c/w accessories</t>
  </si>
  <si>
    <t>MKW24273CSTJLS07</t>
  </si>
  <si>
    <t>E9114</t>
  </si>
  <si>
    <t>开工电加热器</t>
  </si>
  <si>
    <t>Start-up Electric Heater</t>
  </si>
  <si>
    <t>ECO-MAS-HVO-C-E-23004</t>
  </si>
  <si>
    <t>31/1/2024</t>
  </si>
  <si>
    <r>
      <rPr>
        <sz val="6"/>
        <rFont val="宋体"/>
        <charset val="134"/>
      </rPr>
      <t>镇江裕太防爆电加热器</t>
    </r>
  </si>
  <si>
    <t>HY2408ESHATAN03</t>
  </si>
  <si>
    <t>MX8101</t>
  </si>
  <si>
    <t>静态混合器（一）</t>
  </si>
  <si>
    <t>Static Mixer (I)</t>
  </si>
  <si>
    <t>ECO-MAS-HVO-C-E-23005</t>
  </si>
  <si>
    <r>
      <rPr>
        <sz val="6"/>
        <rFont val="宋体"/>
        <charset val="134"/>
      </rPr>
      <t>无锡市伊诺特石化机械设备有限公司</t>
    </r>
  </si>
  <si>
    <t>MMS24128SHATLA07</t>
  </si>
  <si>
    <t>MX8102</t>
  </si>
  <si>
    <t>静态混合器（二）</t>
  </si>
  <si>
    <t>Static Mixer (II)</t>
  </si>
  <si>
    <t>MX7104</t>
  </si>
  <si>
    <t>MX7504</t>
  </si>
  <si>
    <t>MX7105</t>
  </si>
  <si>
    <t>MX7505</t>
  </si>
  <si>
    <t>MX7106</t>
  </si>
  <si>
    <t>MX7506</t>
  </si>
  <si>
    <t>静态混合器（三）</t>
  </si>
  <si>
    <t>Static Mixer (III)</t>
  </si>
  <si>
    <t>MX9101</t>
  </si>
  <si>
    <t>静态混合器</t>
  </si>
  <si>
    <t>Static Mixer</t>
  </si>
  <si>
    <t>Mixer</t>
  </si>
  <si>
    <t>MX9102</t>
  </si>
  <si>
    <t>MX9103</t>
  </si>
  <si>
    <t>MX9104</t>
  </si>
  <si>
    <t>ISBL</t>
  </si>
  <si>
    <t>安全阀</t>
  </si>
  <si>
    <t>Safety Valve</t>
  </si>
  <si>
    <t>ECO-MAS-HVO-C-E-23007</t>
  </si>
  <si>
    <t>15/01/2024</t>
  </si>
  <si>
    <t>阀泰科技（上海）有限公司，莱斯安全阀门（天津）有限公司</t>
  </si>
  <si>
    <r>
      <rPr>
        <b/>
        <sz val="6"/>
        <color theme="1"/>
        <rFont val="Arial"/>
        <charset val="134"/>
      </rPr>
      <t>✔</t>
    </r>
    <r>
      <rPr>
        <b/>
        <sz val="6"/>
        <color theme="1"/>
        <rFont val="宋体"/>
        <charset val="134"/>
      </rPr>
      <t>，</t>
    </r>
    <r>
      <rPr>
        <b/>
        <sz val="6"/>
        <color rgb="FFFF0000"/>
        <rFont val="宋体"/>
        <charset val="134"/>
      </rPr>
      <t>发货太早建议根据项目时间要求调整货期</t>
    </r>
  </si>
  <si>
    <t>MAEU278528629</t>
  </si>
  <si>
    <t>CPK8601</t>
  </si>
  <si>
    <t>CIS8601?</t>
  </si>
  <si>
    <t>液化气汽化器</t>
  </si>
  <si>
    <t>Vaporizer</t>
  </si>
  <si>
    <t>ECO-MAS-HVO-C-E-23008</t>
  </si>
  <si>
    <r>
      <rPr>
        <sz val="6"/>
        <rFont val="宋体"/>
        <charset val="134"/>
      </rPr>
      <t>天津奥利达环保设备有限公司</t>
    </r>
  </si>
  <si>
    <t>Buyer to appoint within:
Shanghai/Dalian/Tianjin</t>
  </si>
  <si>
    <t>NG24228SHATLA11</t>
  </si>
  <si>
    <t>V7402</t>
  </si>
  <si>
    <t>V7802</t>
  </si>
  <si>
    <t>真空液封罐</t>
  </si>
  <si>
    <t>Vaccum Seal Drum</t>
  </si>
  <si>
    <t>ECO-MAS-HVO-C-E-23022</t>
  </si>
  <si>
    <t>15/04/2024</t>
  </si>
  <si>
    <t>Pressure  Vessel</t>
  </si>
  <si>
    <t>290</t>
  </si>
  <si>
    <t>NG24228SHATLA02</t>
  </si>
  <si>
    <t>P7911</t>
  </si>
  <si>
    <t>废水输送泵</t>
  </si>
  <si>
    <t>Wastewater pump</t>
  </si>
  <si>
    <t>ECO-MAS-HVO-C-E-23021/ECO-MAS-HVO-C-E-23021A</t>
  </si>
  <si>
    <t>28/2/2024</t>
  </si>
  <si>
    <r>
      <rPr>
        <sz val="5"/>
        <rFont val="宋体"/>
        <charset val="134"/>
      </rPr>
      <t>未在免表</t>
    </r>
  </si>
  <si>
    <t>HY2408ESHATAN09</t>
  </si>
  <si>
    <t>Piping</t>
  </si>
  <si>
    <r>
      <rPr>
        <b/>
        <sz val="5"/>
        <rFont val="Calibri"/>
        <charset val="134"/>
      </rPr>
      <t>ISBL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>800</t>
    </r>
    <r>
      <rPr>
        <b/>
        <sz val="5"/>
        <rFont val="Microsoft YaHei"/>
        <charset val="134"/>
      </rPr>
      <t>）</t>
    </r>
  </si>
  <si>
    <r>
      <rPr>
        <b/>
        <sz val="5"/>
        <rFont val="Microsoft YaHei"/>
        <charset val="134"/>
      </rPr>
      <t>镍基合金钢（</t>
    </r>
    <r>
      <rPr>
        <b/>
        <sz val="5"/>
        <rFont val="Calibri"/>
        <charset val="134"/>
      </rPr>
      <t>NO8825</t>
    </r>
    <r>
      <rPr>
        <b/>
        <sz val="5"/>
        <rFont val="Microsoft YaHei"/>
        <charset val="134"/>
      </rPr>
      <t>）  管材</t>
    </r>
  </si>
  <si>
    <t>nickel-based alloy steel (NO8825)pipes</t>
  </si>
  <si>
    <t>m</t>
  </si>
  <si>
    <t>ECO-MAS-HVO-C-M-23009</t>
  </si>
  <si>
    <r>
      <rPr>
        <sz val="6"/>
        <rFont val="宋体"/>
        <charset val="134"/>
      </rPr>
      <t>浙江久立</t>
    </r>
  </si>
  <si>
    <t>327~330</t>
  </si>
  <si>
    <r>
      <rPr>
        <sz val="6"/>
        <rFont val="Arial"/>
        <charset val="134"/>
      </rPr>
      <t>MV.MIKAWA</t>
    </r>
    <r>
      <rPr>
        <sz val="6"/>
        <rFont val="宋体"/>
        <charset val="134"/>
      </rPr>
      <t>，</t>
    </r>
    <r>
      <rPr>
        <sz val="6"/>
        <rFont val="Arial"/>
        <charset val="134"/>
      </rPr>
      <t>MV YANGTZE AMBITION,
MV VENUS,
AM BERYL/S24362</t>
    </r>
  </si>
  <si>
    <t>MKW24273CSTJLS15
MKW24273CSTJLS16
MKW24273CSTJLS17
MKW24273CSTJLS18
YA2407SG02
VN24328DGGPAG01
AM24362SHPG01</t>
  </si>
  <si>
    <r>
      <rPr>
        <b/>
        <sz val="5"/>
        <rFont val="Calibri"/>
        <charset val="134"/>
      </rPr>
      <t>ISBL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 xml:space="preserve">800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>700</t>
    </r>
    <r>
      <rPr>
        <b/>
        <sz val="5"/>
        <rFont val="Microsoft YaHei"/>
        <charset val="134"/>
      </rPr>
      <t>）</t>
    </r>
  </si>
  <si>
    <t>双相钢(S32205)管材</t>
  </si>
  <si>
    <t>duplex stainless  steel (S32205)pipes</t>
  </si>
  <si>
    <t>t</t>
  </si>
  <si>
    <t>ECO-MAS-HVO-C-M-23009
ECO-MAS-HVO-C-M-23026</t>
  </si>
  <si>
    <r>
      <rPr>
        <sz val="6"/>
        <rFont val="宋体"/>
        <charset val="134"/>
      </rPr>
      <t>浙江久立、江苏武进</t>
    </r>
  </si>
  <si>
    <r>
      <rPr>
        <sz val="6"/>
        <rFont val="Arial"/>
        <charset val="134"/>
      </rPr>
      <t>MV.MIKAWA</t>
    </r>
    <r>
      <rPr>
        <sz val="6"/>
        <rFont val="宋体"/>
        <charset val="134"/>
      </rPr>
      <t>，</t>
    </r>
    <r>
      <rPr>
        <sz val="6"/>
        <rFont val="Arial"/>
        <charset val="134"/>
      </rPr>
      <t>MV YANGTZE AMBITION</t>
    </r>
  </si>
  <si>
    <t>MKW24273CSTJLS15
MKW24273CSTJLS16
MKW24273CSTJLS17
MKW24273CSTJLS18
YA2407SG02</t>
  </si>
  <si>
    <r>
      <rPr>
        <b/>
        <sz val="5"/>
        <rFont val="Calibri"/>
        <charset val="134"/>
      </rPr>
      <t>ISBL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 xml:space="preserve">800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>700</t>
    </r>
    <r>
      <rPr>
        <b/>
        <sz val="5"/>
        <rFont val="Microsoft YaHei"/>
        <charset val="134"/>
      </rPr>
      <t xml:space="preserve">、
</t>
    </r>
    <r>
      <rPr>
        <b/>
        <sz val="5"/>
        <rFont val="Calibri"/>
        <charset val="134"/>
      </rPr>
      <t>900</t>
    </r>
    <r>
      <rPr>
        <b/>
        <sz val="5"/>
        <rFont val="Microsoft YaHei"/>
        <charset val="134"/>
      </rPr>
      <t>）</t>
    </r>
  </si>
  <si>
    <t>不锈钢管材</t>
  </si>
  <si>
    <r>
      <rPr>
        <b/>
        <sz val="5"/>
        <rFont val="Calibri"/>
        <charset val="134"/>
      </rPr>
      <t>stainless steel pipes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 xml:space="preserve">304L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 xml:space="preserve">321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>316L)</t>
    </r>
  </si>
  <si>
    <r>
      <rPr>
        <b/>
        <sz val="5"/>
        <rFont val="Microsoft YaHei"/>
        <charset val="134"/>
      </rPr>
      <t>镍基合金钢（</t>
    </r>
    <r>
      <rPr>
        <b/>
        <sz val="5"/>
        <rFont val="Calibri"/>
        <charset val="134"/>
      </rPr>
      <t>NO8825</t>
    </r>
    <r>
      <rPr>
        <b/>
        <sz val="5"/>
        <rFont val="Microsoft YaHei"/>
        <charset val="134"/>
      </rPr>
      <t>）  阀门</t>
    </r>
  </si>
  <si>
    <t>nickel-based alloy steel (NO8825)valves</t>
  </si>
  <si>
    <t>ECO-MAS-HVO-C-M-23011
ECO-MAS-HVO-C-M-23024</t>
  </si>
  <si>
    <r>
      <rPr>
        <sz val="6"/>
        <rFont val="宋体"/>
        <charset val="134"/>
      </rPr>
      <t>凯斯通阀门有限公司</t>
    </r>
  </si>
  <si>
    <r>
      <rPr>
        <sz val="6"/>
        <rFont val="Arial"/>
        <charset val="134"/>
      </rPr>
      <t>1</t>
    </r>
    <r>
      <rPr>
        <sz val="6"/>
        <rFont val="宋体"/>
        <charset val="134"/>
      </rPr>
      <t>，</t>
    </r>
    <r>
      <rPr>
        <sz val="6"/>
        <rFont val="Arial"/>
        <charset val="134"/>
      </rPr>
      <t>4</t>
    </r>
    <r>
      <rPr>
        <sz val="6"/>
        <rFont val="宋体"/>
        <charset val="134"/>
      </rPr>
      <t>，</t>
    </r>
    <r>
      <rPr>
        <sz val="6"/>
        <rFont val="Arial"/>
        <charset val="134"/>
      </rPr>
      <t>5</t>
    </r>
  </si>
  <si>
    <t>317~322</t>
  </si>
  <si>
    <t>2+1+942+3207</t>
  </si>
  <si>
    <t>SEASPAN LUMACO 420S,REN JIAN 15 V.422S</t>
  </si>
  <si>
    <t>HY2408ESHATAN11,MAEU278528627,MAEU278528872</t>
  </si>
  <si>
    <t>双相钢(S32205)阀门</t>
  </si>
  <si>
    <t>duplex stainless  steel (S32205)valves</t>
  </si>
  <si>
    <t>不锈钢阀门</t>
  </si>
  <si>
    <r>
      <rPr>
        <b/>
        <sz val="5"/>
        <rFont val="Calibri"/>
        <charset val="134"/>
      </rPr>
      <t>stainless steel valves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 xml:space="preserve">304L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 xml:space="preserve">321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>316L)</t>
    </r>
  </si>
  <si>
    <t>部分已发货</t>
  </si>
  <si>
    <t>连体双阀</t>
  </si>
  <si>
    <t>integrated double valve stop valve</t>
  </si>
  <si>
    <r>
      <rPr>
        <b/>
        <sz val="5"/>
        <rFont val="Microsoft YaHei"/>
        <charset val="134"/>
      </rPr>
      <t>镍基合金钢（</t>
    </r>
    <r>
      <rPr>
        <b/>
        <sz val="5"/>
        <rFont val="Calibri"/>
        <charset val="134"/>
      </rPr>
      <t>NO8825</t>
    </r>
    <r>
      <rPr>
        <b/>
        <sz val="5"/>
        <rFont val="Microsoft YaHei"/>
        <charset val="134"/>
      </rPr>
      <t>）  管件、法兰</t>
    </r>
  </si>
  <si>
    <t>nickel-based alloy steel (NO8825) fittings and flanges</t>
  </si>
  <si>
    <t>pcs</t>
  </si>
  <si>
    <t>ECO-MAS-HVO-C-M-23010
ECO-MAS-HVO-C-M-23025</t>
  </si>
  <si>
    <r>
      <rPr>
        <sz val="6"/>
        <rFont val="宋体"/>
        <charset val="134"/>
      </rPr>
      <t>扬州管件厂</t>
    </r>
    <r>
      <rPr>
        <sz val="6"/>
        <rFont val="Arial"/>
        <charset val="134"/>
      </rPr>
      <t>(1)</t>
    </r>
    <r>
      <rPr>
        <sz val="6"/>
        <rFont val="宋体"/>
        <charset val="134"/>
      </rPr>
      <t>、江苏顺通</t>
    </r>
    <r>
      <rPr>
        <sz val="6"/>
        <rFont val="Arial"/>
        <charset val="134"/>
      </rPr>
      <t>(2)</t>
    </r>
  </si>
  <si>
    <t>331~332</t>
  </si>
  <si>
    <t>MKW24273CSTJLS15
MKW24273CSTJLS16
MKW24273CSTJLS17
MKW24273CSTJLS18</t>
  </si>
  <si>
    <t>双相钢(S32205)管件、法兰</t>
  </si>
  <si>
    <t>duplex stainless  steel (S32205) fittings and flanges</t>
  </si>
  <si>
    <t>不锈钢管件、法兰</t>
  </si>
  <si>
    <r>
      <rPr>
        <b/>
        <sz val="5"/>
        <rFont val="Calibri"/>
        <charset val="134"/>
      </rPr>
      <t>stainless steel fittings and flanges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 xml:space="preserve">304L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 xml:space="preserve">321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>316L)</t>
    </r>
  </si>
  <si>
    <r>
      <rPr>
        <b/>
        <sz val="5"/>
        <rFont val="Calibri"/>
        <charset val="134"/>
      </rPr>
      <t>ISBL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 xml:space="preserve">800 </t>
    </r>
    <r>
      <rPr>
        <b/>
        <sz val="5"/>
        <rFont val="Microsoft YaHei"/>
        <charset val="134"/>
      </rPr>
      <t>、</t>
    </r>
    <r>
      <rPr>
        <b/>
        <sz val="5"/>
        <rFont val="Calibri"/>
        <charset val="134"/>
      </rPr>
      <t>700</t>
    </r>
    <r>
      <rPr>
        <b/>
        <sz val="5"/>
        <rFont val="Microsoft YaHei"/>
        <charset val="134"/>
      </rPr>
      <t xml:space="preserve">、
</t>
    </r>
    <r>
      <rPr>
        <b/>
        <sz val="5"/>
        <rFont val="Calibri"/>
        <charset val="134"/>
      </rPr>
      <t>900</t>
    </r>
    <r>
      <rPr>
        <b/>
        <sz val="5"/>
        <rFont val="Microsoft JhengHei"/>
        <charset val="136"/>
      </rPr>
      <t>）</t>
    </r>
  </si>
  <si>
    <r>
      <rPr>
        <b/>
        <sz val="5"/>
        <rFont val="Microsoft YaHei"/>
        <charset val="134"/>
      </rPr>
      <t>地下管道</t>
    </r>
    <r>
      <rPr>
        <b/>
        <sz val="5"/>
        <rFont val="Calibri"/>
        <charset val="134"/>
      </rPr>
      <t>(</t>
    </r>
    <r>
      <rPr>
        <b/>
        <sz val="5"/>
        <rFont val="Microsoft YaHei"/>
        <charset val="134"/>
      </rPr>
      <t xml:space="preserve">不含电动阀，手阀，阻火器，螺栓，垫片，等
</t>
    </r>
    <r>
      <rPr>
        <b/>
        <sz val="5"/>
        <rFont val="Calibri"/>
        <charset val="134"/>
      </rPr>
      <t>)</t>
    </r>
  </si>
  <si>
    <t>Underground Piping (excluding MOV, Manual Valve, flame arrestor etc.)</t>
  </si>
  <si>
    <t>batch</t>
  </si>
  <si>
    <t>DAP China</t>
  </si>
  <si>
    <r>
      <rPr>
        <sz val="6"/>
        <rFont val="宋体"/>
        <charset val="134"/>
      </rPr>
      <t>湖南</t>
    </r>
  </si>
  <si>
    <t>DDP Malaysia Project Site</t>
  </si>
  <si>
    <t>Site</t>
  </si>
  <si>
    <t>340~353</t>
  </si>
  <si>
    <t>Instrument</t>
  </si>
  <si>
    <t>进口调节阀</t>
  </si>
  <si>
    <r>
      <rPr>
        <b/>
        <sz val="5"/>
        <color theme="5" tint="-0.25"/>
        <rFont val="Calibri"/>
        <charset val="134"/>
      </rPr>
      <t>regulating valve</t>
    </r>
    <r>
      <rPr>
        <b/>
        <sz val="5"/>
        <color theme="5" tint="-0.25"/>
        <rFont val="Microsoft YaHei"/>
        <charset val="134"/>
      </rPr>
      <t>（include  Self  operated  Regulating   Valve）</t>
    </r>
  </si>
  <si>
    <t>CIF Malaysia/FOB China</t>
  </si>
  <si>
    <t>Malaysia/China</t>
  </si>
  <si>
    <t>ECO-MAS-HVO-C-I-22040</t>
  </si>
  <si>
    <r>
      <rPr>
        <sz val="6"/>
        <color theme="5" tint="-0.25"/>
        <rFont val="等线"/>
        <charset val="134"/>
      </rPr>
      <t>沃斯麦（中国）有限公司</t>
    </r>
    <r>
      <rPr>
        <sz val="6"/>
        <color theme="5" tint="-0.25"/>
        <rFont val="Arial"/>
        <charset val="134"/>
      </rPr>
      <t>23024</t>
    </r>
  </si>
  <si>
    <t>CIF Malaysia</t>
  </si>
  <si>
    <t>CIF 5</t>
  </si>
  <si>
    <t>Control valve</t>
  </si>
  <si>
    <t>342</t>
  </si>
  <si>
    <t>B8JD03000001</t>
  </si>
  <si>
    <t>进口开关阀</t>
  </si>
  <si>
    <t>ON-OFF valve</t>
  </si>
  <si>
    <t>USA/CHINA</t>
  </si>
  <si>
    <t>ECO-MAS-HVO-C-I-22039</t>
  </si>
  <si>
    <t>栢励嵘有限公司</t>
  </si>
  <si>
    <t>2024/12/8</t>
  </si>
  <si>
    <t>ON/OFF VALVE</t>
  </si>
  <si>
    <t>341\343</t>
  </si>
  <si>
    <t>COSCO PHILPPINES OPGJCWIMA</t>
  </si>
  <si>
    <t>6402968340</t>
  </si>
  <si>
    <t>国产开关阀</t>
  </si>
  <si>
    <t>ECO-MAS-HVO-C-I-23013</t>
  </si>
  <si>
    <t>上海自动化仪表有限公司</t>
  </si>
  <si>
    <r>
      <rPr>
        <b/>
        <sz val="5"/>
        <rFont val="宋体"/>
        <charset val="134"/>
      </rPr>
      <t>集装箱船</t>
    </r>
    <r>
      <rPr>
        <b/>
        <sz val="5"/>
        <rFont val="Calibri"/>
        <charset val="134"/>
      </rPr>
      <t>Container Ship</t>
    </r>
  </si>
  <si>
    <t>9</t>
  </si>
  <si>
    <t>343</t>
  </si>
  <si>
    <t>SITC YUNCHENG V.2411S</t>
  </si>
  <si>
    <t>757410799290</t>
  </si>
  <si>
    <t>质量流量计</t>
  </si>
  <si>
    <t>Mass flowmeter</t>
  </si>
  <si>
    <t>CHINA</t>
  </si>
  <si>
    <t>ECO-MAS-HVO-C-I-23015A</t>
  </si>
  <si>
    <t>江苏圣若亚仪表有限公司</t>
  </si>
  <si>
    <r>
      <rPr>
        <b/>
        <sz val="5"/>
        <color theme="5" tint="-0.25"/>
        <rFont val="Calibri"/>
        <charset val="134"/>
      </rPr>
      <t xml:space="preserve">Shanghai </t>
    </r>
    <r>
      <rPr>
        <b/>
        <sz val="5"/>
        <color theme="5" tint="-0.25"/>
        <rFont val="Microsoft YaHei"/>
        <charset val="134"/>
      </rPr>
      <t>上海</t>
    </r>
  </si>
  <si>
    <t>2218E-700K-00-F46-001
2218E-800K-00-F46-001
22103D900_ZK-00_R148</t>
  </si>
  <si>
    <t>Flowmeter</t>
  </si>
  <si>
    <t>345</t>
  </si>
  <si>
    <t>YM COOPERATION V.039S</t>
  </si>
  <si>
    <t>SITGSHAU010015A</t>
  </si>
  <si>
    <t>涡街流量计</t>
  </si>
  <si>
    <t>Vortex Flowmeter</t>
  </si>
  <si>
    <t>ECO-MAS-HVO-C-I-23015B</t>
  </si>
  <si>
    <t>张家港凯胜控制设备工程有限公司</t>
  </si>
  <si>
    <t>2218E-700K-00-F46-002
2218E-800K-00-F46-002</t>
  </si>
  <si>
    <t>HANNAH SCHULTE V0035S</t>
  </si>
  <si>
    <t>SITGSHAU010007</t>
  </si>
  <si>
    <t>电磁流量计</t>
  </si>
  <si>
    <t>Electromagnetic Flowmeter</t>
  </si>
  <si>
    <r>
      <rPr>
        <sz val="6"/>
        <color theme="5" tint="-0.25"/>
        <rFont val="宋体"/>
        <charset val="134"/>
      </rPr>
      <t>张家港凯胜控制设备工程有限公司</t>
    </r>
  </si>
  <si>
    <t>2218E-700K-00-F46-004
2218E-800K-00-F46-004
22103D900_ZK-00_R149</t>
  </si>
  <si>
    <t>一体化孔板流量计</t>
  </si>
  <si>
    <t>Integrated orifice plate Flowmeter</t>
  </si>
  <si>
    <t>lot</t>
  </si>
  <si>
    <t>ECO-MAS-HVO-C-I-23017</t>
  </si>
  <si>
    <t>15/05/2024</t>
  </si>
  <si>
    <t>Assumed from China</t>
  </si>
  <si>
    <t>2218E-700K-00-F46-005
2218E-800K-00-F46-006
22103D900-ZK-00/R137</t>
  </si>
  <si>
    <t>346</t>
  </si>
  <si>
    <t>压差液位计</t>
  </si>
  <si>
    <t>differential pressure level transmitter</t>
  </si>
  <si>
    <t>2218E-700K-00-L46-001
2218E-800K-00-L46-001
22103D900_ZK-00_R121</t>
  </si>
  <si>
    <t>压力变送器</t>
  </si>
  <si>
    <t>Pressure transmitter</t>
  </si>
  <si>
    <t>2218E-700K-00-P46-001
2218E-800K-00-P46-001
22103D900_ZK-00_R120
22103D900_ZK-00_R122</t>
  </si>
  <si>
    <t>转子流量计</t>
  </si>
  <si>
    <t>VARIABLE AREA FLOWMETER</t>
  </si>
  <si>
    <t>ECO-MAS-HVO-C-I-23029</t>
  </si>
  <si>
    <t>张家港伊米克科技有限公司</t>
  </si>
  <si>
    <t>22103D900_ZK-00_R130</t>
  </si>
  <si>
    <t>楔形&amp;调整型流量计</t>
  </si>
  <si>
    <t>Wedge and &amp;Conditioning Flowmeter</t>
  </si>
  <si>
    <t>ECO-MAS-HVO-C-I-23016</t>
  </si>
  <si>
    <r>
      <rPr>
        <sz val="6"/>
        <rFont val="宋体"/>
        <charset val="134"/>
      </rPr>
      <t>南京唯莫科技有限公司</t>
    </r>
  </si>
  <si>
    <t>22103D900_ZK-00_R201</t>
  </si>
  <si>
    <t>overall</t>
  </si>
  <si>
    <r>
      <rPr>
        <b/>
        <sz val="5"/>
        <rFont val="Calibri"/>
        <charset val="134"/>
      </rPr>
      <t>DCS/SIS</t>
    </r>
    <r>
      <rPr>
        <b/>
        <sz val="5"/>
        <rFont val="Microsoft YaHei"/>
        <charset val="134"/>
      </rPr>
      <t>系统（不含家具）</t>
    </r>
  </si>
  <si>
    <r>
      <rPr>
        <b/>
        <sz val="5"/>
        <rFont val="Calibri"/>
        <charset val="134"/>
      </rPr>
      <t>DCS/SIS</t>
    </r>
    <r>
      <rPr>
        <b/>
        <sz val="5"/>
        <rFont val="Microsoft YaHei"/>
        <charset val="134"/>
      </rPr>
      <t>（exclusive  furniture）</t>
    </r>
  </si>
  <si>
    <t>ECO-MAS-HVO-C-I-22017</t>
  </si>
  <si>
    <t>10/04/2024</t>
  </si>
  <si>
    <t>艾默生过程控制有限公司</t>
  </si>
  <si>
    <t>SITC MAKASSAR V.2415S</t>
  </si>
  <si>
    <t>SITGSHAU010011</t>
  </si>
  <si>
    <t>Civil</t>
  </si>
  <si>
    <t>钢结构（详见图纸）</t>
  </si>
  <si>
    <r>
      <rPr>
        <b/>
        <sz val="5"/>
        <rFont val="Calibri"/>
        <charset val="134"/>
      </rPr>
      <t>steel structure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>See the drawing for details</t>
    </r>
    <r>
      <rPr>
        <b/>
        <sz val="5"/>
        <rFont val="Microsoft YaHei"/>
        <charset val="134"/>
      </rPr>
      <t>）</t>
    </r>
  </si>
  <si>
    <t>DDP Malaysia Project
Site</t>
  </si>
  <si>
    <t>ECO-MAS-HVO-C-M-23018</t>
  </si>
  <si>
    <t>浙江江南钢构股份有限公司</t>
  </si>
  <si>
    <t>China (DDP to Malaysia Project Site)</t>
  </si>
  <si>
    <r>
      <rPr>
        <b/>
        <sz val="5"/>
        <rFont val="Calibri"/>
        <charset val="134"/>
      </rPr>
      <t>(See the drawing for details - Qty: ~4000T</t>
    </r>
    <r>
      <rPr>
        <b/>
        <sz val="5"/>
        <rFont val="Microsoft JhengHei"/>
        <charset val="136"/>
      </rPr>
      <t>）</t>
    </r>
  </si>
  <si>
    <t>electric and telecom</t>
  </si>
  <si>
    <t>全无（除了设备自带电柜）</t>
  </si>
  <si>
    <r>
      <rPr>
        <b/>
        <sz val="5"/>
        <rFont val="Calibri"/>
        <charset val="134"/>
      </rPr>
      <t>none</t>
    </r>
    <r>
      <rPr>
        <b/>
        <sz val="5"/>
        <rFont val="Microsoft YaHei"/>
        <charset val="134"/>
      </rPr>
      <t>（</t>
    </r>
    <r>
      <rPr>
        <b/>
        <sz val="5"/>
        <rFont val="Calibri"/>
        <charset val="134"/>
      </rPr>
      <t>except package comes with electric cabinet</t>
    </r>
    <r>
      <rPr>
        <b/>
        <sz val="5"/>
        <rFont val="Microsoft YaHei"/>
        <charset val="134"/>
      </rPr>
      <t>）</t>
    </r>
  </si>
  <si>
    <t>ECO-MAS-CQ-C-E-22003-3</t>
  </si>
  <si>
    <t>上海汉兴化工科技有限公司(PCC合同以外）</t>
  </si>
  <si>
    <t>EVER VERA V.1994-003S</t>
  </si>
  <si>
    <t>EGLV142403123910</t>
  </si>
  <si>
    <t>P2101/P2102</t>
  </si>
  <si>
    <t>OSBL</t>
  </si>
  <si>
    <t>BIO-NAPHTHA TRANSFER PUMP</t>
  </si>
  <si>
    <t>ECRF01-000-ME-C-0001</t>
  </si>
  <si>
    <t>25/02/2024</t>
  </si>
  <si>
    <t>江苏双达泵业有限公司</t>
  </si>
  <si>
    <t>Bio-Naphtha Transfer Pumps</t>
  </si>
  <si>
    <t>270</t>
  </si>
  <si>
    <t>NG24228SHATLA09</t>
  </si>
  <si>
    <t>P2103AS</t>
  </si>
  <si>
    <t>OFFSPEC 1 TRANSFER PUMP</t>
  </si>
  <si>
    <t>Offspec 1 Transfer Pumps</t>
  </si>
  <si>
    <t>271</t>
  </si>
  <si>
    <t>P2104AS</t>
  </si>
  <si>
    <t>OFFSPEC 2 TRANSFER PUMP</t>
  </si>
  <si>
    <t>Offspec 2 Transfer Pumps</t>
  </si>
  <si>
    <t>272</t>
  </si>
  <si>
    <t>P2201AB</t>
  </si>
  <si>
    <t>HVO TRANSFER PUMP</t>
  </si>
  <si>
    <t>HVO Transfer Pumps</t>
  </si>
  <si>
    <t>274</t>
  </si>
  <si>
    <t>P2202AB</t>
  </si>
  <si>
    <t>SAF TRANSFER PUMP</t>
  </si>
  <si>
    <t>SAF Transfer Pumps</t>
  </si>
  <si>
    <t>275</t>
  </si>
  <si>
    <t>P2203AB</t>
  </si>
  <si>
    <t>HVO/SAF REPROCESSING PUMP</t>
  </si>
  <si>
    <t>HVO/SAF Reprocessing Pumps</t>
  </si>
  <si>
    <t>276</t>
  </si>
  <si>
    <t>P2301ABCS</t>
  </si>
  <si>
    <t>CRUDE FEEDSTOCK RECIRCULATION PUMP</t>
  </si>
  <si>
    <t>Crude Transfer Recirculation Pumps</t>
  </si>
  <si>
    <t>277</t>
  </si>
  <si>
    <t>P2302AB</t>
  </si>
  <si>
    <t>Crude Feedstock Recirculation Pumps</t>
  </si>
  <si>
    <t>278</t>
  </si>
  <si>
    <t>P2303AB</t>
  </si>
  <si>
    <t>TREATED FEEDSTOCK SHIP LOADING PUMP</t>
  </si>
  <si>
    <t>Treated Feedstock Ship Loading Pumps</t>
  </si>
  <si>
    <t>279</t>
  </si>
  <si>
    <t>P2304AB</t>
  </si>
  <si>
    <t>TREATED FEEDSTOCK TRANSFER PUMP</t>
  </si>
  <si>
    <t>Treated Feedstock Transfer Pumps</t>
  </si>
  <si>
    <t>280</t>
  </si>
  <si>
    <t>P2305AB</t>
  </si>
  <si>
    <t>CRUDE FEEDSTOCK TRANSFER PUMP</t>
  </si>
  <si>
    <t>Crude Feedstock Transfer Pumps</t>
  </si>
  <si>
    <t>281</t>
  </si>
  <si>
    <t>P2306AB</t>
  </si>
  <si>
    <t>282</t>
  </si>
  <si>
    <t>P2401ABCS</t>
  </si>
  <si>
    <t>CRUDE FEEDSTOCK UNLOADING PUMP</t>
  </si>
  <si>
    <t>CRUDE FEEDSTOCK LOADING PUMP</t>
  </si>
  <si>
    <t>283</t>
  </si>
  <si>
    <t>P3101AB</t>
  </si>
  <si>
    <t>P3101AB-City Water Pumps</t>
  </si>
  <si>
    <t>City Water Pumps</t>
  </si>
  <si>
    <r>
      <rPr>
        <sz val="5"/>
        <color rgb="FFFF0000"/>
        <rFont val="宋体"/>
        <charset val="134"/>
      </rPr>
      <t>未在免表</t>
    </r>
  </si>
  <si>
    <t>NG24228SHATLA10</t>
  </si>
  <si>
    <t>P3107AB</t>
  </si>
  <si>
    <t>Surge Transfer Pumps</t>
  </si>
  <si>
    <t>Surge Transfer Pump</t>
  </si>
  <si>
    <t>288</t>
  </si>
  <si>
    <t>P3801AB</t>
  </si>
  <si>
    <t>CONDENSATE TRANSFER PUMP</t>
  </si>
  <si>
    <t>Condensate Transfer Pump</t>
  </si>
  <si>
    <t>289</t>
  </si>
  <si>
    <t>成套包</t>
  </si>
  <si>
    <t>脱盐水系统</t>
  </si>
  <si>
    <t>DI Water System</t>
  </si>
  <si>
    <t>ECRF01-310-PE-C-0001</t>
  </si>
  <si>
    <t>31/12/2023</t>
  </si>
  <si>
    <t>山东格瑞水务有限公司</t>
  </si>
  <si>
    <t>DI Water system  C/W standard accessories</t>
  </si>
  <si>
    <t>296</t>
  </si>
  <si>
    <r>
      <rPr>
        <sz val="6"/>
        <rFont val="Arial"/>
        <charset val="134"/>
      </rPr>
      <t>MV.NAGAMOTO(</t>
    </r>
    <r>
      <rPr>
        <sz val="6"/>
        <rFont val="宋体"/>
        <charset val="134"/>
      </rPr>
      <t>永源</t>
    </r>
    <r>
      <rPr>
        <sz val="6"/>
        <rFont val="Arial"/>
        <charset val="134"/>
      </rPr>
      <t>) 
SITC MAKASSAR 2502S</t>
    </r>
  </si>
  <si>
    <t>NG24228SHATLA04
KMTCSHAN498746</t>
  </si>
  <si>
    <t>蒸汽锅炉系统</t>
  </si>
  <si>
    <t>Steam Boiler System</t>
  </si>
  <si>
    <t>ECRF01-320-PE-C-0001</t>
  </si>
  <si>
    <r>
      <rPr>
        <sz val="6"/>
        <rFont val="宋体"/>
        <charset val="134"/>
      </rPr>
      <t>江苏太湖锅炉股份有限公司</t>
    </r>
  </si>
  <si>
    <t>Steam Boiler  C/W standard accessories</t>
  </si>
  <si>
    <t>301</t>
  </si>
  <si>
    <t>MKW24273CSTJLS05</t>
  </si>
  <si>
    <t>循环水系统</t>
  </si>
  <si>
    <t>Cooling Water System</t>
  </si>
  <si>
    <t>ECRF01-330-WS-C-0001</t>
  </si>
  <si>
    <r>
      <rPr>
        <sz val="6"/>
        <rFont val="宋体"/>
        <charset val="134"/>
      </rPr>
      <t>江苏海鸥冷却塔股份有限公司</t>
    </r>
  </si>
  <si>
    <t>Cooling Water System C/W standard accessories</t>
  </si>
  <si>
    <t>295</t>
  </si>
  <si>
    <t>KMTC PENANG V.2408S</t>
  </si>
  <si>
    <t>SITGSHAU010004</t>
  </si>
  <si>
    <t>空压站</t>
  </si>
  <si>
    <t>Instrument Air and Plant Air System</t>
  </si>
  <si>
    <t>ECRF01-340-PE-C-0001</t>
  </si>
  <si>
    <t>10/01/2024</t>
  </si>
  <si>
    <t>复盛易利达（上海）压缩机有限公司</t>
  </si>
  <si>
    <t>Plant Air &amp; Instrument Air Compressor System C/W standard accessories</t>
  </si>
  <si>
    <t>300</t>
  </si>
  <si>
    <t>SITC YUNCHENG V.2407S</t>
  </si>
  <si>
    <t>SXPGP24060081</t>
  </si>
  <si>
    <t>制氮系统</t>
  </si>
  <si>
    <t>Nitrogen System</t>
  </si>
  <si>
    <t>ECRF01-350-PE-C-0001</t>
  </si>
  <si>
    <t>30/05/2024</t>
  </si>
  <si>
    <t>杭州川空通用设备有限公司</t>
  </si>
  <si>
    <t>Nitrogen Generation System C/W standard accessories</t>
  </si>
  <si>
    <t>299</t>
  </si>
  <si>
    <r>
      <rPr>
        <b/>
        <sz val="6"/>
        <color rgb="FFFF0000"/>
        <rFont val="宋体"/>
        <charset val="134"/>
      </rPr>
      <t>合同交货期</t>
    </r>
    <r>
      <rPr>
        <b/>
        <sz val="6"/>
        <color rgb="FFFF0000"/>
        <rFont val="Arial"/>
        <charset val="134"/>
      </rPr>
      <t>5</t>
    </r>
    <r>
      <rPr>
        <b/>
        <sz val="6"/>
        <color rgb="FFFF0000"/>
        <rFont val="宋体"/>
        <charset val="134"/>
      </rPr>
      <t>月</t>
    </r>
    <r>
      <rPr>
        <b/>
        <sz val="6"/>
        <color rgb="FFFF0000"/>
        <rFont val="Arial"/>
        <charset val="134"/>
      </rPr>
      <t>31</t>
    </r>
    <r>
      <rPr>
        <b/>
        <sz val="6"/>
        <color rgb="FFFF0000"/>
        <rFont val="宋体"/>
        <charset val="134"/>
      </rPr>
      <t>日，液氮泵为</t>
    </r>
    <r>
      <rPr>
        <b/>
        <sz val="6"/>
        <color rgb="FFFF0000"/>
        <rFont val="Arial"/>
        <charset val="134"/>
      </rPr>
      <t>CIF</t>
    </r>
    <r>
      <rPr>
        <b/>
        <sz val="6"/>
        <color rgb="FFFF0000"/>
        <rFont val="宋体"/>
        <charset val="134"/>
      </rPr>
      <t>马来西亚（预计</t>
    </r>
    <r>
      <rPr>
        <b/>
        <sz val="6"/>
        <color rgb="FFFF0000"/>
        <rFont val="Arial"/>
        <charset val="134"/>
      </rPr>
      <t>7</t>
    </r>
    <r>
      <rPr>
        <b/>
        <sz val="6"/>
        <color rgb="FFFF0000"/>
        <rFont val="宋体"/>
        <charset val="134"/>
      </rPr>
      <t>月</t>
    </r>
    <r>
      <rPr>
        <b/>
        <sz val="6"/>
        <color rgb="FFFF0000"/>
        <rFont val="Arial"/>
        <charset val="134"/>
      </rPr>
      <t>15</t>
    </r>
    <r>
      <rPr>
        <b/>
        <sz val="6"/>
        <color rgb="FFFF0000"/>
        <rFont val="宋体"/>
        <charset val="134"/>
      </rPr>
      <t>日）</t>
    </r>
  </si>
  <si>
    <t>MKW24273CSTJLS13</t>
  </si>
  <si>
    <t>污水处理系统</t>
  </si>
  <si>
    <t>IETS System</t>
  </si>
  <si>
    <t>ECRF01-400-WS-C-0001</t>
  </si>
  <si>
    <t>麦王环境技术有限公司</t>
  </si>
  <si>
    <t>Industrial Effluents Treatment System C/W standard accessories</t>
  </si>
  <si>
    <t>298</t>
  </si>
  <si>
    <t>MKW24273CSTJLS09
MKW24273CSTJLS19
MKW24273CSTJLS20</t>
  </si>
  <si>
    <t>柴油发电机</t>
  </si>
  <si>
    <t>Emergency Diesel Generator</t>
  </si>
  <si>
    <t>ECRF01-520-PE-C-0001</t>
  </si>
  <si>
    <t>山东华菱能源科技有限公司</t>
  </si>
  <si>
    <t xml:space="preserve"> Diesel Generator unit  C/W standard accessories</t>
  </si>
  <si>
    <t>297</t>
  </si>
  <si>
    <t>MKW24273CSTJLS08</t>
  </si>
  <si>
    <t>E3801</t>
  </si>
  <si>
    <t>蒸汽冷凝器</t>
  </si>
  <si>
    <t>Steam Condenser</t>
  </si>
  <si>
    <t>15/4/2024</t>
  </si>
  <si>
    <t>Heat Exchanger c/w accessories</t>
  </si>
  <si>
    <t>291</t>
  </si>
  <si>
    <t>E3802</t>
  </si>
  <si>
    <t>冷凝水换热器</t>
  </si>
  <si>
    <t>Condensate Cooler</t>
  </si>
  <si>
    <t>V3401</t>
  </si>
  <si>
    <t>工厂风罐</t>
  </si>
  <si>
    <t>Plant Air Receiver</t>
  </si>
  <si>
    <t>V3402</t>
  </si>
  <si>
    <t>Instrument Air Receiver</t>
  </si>
  <si>
    <t>V3505</t>
  </si>
  <si>
    <r>
      <rPr>
        <b/>
        <sz val="6"/>
        <rFont val="Microsoft YaHei"/>
        <charset val="134"/>
      </rPr>
      <t>低压氮气罐</t>
    </r>
    <r>
      <rPr>
        <b/>
        <sz val="6"/>
        <rFont val="Calibri"/>
        <charset val="134"/>
      </rPr>
      <t>1</t>
    </r>
  </si>
  <si>
    <t>LP Nitrogen Surge Tank1</t>
  </si>
  <si>
    <t>V3506</t>
  </si>
  <si>
    <r>
      <rPr>
        <b/>
        <sz val="6"/>
        <rFont val="Microsoft YaHei"/>
        <charset val="134"/>
      </rPr>
      <t>低压氮气罐</t>
    </r>
    <r>
      <rPr>
        <b/>
        <sz val="6"/>
        <rFont val="Calibri"/>
        <charset val="134"/>
      </rPr>
      <t>2</t>
    </r>
  </si>
  <si>
    <t>LP Nitrogen Surge Tank2</t>
  </si>
  <si>
    <t>V3507</t>
  </si>
  <si>
    <r>
      <rPr>
        <b/>
        <sz val="6"/>
        <rFont val="Microsoft YaHei"/>
        <charset val="134"/>
      </rPr>
      <t>低压氮气罐</t>
    </r>
    <r>
      <rPr>
        <b/>
        <sz val="6"/>
        <rFont val="Calibri"/>
        <charset val="134"/>
      </rPr>
      <t>3</t>
    </r>
  </si>
  <si>
    <t>LP Nitrogen Surge Tank3</t>
  </si>
  <si>
    <t>V3801</t>
  </si>
  <si>
    <t>冷凝水罐</t>
  </si>
  <si>
    <t>Condensate Vessel</t>
  </si>
  <si>
    <t>AC3801</t>
  </si>
  <si>
    <t>空冷器</t>
  </si>
  <si>
    <t>Air Cooler</t>
  </si>
  <si>
    <t>ECO-MAS-HVO-C-E-22013A</t>
  </si>
  <si>
    <t>25/4/2024</t>
  </si>
  <si>
    <t>Air cooler c/w accessories</t>
  </si>
  <si>
    <t>292</t>
  </si>
  <si>
    <t>P1801</t>
  </si>
  <si>
    <t>Waste Water Sump Pump</t>
  </si>
  <si>
    <t xml:space="preserve">Wastewater Transfer Pump </t>
  </si>
  <si>
    <t>287</t>
  </si>
  <si>
    <t>P3701</t>
  </si>
  <si>
    <t>Sump Pump</t>
  </si>
  <si>
    <t xml:space="preserve">Sump Pump </t>
  </si>
  <si>
    <t>284</t>
  </si>
  <si>
    <t>P3702</t>
  </si>
  <si>
    <t>P3703</t>
  </si>
  <si>
    <t>P3704</t>
  </si>
  <si>
    <t>P3705</t>
  </si>
  <si>
    <t>FORM E</t>
  </si>
  <si>
    <t>MMS24128SHATLA06</t>
  </si>
  <si>
    <t>P3711</t>
  </si>
  <si>
    <t>Oil Skim Pump</t>
  </si>
  <si>
    <t xml:space="preserve">Oil Skim Pump </t>
  </si>
  <si>
    <t>285</t>
  </si>
  <si>
    <t>P3712</t>
  </si>
  <si>
    <t>286</t>
  </si>
  <si>
    <t>P3713</t>
  </si>
  <si>
    <r>
      <rPr>
        <b/>
        <sz val="6"/>
        <rFont val="Microsoft YaHei"/>
        <charset val="134"/>
      </rPr>
      <t>地下管道</t>
    </r>
    <r>
      <rPr>
        <b/>
        <sz val="6"/>
        <rFont val="Calibri"/>
        <charset val="134"/>
      </rPr>
      <t>(</t>
    </r>
    <r>
      <rPr>
        <b/>
        <sz val="6"/>
        <rFont val="Microsoft YaHei"/>
        <charset val="134"/>
      </rPr>
      <t>不含电动阀，手阀，阻火器，
螺栓，垫片，等</t>
    </r>
    <r>
      <rPr>
        <b/>
        <sz val="6"/>
        <rFont val="Calibri"/>
        <charset val="134"/>
      </rPr>
      <t>)</t>
    </r>
  </si>
  <si>
    <t>Underground Piping (excluding MOV, Manual Valve, flame
arrestor etc)</t>
  </si>
  <si>
    <t>kg</t>
  </si>
  <si>
    <t>323~328</t>
  </si>
  <si>
    <t>OSBL/ISBL</t>
  </si>
  <si>
    <t>调节阀</t>
  </si>
  <si>
    <r>
      <rPr>
        <b/>
        <sz val="6"/>
        <rFont val="Calibri"/>
        <charset val="134"/>
      </rPr>
      <t>regulating valve</t>
    </r>
    <r>
      <rPr>
        <b/>
        <sz val="6"/>
        <rFont val="Microsoft YaHei"/>
        <charset val="134"/>
      </rPr>
      <t>（include Self operated Regulating
Valve）</t>
    </r>
  </si>
  <si>
    <t>ECO-MAS-HVO-C-I-23014</t>
  </si>
  <si>
    <t>吴忠仪表有限责任公司</t>
  </si>
  <si>
    <t>344</t>
  </si>
  <si>
    <t>EVER BRAVE V.1991-077S</t>
  </si>
  <si>
    <t>EGLV142403113485</t>
  </si>
  <si>
    <t>开关阀</t>
  </si>
  <si>
    <t>ON-OFF valve(excluded PIPE PIGGING VALVE)</t>
  </si>
  <si>
    <t>ECO-MAS-HVO-C-I-23019</t>
  </si>
  <si>
    <t>30/06/2024</t>
  </si>
  <si>
    <t>SITGSHAU010015</t>
  </si>
  <si>
    <t>OVERALL</t>
  </si>
  <si>
    <t>DCS/SIS（整套系统包含UPS,电脑等）</t>
  </si>
  <si>
    <t>DCS/SIS system panels（including Computer、UPS、 button box，etc） &amp; Accessories</t>
  </si>
  <si>
    <t>仪表</t>
  </si>
  <si>
    <r>
      <rPr>
        <sz val="6"/>
        <color theme="5" tint="-0.25"/>
        <rFont val="宋体"/>
        <charset val="134"/>
      </rPr>
      <t>干气制氢部分供货（吸附剂</t>
    </r>
    <r>
      <rPr>
        <sz val="6"/>
        <color theme="5" tint="-0.25"/>
        <rFont val="Arial"/>
        <charset val="134"/>
      </rPr>
      <t>+</t>
    </r>
    <r>
      <rPr>
        <sz val="6"/>
        <color theme="5" tint="-0.25"/>
        <rFont val="宋体"/>
        <charset val="134"/>
      </rPr>
      <t>程控阀）</t>
    </r>
  </si>
  <si>
    <t>9,10</t>
  </si>
  <si>
    <r>
      <rPr>
        <sz val="5"/>
        <rFont val="Arial"/>
        <charset val="134"/>
      </rPr>
      <t>342</t>
    </r>
    <r>
      <rPr>
        <sz val="5"/>
        <rFont val="宋体"/>
        <charset val="134"/>
      </rPr>
      <t>，</t>
    </r>
    <r>
      <rPr>
        <sz val="5"/>
        <rFont val="Arial"/>
        <charset val="134"/>
      </rPr>
      <t>344</t>
    </r>
  </si>
  <si>
    <r>
      <rPr>
        <sz val="10"/>
        <color rgb="FFFF0000"/>
        <rFont val="等线"/>
        <charset val="134"/>
      </rPr>
      <t>运营</t>
    </r>
  </si>
  <si>
    <t>制氢催化剂</t>
  </si>
  <si>
    <t>DAP</t>
  </si>
  <si>
    <t>ECO-MAS-HVO-C-M-22038</t>
  </si>
  <si>
    <t>30/07/2024</t>
  </si>
  <si>
    <r>
      <rPr>
        <sz val="6"/>
        <color theme="5" tint="-0.25"/>
        <rFont val="Arial"/>
        <charset val="134"/>
      </rPr>
      <t xml:space="preserve">Clariant Catalyst </t>
    </r>
    <r>
      <rPr>
        <sz val="6"/>
        <color theme="5" tint="-0.25"/>
        <rFont val="等线"/>
        <charset val="134"/>
      </rPr>
      <t>（</t>
    </r>
    <r>
      <rPr>
        <sz val="6"/>
        <color theme="5" tint="-0.25"/>
        <rFont val="Arial"/>
        <charset val="134"/>
      </rPr>
      <t>Japan</t>
    </r>
    <r>
      <rPr>
        <sz val="6"/>
        <color theme="5" tint="-0.25"/>
        <rFont val="等线"/>
        <charset val="134"/>
      </rPr>
      <t>）</t>
    </r>
    <r>
      <rPr>
        <sz val="6"/>
        <color theme="5" tint="-0.25"/>
        <rFont val="Arial"/>
        <charset val="134"/>
      </rPr>
      <t>K.K</t>
    </r>
  </si>
  <si>
    <t>High pressure electro-magnetic flowmeter</t>
  </si>
  <si>
    <t>已提供</t>
  </si>
  <si>
    <t>Rotameter</t>
  </si>
  <si>
    <t>Tank</t>
  </si>
  <si>
    <t>T2101~T2105,T2201~T2206,T2301~T2311,T3101</t>
  </si>
  <si>
    <t>碳钢储罐钢板</t>
  </si>
  <si>
    <t>SA 283 Gr.C Fully Killed</t>
  </si>
  <si>
    <t>FOB</t>
  </si>
  <si>
    <t>甲定乙采</t>
  </si>
  <si>
    <t>ANN JOO</t>
  </si>
  <si>
    <r>
      <rPr>
        <b/>
        <sz val="5"/>
        <rFont val="宋体"/>
        <charset val="134"/>
      </rPr>
      <t>散杂货船</t>
    </r>
    <r>
      <rPr>
        <b/>
        <sz val="5"/>
        <rFont val="Arial"/>
        <charset val="134"/>
      </rPr>
      <t>BulkCargo Ship</t>
    </r>
  </si>
  <si>
    <r>
      <rPr>
        <sz val="6"/>
        <rFont val="Arial"/>
        <charset val="134"/>
      </rPr>
      <t>5</t>
    </r>
    <r>
      <rPr>
        <sz val="6"/>
        <rFont val="宋体"/>
        <charset val="134"/>
      </rPr>
      <t>，</t>
    </r>
    <r>
      <rPr>
        <sz val="6"/>
        <rFont val="Arial"/>
        <charset val="134"/>
      </rPr>
      <t>6</t>
    </r>
    <r>
      <rPr>
        <sz val="6"/>
        <rFont val="宋体"/>
        <charset val="134"/>
      </rPr>
      <t>，</t>
    </r>
    <r>
      <rPr>
        <sz val="6"/>
        <rFont val="Arial"/>
        <charset val="134"/>
      </rPr>
      <t>7</t>
    </r>
  </si>
  <si>
    <t>Storage tank c/w  Accessories</t>
  </si>
  <si>
    <t>309~311</t>
  </si>
  <si>
    <r>
      <rPr>
        <sz val="6"/>
        <rFont val="Arial"/>
        <charset val="134"/>
      </rPr>
      <t>MV.NAGAMOTO(</t>
    </r>
    <r>
      <rPr>
        <sz val="6"/>
        <rFont val="宋体"/>
        <charset val="134"/>
      </rPr>
      <t>永源</t>
    </r>
    <r>
      <rPr>
        <sz val="6"/>
        <rFont val="Arial"/>
        <charset val="134"/>
      </rPr>
      <t>) </t>
    </r>
    <r>
      <rPr>
        <sz val="6"/>
        <rFont val="宋体"/>
        <charset val="134"/>
      </rPr>
      <t>、</t>
    </r>
    <r>
      <rPr>
        <sz val="6"/>
        <rFont val="Arial"/>
        <charset val="134"/>
      </rPr>
      <t>MV.MIKAWA</t>
    </r>
    <r>
      <rPr>
        <sz val="6"/>
        <rFont val="宋体"/>
        <charset val="134"/>
      </rPr>
      <t>、</t>
    </r>
    <r>
      <rPr>
        <sz val="6"/>
        <rFont val="Arial"/>
        <charset val="134"/>
      </rPr>
      <t>MV VENUS</t>
    </r>
    <r>
      <rPr>
        <sz val="6"/>
        <rFont val="宋体"/>
        <charset val="134"/>
      </rPr>
      <t>、</t>
    </r>
    <r>
      <rPr>
        <sz val="6"/>
        <rFont val="Arial"/>
        <charset val="134"/>
      </rPr>
      <t>AM BERYL/S24362</t>
    </r>
  </si>
  <si>
    <r>
      <rPr>
        <sz val="6"/>
        <rFont val="Arial"/>
        <charset val="134"/>
      </rPr>
      <t>NG24228SHATLA05</t>
    </r>
    <r>
      <rPr>
        <sz val="6"/>
        <rFont val="宋体"/>
        <charset val="134"/>
      </rPr>
      <t>、</t>
    </r>
    <r>
      <rPr>
        <sz val="6"/>
        <rFont val="Arial"/>
        <charset val="134"/>
      </rPr>
      <t xml:space="preserve">
MKW24273CSTJLS15
MKW24273CSTJLS16
MKW24273CSTJLS17
MKW24273CSTJLS18
VN24328DGGPAG02
AM24362SHPG01</t>
    </r>
  </si>
  <si>
    <t>T2201~T2206,T2301~T2309</t>
  </si>
  <si>
    <t>SA 516 Gr.60 Fully Killed</t>
  </si>
  <si>
    <t>T2301~T2311</t>
  </si>
  <si>
    <t>不锈钢储罐钢板</t>
  </si>
  <si>
    <t>TP240 S31603</t>
  </si>
  <si>
    <t>甲采</t>
  </si>
  <si>
    <t>18.672t</t>
  </si>
  <si>
    <t>HY2408ESHATAN10</t>
  </si>
  <si>
    <t>变送器</t>
  </si>
  <si>
    <t>包含一体化孔板流量计\压差液位计\压力变送器</t>
  </si>
  <si>
    <t>台</t>
  </si>
  <si>
    <t>Batch#</t>
  </si>
  <si>
    <t>出厂时间</t>
  </si>
  <si>
    <t>ETD Tianjin</t>
  </si>
  <si>
    <t>ETA</t>
  </si>
  <si>
    <t>Arrival Site</t>
  </si>
  <si>
    <t>Qty of Cont.</t>
  </si>
  <si>
    <t>Status</t>
  </si>
  <si>
    <t>Batch1</t>
  </si>
  <si>
    <t>On the site</t>
  </si>
  <si>
    <t>178.768t</t>
  </si>
  <si>
    <r>
      <rPr>
        <sz val="11"/>
        <color theme="1"/>
        <rFont val="Arial"/>
        <charset val="134"/>
      </rPr>
      <t>250-3#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250-4#</t>
    </r>
  </si>
  <si>
    <t>Batch2</t>
  </si>
  <si>
    <t>Batch3</t>
  </si>
  <si>
    <r>
      <rPr>
        <sz val="11"/>
        <color theme="1"/>
        <rFont val="Arial"/>
        <charset val="134"/>
      </rPr>
      <t>250-4#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250-1#</t>
    </r>
  </si>
  <si>
    <t>Batch4</t>
  </si>
  <si>
    <t>Batch5</t>
  </si>
  <si>
    <t>250-1#</t>
  </si>
  <si>
    <t>Batch6</t>
  </si>
  <si>
    <t>2024/8/17</t>
  </si>
  <si>
    <t>On the sea</t>
  </si>
  <si>
    <r>
      <rPr>
        <sz val="11"/>
        <color theme="1"/>
        <rFont val="Arial"/>
        <charset val="134"/>
      </rPr>
      <t>250-2</t>
    </r>
    <r>
      <rPr>
        <sz val="11"/>
        <color theme="1"/>
        <rFont val="宋体"/>
        <charset val="134"/>
      </rPr>
      <t>#</t>
    </r>
  </si>
  <si>
    <t>Batch7</t>
  </si>
  <si>
    <t>250-1#~4#</t>
  </si>
  <si>
    <t>Batch8</t>
  </si>
  <si>
    <t>2024/8/16</t>
  </si>
  <si>
    <t>2024/8/20</t>
  </si>
  <si>
    <t>250-1#~4#,310,340</t>
  </si>
  <si>
    <t>Batch9</t>
  </si>
  <si>
    <t>Packing</t>
  </si>
  <si>
    <t>场地小单体</t>
  </si>
  <si>
    <t>Batch10</t>
  </si>
  <si>
    <t>单体260与场内小单体</t>
  </si>
  <si>
    <t>Batch11</t>
  </si>
  <si>
    <t>Batch12</t>
  </si>
  <si>
    <t>Batch13</t>
  </si>
  <si>
    <t>Batch14</t>
  </si>
  <si>
    <t>Batch15</t>
  </si>
  <si>
    <t>1.因近期船舱紧张，具体以实际为准；</t>
  </si>
  <si>
    <t>货物状态报告</t>
  </si>
  <si>
    <t>2</t>
  </si>
  <si>
    <t>打尺报告</t>
  </si>
  <si>
    <t>3</t>
  </si>
  <si>
    <t>装船报告</t>
  </si>
  <si>
    <t>提单</t>
  </si>
  <si>
    <t>发票箱单</t>
  </si>
  <si>
    <t>MPL&amp;DPL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</si>
</sst>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4409]dd/mm/yy;@"/>
    <numFmt numFmtId="177" formatCode="yyyy/m/d;@"/>
    <numFmt numFmtId="178" formatCode="dd/mm/yyyy;@"/>
    <numFmt numFmtId="179" formatCode="0_ "/>
    <numFmt numFmtId="180" formatCode="______________@"/>
    <numFmt numFmtId="181" formatCode="_(* #,##0.00_);_(* \(#,##0.00\);_(* &quot;-&quot;??_);_(@_)"/>
    <numFmt numFmtId="182" formatCode="[$-409]d\-mmm;@"/>
  </numFmts>
  <fonts count="81">
    <font>
      <sz val="11"/>
      <color rgb="FF000000"/>
      <name val="Arial"/>
      <charset val="204"/>
    </font>
    <font>
      <sz val="11"/>
      <color rgb="FF000000"/>
      <name val="宋体"/>
      <charset val="20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name val="Arial"/>
      <charset val="134"/>
    </font>
    <font>
      <sz val="11"/>
      <color rgb="FFFF0000"/>
      <name val="Arial"/>
      <charset val="204"/>
    </font>
    <font>
      <sz val="11"/>
      <color rgb="FFFF0000"/>
      <name val="Arial"/>
      <charset val="134"/>
    </font>
    <font>
      <b/>
      <sz val="11"/>
      <color theme="1"/>
      <name val="宋体"/>
      <charset val="134"/>
      <scheme val="minor"/>
    </font>
    <font>
      <b/>
      <sz val="6"/>
      <name val="Calibri"/>
      <charset val="134"/>
    </font>
    <font>
      <sz val="11"/>
      <color theme="5" tint="-0.25"/>
      <name val="Arial"/>
      <charset val="134"/>
    </font>
    <font>
      <sz val="6"/>
      <name val="Arial"/>
      <charset val="134"/>
    </font>
    <font>
      <strike/>
      <sz val="11"/>
      <name val="Arial"/>
      <charset val="134"/>
    </font>
    <font>
      <sz val="6"/>
      <color theme="5" tint="-0.25"/>
      <name val="Arial"/>
      <charset val="134"/>
    </font>
    <font>
      <b/>
      <sz val="6"/>
      <color rgb="FFFF0000"/>
      <name val="Arial"/>
      <charset val="134"/>
    </font>
    <font>
      <b/>
      <sz val="11"/>
      <name val="Arial"/>
      <charset val="134"/>
    </font>
    <font>
      <b/>
      <sz val="6"/>
      <name val="Arial"/>
      <charset val="134"/>
    </font>
    <font>
      <b/>
      <sz val="6"/>
      <color rgb="FFFF0000"/>
      <name val="宋体"/>
      <charset val="134"/>
    </font>
    <font>
      <b/>
      <sz val="6"/>
      <name val="宋体"/>
      <charset val="134"/>
    </font>
    <font>
      <b/>
      <sz val="5"/>
      <name val="Arial"/>
      <charset val="134"/>
    </font>
    <font>
      <b/>
      <sz val="5"/>
      <name val="Calibri"/>
      <charset val="134"/>
    </font>
    <font>
      <sz val="5"/>
      <name val="Arial"/>
      <charset val="134"/>
    </font>
    <font>
      <b/>
      <sz val="5"/>
      <name val="Microsoft YaHei"/>
      <charset val="134"/>
    </font>
    <font>
      <b/>
      <sz val="5"/>
      <name val="宋体"/>
      <charset val="134"/>
    </font>
    <font>
      <sz val="6"/>
      <color rgb="FFFF0000"/>
      <name val="Arial"/>
      <charset val="134"/>
    </font>
    <font>
      <sz val="6"/>
      <color theme="5" tint="-0.25"/>
      <name val="宋体"/>
      <charset val="134"/>
    </font>
    <font>
      <sz val="6"/>
      <color rgb="FF000000"/>
      <name val="Arial"/>
      <charset val="204"/>
    </font>
    <font>
      <sz val="6"/>
      <color rgb="FFFF0000"/>
      <name val="宋体"/>
      <charset val="134"/>
    </font>
    <font>
      <sz val="6"/>
      <name val="宋体"/>
      <charset val="134"/>
    </font>
    <font>
      <b/>
      <sz val="6"/>
      <color theme="1"/>
      <name val="宋体"/>
      <charset val="134"/>
    </font>
    <font>
      <sz val="5"/>
      <color theme="1"/>
      <name val="Arial"/>
      <charset val="134"/>
    </font>
    <font>
      <b/>
      <sz val="5"/>
      <color rgb="FFFF0000"/>
      <name val="Arial"/>
      <charset val="134"/>
    </font>
    <font>
      <b/>
      <sz val="5"/>
      <color rgb="FFFF0000"/>
      <name val="Calibri"/>
      <charset val="134"/>
    </font>
    <font>
      <b/>
      <sz val="5"/>
      <color rgb="FFFF0000"/>
      <name val="Microsoft YaHei"/>
      <charset val="134"/>
    </font>
    <font>
      <b/>
      <sz val="5"/>
      <color rgb="FFFF0000"/>
      <name val="宋体"/>
      <charset val="134"/>
    </font>
    <font>
      <sz val="5"/>
      <color rgb="FFFF0000"/>
      <name val="Arial"/>
      <charset val="134"/>
    </font>
    <font>
      <sz val="5"/>
      <color rgb="FFFF0000"/>
      <name val="宋体"/>
      <charset val="134"/>
    </font>
    <font>
      <b/>
      <sz val="5"/>
      <color theme="5" tint="-0.25"/>
      <name val="Arial"/>
      <charset val="134"/>
    </font>
    <font>
      <b/>
      <sz val="5"/>
      <color theme="5" tint="-0.25"/>
      <name val="Calibri"/>
      <charset val="134"/>
    </font>
    <font>
      <b/>
      <sz val="5"/>
      <color theme="5" tint="-0.25"/>
      <name val="Microsoft YaHei"/>
      <charset val="134"/>
    </font>
    <font>
      <b/>
      <sz val="6"/>
      <color theme="5" tint="-0.25"/>
      <name val="Arial"/>
      <charset val="134"/>
    </font>
    <font>
      <sz val="6"/>
      <color theme="5" tint="-0.25"/>
      <name val="等线"/>
      <charset val="134"/>
    </font>
    <font>
      <b/>
      <strike/>
      <sz val="5"/>
      <name val="Arial"/>
      <charset val="134"/>
    </font>
    <font>
      <b/>
      <strike/>
      <sz val="5"/>
      <name val="Calibri"/>
      <charset val="134"/>
    </font>
    <font>
      <b/>
      <strike/>
      <sz val="5"/>
      <name val="Microsoft YaHei"/>
      <charset val="134"/>
    </font>
    <font>
      <b/>
      <strike/>
      <sz val="6"/>
      <name val="Arial"/>
      <charset val="134"/>
    </font>
    <font>
      <b/>
      <sz val="11"/>
      <color rgb="FFFF0000"/>
      <name val="Arial"/>
      <charset val="134"/>
    </font>
    <font>
      <b/>
      <sz val="6"/>
      <name val="Microsoft YaHei"/>
      <charset val="134"/>
    </font>
    <font>
      <sz val="5"/>
      <name val="宋体"/>
      <charset val="134"/>
    </font>
    <font>
      <sz val="10"/>
      <color rgb="FFFF0000"/>
      <name val="Times New Roman"/>
      <charset val="134"/>
    </font>
    <font>
      <sz val="6"/>
      <color theme="5" tint="-0.25"/>
      <name val="Times New Roman"/>
      <charset val="134"/>
    </font>
    <font>
      <b/>
      <sz val="6"/>
      <color theme="5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FF0000"/>
      <name val="等线"/>
      <charset val="134"/>
    </font>
    <font>
      <b/>
      <sz val="5"/>
      <name val="Microsoft JhengHei"/>
      <charset val="136"/>
    </font>
    <font>
      <b/>
      <sz val="3"/>
      <name val="Arial"/>
      <charset val="134"/>
    </font>
    <font>
      <sz val="6"/>
      <color rgb="FF000000"/>
      <name val="宋体"/>
      <charset val="204"/>
    </font>
    <font>
      <b/>
      <sz val="6"/>
      <color theme="1"/>
      <name val="Arial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" fillId="13" borderId="6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4" borderId="9" applyNumberFormat="0" applyAlignment="0" applyProtection="0">
      <alignment vertical="center"/>
    </xf>
    <xf numFmtId="0" fontId="63" fillId="15" borderId="10" applyNumberFormat="0" applyAlignment="0" applyProtection="0">
      <alignment vertical="center"/>
    </xf>
    <xf numFmtId="0" fontId="64" fillId="15" borderId="9" applyNumberFormat="0" applyAlignment="0" applyProtection="0">
      <alignment vertical="center"/>
    </xf>
    <xf numFmtId="0" fontId="65" fillId="16" borderId="11" applyNumberFormat="0" applyAlignment="0" applyProtection="0">
      <alignment vertical="center"/>
    </xf>
    <xf numFmtId="0" fontId="66" fillId="0" borderId="12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3" fillId="0" borderId="0"/>
    <xf numFmtId="176" fontId="3" fillId="0" borderId="0"/>
  </cellStyleXfs>
  <cellXfs count="314"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2" fillId="0" borderId="0" xfId="0" applyFont="1" applyFill="1" applyAlignment="1"/>
    <xf numFmtId="0" fontId="3" fillId="0" borderId="0" xfId="0" applyFont="1" applyFill="1" applyAlignment="1"/>
    <xf numFmtId="177" fontId="2" fillId="0" borderId="0" xfId="0" applyNumberFormat="1" applyFont="1" applyFill="1" applyAlignment="1"/>
    <xf numFmtId="0" fontId="4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7" fontId="2" fillId="0" borderId="1" xfId="0" applyNumberFormat="1" applyFont="1" applyFill="1" applyBorder="1" applyAlignment="1"/>
    <xf numFmtId="14" fontId="2" fillId="0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/>
    <xf numFmtId="0" fontId="6" fillId="0" borderId="1" xfId="0" applyFont="1" applyFill="1" applyBorder="1" applyAlignment="1"/>
    <xf numFmtId="14" fontId="7" fillId="0" borderId="1" xfId="0" applyNumberFormat="1" applyFont="1" applyFill="1" applyBorder="1" applyAlignment="1"/>
    <xf numFmtId="49" fontId="8" fillId="0" borderId="1" xfId="0" applyNumberFormat="1" applyFont="1" applyFill="1" applyBorder="1" applyAlignment="1">
      <alignment horizontal="right" vertical="center" wrapText="1"/>
    </xf>
    <xf numFmtId="0" fontId="9" fillId="0" borderId="1" xfId="0" applyFont="1" applyFill="1" applyBorder="1" applyAlignment="1"/>
    <xf numFmtId="14" fontId="9" fillId="0" borderId="1" xfId="0" applyNumberFormat="1" applyFont="1" applyFill="1" applyBorder="1" applyAlignment="1"/>
    <xf numFmtId="14" fontId="9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left"/>
    </xf>
    <xf numFmtId="177" fontId="10" fillId="0" borderId="1" xfId="0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top" wrapText="1"/>
    </xf>
    <xf numFmtId="49" fontId="12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 wrapText="1"/>
    </xf>
    <xf numFmtId="49" fontId="1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left" vertical="top" wrapText="1"/>
    </xf>
    <xf numFmtId="49" fontId="12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left" vertical="top" wrapText="1"/>
    </xf>
    <xf numFmtId="177" fontId="7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vertical="center" wrapText="1"/>
    </xf>
    <xf numFmtId="178" fontId="16" fillId="2" borderId="0" xfId="0" applyNumberFormat="1" applyFont="1" applyFill="1" applyAlignment="1">
      <alignment horizontal="left" vertical="center" wrapText="1"/>
    </xf>
    <xf numFmtId="177" fontId="17" fillId="2" borderId="0" xfId="0" applyNumberFormat="1" applyFont="1" applyFill="1" applyAlignment="1">
      <alignment horizontal="left" vertical="center" wrapText="1"/>
    </xf>
    <xf numFmtId="49" fontId="7" fillId="3" borderId="0" xfId="0" applyNumberFormat="1" applyFont="1" applyFill="1" applyAlignment="1">
      <alignment horizontal="left" vertical="top" wrapText="1"/>
    </xf>
    <xf numFmtId="49" fontId="7" fillId="3" borderId="0" xfId="0" applyNumberFormat="1" applyFont="1" applyFill="1" applyAlignment="1">
      <alignment horizontal="left" vertical="center" wrapText="1"/>
    </xf>
    <xf numFmtId="177" fontId="18" fillId="3" borderId="0" xfId="0" applyNumberFormat="1" applyFont="1" applyFill="1" applyAlignment="1">
      <alignment horizontal="left" vertical="center" wrapText="1"/>
    </xf>
    <xf numFmtId="177" fontId="17" fillId="3" borderId="0" xfId="0" applyNumberFormat="1" applyFont="1" applyFill="1" applyAlignment="1">
      <alignment horizontal="left" vertical="center" wrapText="1"/>
    </xf>
    <xf numFmtId="49" fontId="13" fillId="3" borderId="0" xfId="0" applyNumberFormat="1" applyFont="1" applyFill="1" applyAlignment="1">
      <alignment horizontal="center" vertical="center" wrapText="1"/>
    </xf>
    <xf numFmtId="178" fontId="18" fillId="4" borderId="0" xfId="0" applyNumberFormat="1" applyFont="1" applyFill="1" applyAlignment="1">
      <alignment horizontal="left" vertical="center" wrapText="1"/>
    </xf>
    <xf numFmtId="179" fontId="7" fillId="0" borderId="0" xfId="0" applyNumberFormat="1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8" fontId="19" fillId="2" borderId="1" xfId="0" applyNumberFormat="1" applyFont="1" applyFill="1" applyBorder="1" applyAlignment="1">
      <alignment horizontal="center" vertical="center" wrapText="1"/>
    </xf>
    <xf numFmtId="177" fontId="20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77" fontId="20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178" fontId="20" fillId="4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179" fontId="11" fillId="3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80" fontId="22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177" fontId="7" fillId="0" borderId="1" xfId="0" applyNumberFormat="1" applyFont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178" fontId="16" fillId="2" borderId="1" xfId="0" applyNumberFormat="1" applyFont="1" applyFill="1" applyBorder="1" applyAlignment="1">
      <alignment horizontal="left" vertical="center" wrapText="1"/>
    </xf>
    <xf numFmtId="177" fontId="17" fillId="2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top" wrapText="1"/>
    </xf>
    <xf numFmtId="177" fontId="18" fillId="3" borderId="1" xfId="0" applyNumberFormat="1" applyFont="1" applyFill="1" applyBorder="1" applyAlignment="1">
      <alignment horizontal="left" vertical="center" wrapText="1"/>
    </xf>
    <xf numFmtId="177" fontId="17" fillId="3" borderId="1" xfId="0" applyNumberFormat="1" applyFont="1" applyFill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177" fontId="22" fillId="0" borderId="1" xfId="0" applyNumberFormat="1" applyFont="1" applyBorder="1" applyAlignment="1">
      <alignment horizontal="center" vertical="top" wrapText="1"/>
    </xf>
    <xf numFmtId="0" fontId="13" fillId="0" borderId="2" xfId="0" applyFont="1" applyBorder="1" applyAlignment="1">
      <alignment vertical="center" wrapText="1"/>
    </xf>
    <xf numFmtId="177" fontId="18" fillId="2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7" fontId="18" fillId="5" borderId="1" xfId="0" applyNumberFormat="1" applyFont="1" applyFill="1" applyBorder="1" applyAlignment="1">
      <alignment horizontal="center" vertical="center" wrapText="1"/>
    </xf>
    <xf numFmtId="177" fontId="18" fillId="3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1" fontId="21" fillId="0" borderId="1" xfId="0" applyNumberFormat="1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177" fontId="22" fillId="0" borderId="1" xfId="0" applyNumberFormat="1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wrapText="1"/>
    </xf>
    <xf numFmtId="178" fontId="16" fillId="2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top" wrapText="1"/>
    </xf>
    <xf numFmtId="49" fontId="13" fillId="6" borderId="1" xfId="0" applyNumberFormat="1" applyFont="1" applyFill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left" vertical="top" wrapText="1"/>
    </xf>
    <xf numFmtId="177" fontId="18" fillId="7" borderId="1" xfId="0" applyNumberFormat="1" applyFont="1" applyFill="1" applyBorder="1" applyAlignment="1">
      <alignment horizontal="center" vertical="center" wrapText="1"/>
    </xf>
    <xf numFmtId="1" fontId="21" fillId="4" borderId="1" xfId="0" applyNumberFormat="1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wrapText="1"/>
    </xf>
    <xf numFmtId="177" fontId="22" fillId="0" borderId="1" xfId="0" applyNumberFormat="1" applyFont="1" applyBorder="1" applyAlignment="1">
      <alignment horizontal="center" wrapText="1"/>
    </xf>
    <xf numFmtId="49" fontId="26" fillId="3" borderId="1" xfId="0" applyNumberFormat="1" applyFont="1" applyFill="1" applyBorder="1" applyAlignment="1">
      <alignment horizontal="center" vertical="top" wrapText="1"/>
    </xf>
    <xf numFmtId="0" fontId="24" fillId="0" borderId="1" xfId="0" applyFont="1" applyFill="1" applyBorder="1" applyAlignment="1">
      <alignment horizontal="left" vertical="center" wrapText="1"/>
    </xf>
    <xf numFmtId="1" fontId="21" fillId="0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wrapText="1"/>
    </xf>
    <xf numFmtId="177" fontId="22" fillId="0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vertical="top" wrapText="1"/>
    </xf>
    <xf numFmtId="178" fontId="19" fillId="0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top" wrapText="1"/>
    </xf>
    <xf numFmtId="49" fontId="15" fillId="0" borderId="1" xfId="0" applyNumberFormat="1" applyFont="1" applyFill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left" vertical="center" wrapText="1"/>
    </xf>
    <xf numFmtId="0" fontId="27" fillId="0" borderId="1" xfId="0" applyFont="1" applyFill="1" applyBorder="1" applyAlignment="1">
      <alignment vertical="center"/>
    </xf>
    <xf numFmtId="49" fontId="15" fillId="0" borderId="1" xfId="0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left" vertical="top" wrapText="1"/>
    </xf>
    <xf numFmtId="177" fontId="15" fillId="0" borderId="1" xfId="0" applyNumberFormat="1" applyFont="1" applyBorder="1" applyAlignment="1">
      <alignment horizontal="left" vertical="center" wrapText="1"/>
    </xf>
    <xf numFmtId="1" fontId="21" fillId="4" borderId="1" xfId="0" applyNumberFormat="1" applyFont="1" applyFill="1" applyBorder="1" applyAlignment="1">
      <alignment horizontal="left" vertical="top" wrapText="1"/>
    </xf>
    <xf numFmtId="177" fontId="22" fillId="4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top" wrapText="1"/>
    </xf>
    <xf numFmtId="178" fontId="16" fillId="4" borderId="3" xfId="0" applyNumberFormat="1" applyFont="1" applyFill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left" vertical="center" wrapText="1"/>
    </xf>
    <xf numFmtId="178" fontId="16" fillId="4" borderId="4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wrapText="1"/>
    </xf>
    <xf numFmtId="178" fontId="16" fillId="4" borderId="5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top" wrapText="1"/>
    </xf>
    <xf numFmtId="1" fontId="18" fillId="0" borderId="1" xfId="0" applyNumberFormat="1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0" fontId="29" fillId="0" borderId="2" xfId="0" applyFont="1" applyBorder="1" applyAlignment="1">
      <alignment vertical="center" wrapText="1"/>
    </xf>
    <xf numFmtId="177" fontId="18" fillId="9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30" fillId="0" borderId="2" xfId="0" applyFont="1" applyBorder="1" applyAlignment="1">
      <alignment vertical="top" wrapText="1"/>
    </xf>
    <xf numFmtId="178" fontId="31" fillId="4" borderId="3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vertical="top" wrapText="1"/>
    </xf>
    <xf numFmtId="0" fontId="22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1" fontId="21" fillId="0" borderId="1" xfId="0" applyNumberFormat="1" applyFont="1" applyBorder="1" applyAlignment="1">
      <alignment horizontal="center" wrapText="1"/>
    </xf>
    <xf numFmtId="49" fontId="13" fillId="0" borderId="2" xfId="0" applyNumberFormat="1" applyFont="1" applyBorder="1" applyAlignment="1">
      <alignment vertical="center" wrapText="1"/>
    </xf>
    <xf numFmtId="177" fontId="18" fillId="4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30" fillId="0" borderId="2" xfId="0" applyNumberFormat="1" applyFont="1" applyBorder="1" applyAlignment="1">
      <alignment vertical="top" wrapText="1"/>
    </xf>
    <xf numFmtId="0" fontId="7" fillId="5" borderId="1" xfId="0" applyFont="1" applyFill="1" applyBorder="1" applyAlignment="1">
      <alignment horizontal="left" vertical="top" wrapText="1"/>
    </xf>
    <xf numFmtId="181" fontId="32" fillId="0" borderId="1" xfId="0" applyNumberFormat="1" applyFont="1" applyFill="1" applyBorder="1" applyAlignment="1" applyProtection="1">
      <alignment horizontal="center" vertical="center"/>
      <protection locked="0"/>
    </xf>
    <xf numFmtId="178" fontId="18" fillId="4" borderId="3" xfId="0" applyNumberFormat="1" applyFont="1" applyFill="1" applyBorder="1" applyAlignment="1">
      <alignment horizontal="center" vertical="center" wrapText="1"/>
    </xf>
    <xf numFmtId="178" fontId="18" fillId="4" borderId="4" xfId="0" applyNumberFormat="1" applyFont="1" applyFill="1" applyBorder="1" applyAlignment="1">
      <alignment horizontal="center" vertical="center" wrapText="1"/>
    </xf>
    <xf numFmtId="178" fontId="18" fillId="4" borderId="5" xfId="0" applyNumberFormat="1" applyFont="1" applyFill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center" wrapText="1"/>
    </xf>
    <xf numFmtId="0" fontId="30" fillId="0" borderId="2" xfId="0" applyFont="1" applyBorder="1" applyAlignment="1">
      <alignment wrapText="1"/>
    </xf>
    <xf numFmtId="0" fontId="25" fillId="3" borderId="1" xfId="0" applyFont="1" applyFill="1" applyBorder="1" applyAlignment="1">
      <alignment horizontal="center" wrapText="1"/>
    </xf>
    <xf numFmtId="177" fontId="18" fillId="3" borderId="1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49" fontId="13" fillId="3" borderId="1" xfId="0" applyNumberFormat="1" applyFont="1" applyFill="1" applyBorder="1" applyAlignment="1">
      <alignment horizontal="center" wrapText="1"/>
    </xf>
    <xf numFmtId="181" fontId="32" fillId="0" borderId="1" xfId="0" applyNumberFormat="1" applyFont="1" applyFill="1" applyBorder="1" applyAlignment="1" applyProtection="1">
      <alignment horizontal="center"/>
      <protection locked="0"/>
    </xf>
    <xf numFmtId="0" fontId="23" fillId="0" borderId="1" xfId="0" applyFont="1" applyBorder="1" applyAlignment="1">
      <alignment horizontal="center" wrapText="1"/>
    </xf>
    <xf numFmtId="0" fontId="23" fillId="3" borderId="1" xfId="0" applyFont="1" applyFill="1" applyBorder="1" applyAlignment="1">
      <alignment horizontal="center" wrapText="1"/>
    </xf>
    <xf numFmtId="0" fontId="13" fillId="0" borderId="2" xfId="0" applyFont="1" applyBorder="1" applyAlignment="1">
      <alignment wrapText="1"/>
    </xf>
    <xf numFmtId="1" fontId="33" fillId="0" borderId="1" xfId="0" applyNumberFormat="1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5" fillId="0" borderId="1" xfId="0" applyFont="1" applyBorder="1" applyAlignment="1">
      <alignment horizontal="left" wrapText="1"/>
    </xf>
    <xf numFmtId="1" fontId="33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29" fillId="0" borderId="2" xfId="0" applyFont="1" applyBorder="1" applyAlignment="1">
      <alignment wrapText="1"/>
    </xf>
    <xf numFmtId="0" fontId="34" fillId="3" borderId="1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wrapText="1"/>
    </xf>
    <xf numFmtId="177" fontId="16" fillId="3" borderId="1" xfId="0" applyNumberFormat="1" applyFont="1" applyFill="1" applyBorder="1" applyAlignment="1">
      <alignment horizontal="center" wrapText="1"/>
    </xf>
    <xf numFmtId="49" fontId="26" fillId="3" borderId="1" xfId="0" applyNumberFormat="1" applyFont="1" applyFill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37" fillId="3" borderId="1" xfId="0" applyFont="1" applyFill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49" fontId="13" fillId="5" borderId="1" xfId="0" applyNumberFormat="1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left" vertical="top" wrapText="1"/>
    </xf>
    <xf numFmtId="178" fontId="16" fillId="4" borderId="1" xfId="0" applyNumberFormat="1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177" fontId="18" fillId="12" borderId="1" xfId="0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1" fontId="21" fillId="0" borderId="5" xfId="0" applyNumberFormat="1" applyFont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1" fontId="33" fillId="0" borderId="3" xfId="0" applyNumberFormat="1" applyFont="1" applyBorder="1" applyAlignment="1">
      <alignment horizontal="center" vertical="center" wrapText="1"/>
    </xf>
    <xf numFmtId="1" fontId="33" fillId="0" borderId="4" xfId="0" applyNumberFormat="1" applyFont="1" applyBorder="1" applyAlignment="1">
      <alignment horizontal="center" vertical="center" wrapText="1"/>
    </xf>
    <xf numFmtId="1" fontId="33" fillId="0" borderId="5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horizontal="left" vertical="top" wrapText="1"/>
    </xf>
    <xf numFmtId="1" fontId="21" fillId="0" borderId="1" xfId="0" applyNumberFormat="1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horizontal="center" vertical="top" wrapText="1"/>
    </xf>
    <xf numFmtId="177" fontId="22" fillId="0" borderId="1" xfId="0" applyNumberFormat="1" applyFont="1" applyFill="1" applyBorder="1" applyAlignment="1">
      <alignment horizontal="center" vertical="top" wrapText="1"/>
    </xf>
    <xf numFmtId="49" fontId="13" fillId="0" borderId="2" xfId="0" applyNumberFormat="1" applyFont="1" applyFill="1" applyBorder="1" applyAlignment="1">
      <alignment vertical="top" wrapText="1"/>
    </xf>
    <xf numFmtId="178" fontId="16" fillId="0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1" fontId="39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77" fontId="40" fillId="0" borderId="1" xfId="0" applyNumberFormat="1" applyFont="1" applyBorder="1" applyAlignment="1">
      <alignment horizontal="center" vertical="center" wrapText="1"/>
    </xf>
    <xf numFmtId="0" fontId="15" fillId="0" borderId="2" xfId="0" applyFont="1" applyFill="1" applyBorder="1" applyAlignment="1">
      <alignment vertical="center"/>
    </xf>
    <xf numFmtId="177" fontId="42" fillId="2" borderId="1" xfId="0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43" fillId="0" borderId="2" xfId="0" applyFont="1" applyFill="1" applyBorder="1" applyAlignment="1">
      <alignment vertical="center"/>
    </xf>
    <xf numFmtId="178" fontId="42" fillId="2" borderId="1" xfId="0" applyNumberFormat="1" applyFont="1" applyFill="1" applyBorder="1" applyAlignment="1">
      <alignment horizontal="center" vertical="center" wrapText="1"/>
    </xf>
    <xf numFmtId="49" fontId="27" fillId="0" borderId="2" xfId="0" applyNumberFormat="1" applyFont="1" applyBorder="1" applyAlignment="1">
      <alignment vertical="center" wrapText="1"/>
    </xf>
    <xf numFmtId="1" fontId="39" fillId="0" borderId="3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1" fontId="39" fillId="0" borderId="5" xfId="0" applyNumberFormat="1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vertical="center" wrapText="1"/>
    </xf>
    <xf numFmtId="1" fontId="44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1" fontId="44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29" fillId="0" borderId="2" xfId="0" applyFont="1" applyFill="1" applyBorder="1" applyAlignment="1">
      <alignment vertical="center" wrapText="1"/>
    </xf>
    <xf numFmtId="0" fontId="45" fillId="3" borderId="1" xfId="0" applyFont="1" applyFill="1" applyBorder="1" applyAlignment="1">
      <alignment horizontal="center" vertical="center" wrapText="1"/>
    </xf>
    <xf numFmtId="177" fontId="47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177" fontId="4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77" fontId="34" fillId="0" borderId="1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left" vertical="top" wrapText="1"/>
    </xf>
    <xf numFmtId="177" fontId="7" fillId="0" borderId="1" xfId="0" applyNumberFormat="1" applyFont="1" applyBorder="1" applyAlignment="1">
      <alignment horizontal="left" vertical="center" wrapText="1"/>
    </xf>
    <xf numFmtId="49" fontId="29" fillId="0" borderId="2" xfId="0" applyNumberFormat="1" applyFont="1" applyBorder="1" applyAlignment="1">
      <alignment vertical="top" wrapText="1"/>
    </xf>
    <xf numFmtId="0" fontId="7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78" fontId="48" fillId="2" borderId="1" xfId="0" applyNumberFormat="1" applyFont="1" applyFill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left" vertical="center" wrapText="1"/>
    </xf>
    <xf numFmtId="49" fontId="29" fillId="0" borderId="2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top" wrapText="1"/>
    </xf>
    <xf numFmtId="177" fontId="11" fillId="0" borderId="1" xfId="0" applyNumberFormat="1" applyFont="1" applyBorder="1" applyAlignment="1">
      <alignment horizontal="center" vertical="top" wrapText="1"/>
    </xf>
    <xf numFmtId="49" fontId="37" fillId="0" borderId="1" xfId="0" applyNumberFormat="1" applyFont="1" applyBorder="1" applyAlignment="1">
      <alignment horizontal="center" vertical="center" wrapText="1"/>
    </xf>
    <xf numFmtId="1" fontId="18" fillId="8" borderId="1" xfId="0" applyNumberFormat="1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49" fontId="26" fillId="3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Fill="1" applyBorder="1" applyAlignment="1">
      <alignment horizontal="left" vertical="top" wrapText="1"/>
    </xf>
    <xf numFmtId="1" fontId="18" fillId="8" borderId="1" xfId="0" applyNumberFormat="1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9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left" vertical="top" wrapText="1"/>
    </xf>
    <xf numFmtId="0" fontId="23" fillId="0" borderId="1" xfId="0" applyFont="1" applyFill="1" applyBorder="1" applyAlignment="1">
      <alignment horizontal="left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49" fontId="50" fillId="0" borderId="1" xfId="0" applyNumberFormat="1" applyFont="1" applyBorder="1" applyAlignment="1">
      <alignment horizontal="center" vertical="center" wrapText="1"/>
    </xf>
    <xf numFmtId="177" fontId="18" fillId="2" borderId="1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top" wrapText="1"/>
    </xf>
    <xf numFmtId="0" fontId="49" fillId="0" borderId="1" xfId="0" applyFont="1" applyFill="1" applyBorder="1" applyAlignment="1">
      <alignment horizontal="left" vertical="top" wrapText="1"/>
    </xf>
    <xf numFmtId="1" fontId="18" fillId="0" borderId="1" xfId="0" applyNumberFormat="1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177" fontId="11" fillId="0" borderId="1" xfId="0" applyNumberFormat="1" applyFont="1" applyFill="1" applyBorder="1" applyAlignment="1">
      <alignment horizontal="left" vertical="top" wrapText="1"/>
    </xf>
    <xf numFmtId="177" fontId="18" fillId="0" borderId="1" xfId="0" applyNumberFormat="1" applyFont="1" applyFill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top" wrapText="1"/>
    </xf>
    <xf numFmtId="49" fontId="27" fillId="0" borderId="1" xfId="0" applyNumberFormat="1" applyFont="1" applyBorder="1" applyAlignment="1">
      <alignment horizontal="left" vertical="top" wrapText="1"/>
    </xf>
    <xf numFmtId="0" fontId="15" fillId="0" borderId="1" xfId="0" applyNumberFormat="1" applyFont="1" applyBorder="1" applyAlignment="1">
      <alignment horizontal="center" vertical="top" wrapText="1"/>
    </xf>
    <xf numFmtId="49" fontId="15" fillId="2" borderId="1" xfId="0" applyNumberFormat="1" applyFont="1" applyFill="1" applyBorder="1" applyAlignment="1">
      <alignment horizontal="left" vertical="center" wrapText="1"/>
    </xf>
    <xf numFmtId="177" fontId="42" fillId="2" borderId="1" xfId="0" applyNumberFormat="1" applyFont="1" applyFill="1" applyBorder="1" applyAlignment="1">
      <alignment horizontal="left" vertical="center" wrapText="1"/>
    </xf>
    <xf numFmtId="0" fontId="51" fillId="0" borderId="1" xfId="0" applyFont="1" applyFill="1" applyBorder="1" applyAlignment="1">
      <alignment horizontal="center"/>
    </xf>
    <xf numFmtId="0" fontId="43" fillId="0" borderId="1" xfId="0" applyFont="1" applyFill="1" applyBorder="1" applyAlignment="1"/>
    <xf numFmtId="182" fontId="52" fillId="0" borderId="1" xfId="0" applyNumberFormat="1" applyFont="1" applyFill="1" applyBorder="1" applyAlignment="1">
      <alignment wrapText="1"/>
    </xf>
    <xf numFmtId="0" fontId="15" fillId="0" borderId="2" xfId="0" applyFont="1" applyFill="1" applyBorder="1" applyAlignment="1">
      <alignment wrapText="1"/>
    </xf>
    <xf numFmtId="178" fontId="42" fillId="2" borderId="1" xfId="0" applyNumberFormat="1" applyFont="1" applyFill="1" applyBorder="1" applyAlignment="1">
      <alignment horizontal="left" vertical="center" wrapText="1"/>
    </xf>
    <xf numFmtId="49" fontId="15" fillId="3" borderId="1" xfId="0" applyNumberFormat="1" applyFont="1" applyFill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left" vertical="top" wrapText="1"/>
    </xf>
    <xf numFmtId="0" fontId="27" fillId="0" borderId="1" xfId="0" applyFont="1" applyFill="1" applyBorder="1" applyAlignment="1"/>
    <xf numFmtId="0" fontId="29" fillId="0" borderId="2" xfId="0" applyFont="1" applyFill="1" applyBorder="1" applyAlignment="1">
      <alignment vertical="top" wrapText="1"/>
    </xf>
    <xf numFmtId="178" fontId="53" fillId="2" borderId="1" xfId="0" applyNumberFormat="1" applyFont="1" applyFill="1" applyBorder="1" applyAlignment="1">
      <alignment horizontal="left" vertical="center" wrapText="1"/>
    </xf>
    <xf numFmtId="49" fontId="27" fillId="0" borderId="1" xfId="0" applyNumberFormat="1" applyFont="1" applyBorder="1" applyAlignment="1">
      <alignment horizontal="left" vertical="center" wrapText="1"/>
    </xf>
    <xf numFmtId="49" fontId="27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27" fillId="0" borderId="1" xfId="0" applyNumberFormat="1" applyFont="1" applyBorder="1" applyAlignment="1">
      <alignment horizontal="left" vertical="center" wrapText="1"/>
    </xf>
    <xf numFmtId="177" fontId="40" fillId="0" borderId="1" xfId="0" applyNumberFormat="1" applyFont="1" applyBorder="1" applyAlignment="1">
      <alignment horizontal="center" vertical="top" wrapText="1"/>
    </xf>
    <xf numFmtId="0" fontId="15" fillId="0" borderId="1" xfId="0" applyNumberFormat="1" applyFont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left" vertical="center" wrapText="1"/>
    </xf>
    <xf numFmtId="177" fontId="23" fillId="3" borderId="1" xfId="0" applyNumberFormat="1" applyFont="1" applyFill="1" applyBorder="1" applyAlignment="1">
      <alignment horizontal="center" vertical="center" wrapText="1"/>
    </xf>
    <xf numFmtId="10" fontId="7" fillId="0" borderId="0" xfId="0" applyNumberFormat="1" applyFont="1" applyAlignment="1">
      <alignment horizontal="left" vertical="center" wrapText="1"/>
    </xf>
    <xf numFmtId="49" fontId="26" fillId="3" borderId="1" xfId="0" applyNumberFormat="1" applyFont="1" applyFill="1" applyBorder="1" applyAlignment="1" quotePrefix="1">
      <alignment horizontal="center" vertical="top" wrapText="1"/>
    </xf>
    <xf numFmtId="49" fontId="13" fillId="3" borderId="1" xfId="0" applyNumberFormat="1" applyFont="1" applyFill="1" applyBorder="1" applyAlignment="1" quotePrefix="1">
      <alignment horizontal="center" vertical="top" wrapText="1"/>
    </xf>
    <xf numFmtId="49" fontId="13" fillId="5" borderId="1" xfId="0" applyNumberFormat="1" applyFont="1" applyFill="1" applyBorder="1" applyAlignment="1" quotePrefix="1">
      <alignment horizontal="center" vertical="top" wrapText="1"/>
    </xf>
    <xf numFmtId="0" fontId="22" fillId="11" borderId="1" xfId="0" applyFont="1" applyFill="1" applyBorder="1" applyAlignment="1" quotePrefix="1">
      <alignment horizontal="left" vertical="center" wrapText="1"/>
    </xf>
    <xf numFmtId="49" fontId="23" fillId="0" borderId="1" xfId="0" applyNumberFormat="1" applyFont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9" defaultPivotStyle="PivotStyleLight16"/>
  <colors>
    <mruColors>
      <color rgb="0065F977"/>
      <color rgb="00FFC000"/>
      <color rgb="0000B050"/>
      <color rgb="00000000"/>
      <color rgb="00FF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F355"/>
  <sheetViews>
    <sheetView tabSelected="1" zoomScale="145" zoomScaleNormal="145" workbookViewId="0">
      <pane xSplit="2" ySplit="1" topLeftCell="K2" activePane="bottomRight" state="frozen"/>
      <selection/>
      <selection pane="topRight"/>
      <selection pane="bottomLeft"/>
      <selection pane="bottomRight" activeCell="G362" sqref="G362"/>
    </sheetView>
  </sheetViews>
  <sheetFormatPr defaultColWidth="10.3" defaultRowHeight="14"/>
  <cols>
    <col min="1" max="1" width="2.575" style="22" customWidth="1"/>
    <col min="2" max="2" width="6.3" style="22" customWidth="1"/>
    <col min="3" max="3" width="3.7" style="22" customWidth="1"/>
    <col min="4" max="4" width="5.68333333333333" style="22" customWidth="1"/>
    <col min="5" max="5" width="6.2" style="22" customWidth="1"/>
    <col min="6" max="6" width="9.30833333333333" style="22" customWidth="1"/>
    <col min="7" max="7" width="3.60833333333333" style="22" customWidth="1"/>
    <col min="8" max="8" width="3" style="31" customWidth="1"/>
    <col min="9" max="9" width="4.8" style="21" customWidth="1"/>
    <col min="10" max="10" width="3.2" style="21" customWidth="1"/>
    <col min="11" max="11" width="8.675" style="22" customWidth="1"/>
    <col min="12" max="12" width="6.6" style="32" hidden="1" customWidth="1"/>
    <col min="13" max="13" width="6.5" style="33" hidden="1" customWidth="1"/>
    <col min="14" max="14" width="10.6916666666667" style="34" customWidth="1"/>
    <col min="15" max="15" width="8.4" style="35" hidden="1" customWidth="1"/>
    <col min="16" max="16" width="8.4" style="36" hidden="1" customWidth="1"/>
    <col min="17" max="17" width="7.75833333333333" style="37" customWidth="1"/>
    <col min="18" max="18" width="5.8" style="38" customWidth="1"/>
    <col min="19" max="19" width="7.98333333333333" style="38" customWidth="1"/>
    <col min="20" max="20" width="6.83333333333333" style="39" customWidth="1"/>
    <col min="21" max="23" width="6.83333333333333" style="40" customWidth="1"/>
    <col min="24" max="24" width="5.28333333333333" style="22" customWidth="1"/>
    <col min="25" max="25" width="6.08333333333333" style="41" customWidth="1"/>
    <col min="26" max="26" width="9.075" style="22" customWidth="1"/>
    <col min="27" max="27" width="5.74166666666667" style="22" customWidth="1"/>
    <col min="28" max="28" width="6.83333333333333" style="42" hidden="1" customWidth="1"/>
    <col min="29" max="29" width="5.975" style="22" customWidth="1"/>
    <col min="30" max="30" width="5.975" style="43" customWidth="1"/>
    <col min="31" max="32" width="7.80833333333333" style="25" customWidth="1"/>
    <col min="33" max="16384" width="10.3" style="22"/>
  </cols>
  <sheetData>
    <row r="1" s="20" customFormat="1" ht="38.25" customHeight="1" spans="1:32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5" t="s">
        <v>11</v>
      </c>
      <c r="M1" s="45" t="s">
        <v>12</v>
      </c>
      <c r="N1" s="46" t="s">
        <v>13</v>
      </c>
      <c r="O1" s="47" t="s">
        <v>14</v>
      </c>
      <c r="P1" s="48" t="s">
        <v>15</v>
      </c>
      <c r="Q1" s="49" t="s">
        <v>16</v>
      </c>
      <c r="R1" s="50" t="s">
        <v>17</v>
      </c>
      <c r="S1" s="51" t="s">
        <v>18</v>
      </c>
      <c r="T1" s="52" t="s">
        <v>19</v>
      </c>
      <c r="U1" s="52" t="s">
        <v>20</v>
      </c>
      <c r="V1" s="52" t="s">
        <v>21</v>
      </c>
      <c r="W1" s="52" t="s">
        <v>22</v>
      </c>
      <c r="X1" s="44" t="s">
        <v>23</v>
      </c>
      <c r="Y1" s="53" t="s">
        <v>24</v>
      </c>
      <c r="Z1" s="44" t="s">
        <v>25</v>
      </c>
      <c r="AA1" s="44" t="s">
        <v>26</v>
      </c>
      <c r="AB1" s="54" t="s">
        <v>27</v>
      </c>
      <c r="AC1" s="55" t="s">
        <v>28</v>
      </c>
      <c r="AD1" s="56" t="s">
        <v>29</v>
      </c>
      <c r="AE1" s="57" t="s">
        <v>30</v>
      </c>
      <c r="AF1" s="57" t="s">
        <v>31</v>
      </c>
    </row>
    <row r="2" s="21" customFormat="1" ht="21" customHeight="1" spans="1:32">
      <c r="A2" s="58">
        <v>0</v>
      </c>
      <c r="B2" s="59" t="s">
        <v>32</v>
      </c>
      <c r="C2" s="60"/>
      <c r="D2" s="61" t="s">
        <v>32</v>
      </c>
      <c r="E2" s="60"/>
      <c r="F2" s="60"/>
      <c r="G2" s="60"/>
      <c r="H2" s="62"/>
      <c r="I2" s="60"/>
      <c r="J2" s="60"/>
      <c r="K2" s="60"/>
      <c r="L2" s="63"/>
      <c r="M2" s="63"/>
      <c r="N2" s="64"/>
      <c r="O2" s="65"/>
      <c r="P2" s="66"/>
      <c r="Q2" s="67"/>
      <c r="R2" s="67"/>
      <c r="S2" s="67"/>
      <c r="T2" s="68"/>
      <c r="U2" s="69"/>
      <c r="V2" s="69"/>
      <c r="W2" s="69"/>
      <c r="X2" s="60"/>
      <c r="Y2" s="70"/>
      <c r="Z2" s="71"/>
      <c r="AA2" s="71"/>
      <c r="AB2" s="72"/>
      <c r="AC2" s="73"/>
      <c r="AD2" s="73"/>
      <c r="AE2" s="74"/>
      <c r="AF2" s="74"/>
    </row>
    <row r="3" s="22" customFormat="1" ht="21" customHeight="1" spans="1:32">
      <c r="A3" s="75">
        <v>1</v>
      </c>
      <c r="B3" s="76" t="s">
        <v>33</v>
      </c>
      <c r="C3" s="77"/>
      <c r="D3" s="76" t="s">
        <v>34</v>
      </c>
      <c r="E3" s="78" t="s">
        <v>35</v>
      </c>
      <c r="F3" s="76" t="s">
        <v>36</v>
      </c>
      <c r="G3" s="79">
        <v>1</v>
      </c>
      <c r="H3" s="80" t="s">
        <v>37</v>
      </c>
      <c r="I3" s="81" t="s">
        <v>38</v>
      </c>
      <c r="J3" s="81" t="s">
        <v>39</v>
      </c>
      <c r="K3" s="80" t="s">
        <v>40</v>
      </c>
      <c r="L3" s="82" t="s">
        <v>41</v>
      </c>
      <c r="M3" s="82" t="s">
        <v>42</v>
      </c>
      <c r="N3" s="83" t="s">
        <v>43</v>
      </c>
      <c r="O3" s="47" t="s">
        <v>44</v>
      </c>
      <c r="P3" s="84">
        <v>45422</v>
      </c>
      <c r="Q3" s="85" t="s">
        <v>45</v>
      </c>
      <c r="R3" s="85" t="s">
        <v>46</v>
      </c>
      <c r="S3" s="85" t="s">
        <v>47</v>
      </c>
      <c r="T3" s="86">
        <v>45457</v>
      </c>
      <c r="U3" s="87">
        <f t="shared" ref="U3:U7" si="0">T3+4</f>
        <v>45461</v>
      </c>
      <c r="V3" s="87">
        <f>U3+14</f>
        <v>45475</v>
      </c>
      <c r="W3" s="87">
        <f t="shared" ref="W3:W66" si="1">V3+7</f>
        <v>45482</v>
      </c>
      <c r="X3" s="77"/>
      <c r="Y3" s="88" t="s">
        <v>48</v>
      </c>
      <c r="Z3" s="71" t="s">
        <v>36</v>
      </c>
      <c r="AA3" s="71">
        <v>86</v>
      </c>
      <c r="AB3" s="89" t="s">
        <v>49</v>
      </c>
      <c r="AC3" s="73">
        <f t="shared" ref="AC3:AC7" si="2">G3</f>
        <v>1</v>
      </c>
      <c r="AD3" s="73">
        <f t="shared" ref="AD3:AD9" si="3">G3-AC3</f>
        <v>0</v>
      </c>
      <c r="AE3" s="90" t="s">
        <v>50</v>
      </c>
      <c r="AF3" s="90" t="s">
        <v>51</v>
      </c>
    </row>
    <row r="4" s="22" customFormat="1" ht="21" customHeight="1" spans="1:32">
      <c r="A4" s="91">
        <v>2</v>
      </c>
      <c r="B4" s="92" t="s">
        <v>52</v>
      </c>
      <c r="C4" s="93"/>
      <c r="D4" s="76" t="s">
        <v>34</v>
      </c>
      <c r="E4" s="78" t="s">
        <v>53</v>
      </c>
      <c r="F4" s="76" t="s">
        <v>54</v>
      </c>
      <c r="G4" s="79">
        <v>2</v>
      </c>
      <c r="H4" s="80" t="s">
        <v>37</v>
      </c>
      <c r="I4" s="81" t="s">
        <v>38</v>
      </c>
      <c r="J4" s="81" t="s">
        <v>39</v>
      </c>
      <c r="K4" s="80" t="s">
        <v>55</v>
      </c>
      <c r="L4" s="82" t="s">
        <v>56</v>
      </c>
      <c r="M4" s="94" t="s">
        <v>42</v>
      </c>
      <c r="N4" s="83" t="s">
        <v>57</v>
      </c>
      <c r="O4" s="47" t="s">
        <v>44</v>
      </c>
      <c r="P4" s="84">
        <v>45422</v>
      </c>
      <c r="Q4" s="85" t="s">
        <v>45</v>
      </c>
      <c r="R4" s="85" t="s">
        <v>46</v>
      </c>
      <c r="S4" s="85" t="s">
        <v>47</v>
      </c>
      <c r="T4" s="86">
        <v>45457</v>
      </c>
      <c r="U4" s="87">
        <f t="shared" si="0"/>
        <v>45461</v>
      </c>
      <c r="V4" s="87">
        <f>U4+14</f>
        <v>45475</v>
      </c>
      <c r="W4" s="87">
        <f t="shared" si="1"/>
        <v>45482</v>
      </c>
      <c r="X4" s="77"/>
      <c r="Y4" s="88" t="s">
        <v>48</v>
      </c>
      <c r="Z4" s="71" t="s">
        <v>58</v>
      </c>
      <c r="AA4" s="71">
        <v>87</v>
      </c>
      <c r="AB4" s="89" t="s">
        <v>49</v>
      </c>
      <c r="AC4" s="73">
        <f t="shared" si="2"/>
        <v>2</v>
      </c>
      <c r="AD4" s="73">
        <f t="shared" si="3"/>
        <v>0</v>
      </c>
      <c r="AE4" s="90" t="s">
        <v>50</v>
      </c>
      <c r="AF4" s="90" t="s">
        <v>59</v>
      </c>
    </row>
    <row r="5" s="22" customFormat="1" ht="21" customHeight="1" spans="1:32">
      <c r="A5" s="91">
        <v>3</v>
      </c>
      <c r="B5" s="92" t="s">
        <v>60</v>
      </c>
      <c r="C5" s="93"/>
      <c r="D5" s="76" t="s">
        <v>34</v>
      </c>
      <c r="E5" s="78" t="s">
        <v>61</v>
      </c>
      <c r="F5" s="76" t="s">
        <v>62</v>
      </c>
      <c r="G5" s="79">
        <v>2</v>
      </c>
      <c r="H5" s="80" t="s">
        <v>37</v>
      </c>
      <c r="I5" s="81" t="s">
        <v>38</v>
      </c>
      <c r="J5" s="81" t="s">
        <v>39</v>
      </c>
      <c r="K5" s="80" t="s">
        <v>55</v>
      </c>
      <c r="L5" s="82" t="s">
        <v>56</v>
      </c>
      <c r="M5" s="94" t="s">
        <v>42</v>
      </c>
      <c r="N5" s="83" t="s">
        <v>57</v>
      </c>
      <c r="O5" s="47" t="s">
        <v>44</v>
      </c>
      <c r="P5" s="84">
        <v>45422</v>
      </c>
      <c r="Q5" s="85" t="s">
        <v>45</v>
      </c>
      <c r="R5" s="85" t="s">
        <v>46</v>
      </c>
      <c r="S5" s="85" t="s">
        <v>47</v>
      </c>
      <c r="T5" s="86">
        <v>45457</v>
      </c>
      <c r="U5" s="87">
        <f t="shared" si="0"/>
        <v>45461</v>
      </c>
      <c r="V5" s="87">
        <f>U5+14</f>
        <v>45475</v>
      </c>
      <c r="W5" s="87">
        <f t="shared" si="1"/>
        <v>45482</v>
      </c>
      <c r="X5" s="77"/>
      <c r="Y5" s="88" t="s">
        <v>48</v>
      </c>
      <c r="Z5" s="71" t="s">
        <v>62</v>
      </c>
      <c r="AA5" s="71">
        <v>88</v>
      </c>
      <c r="AB5" s="89" t="s">
        <v>49</v>
      </c>
      <c r="AC5" s="73">
        <f t="shared" si="2"/>
        <v>2</v>
      </c>
      <c r="AD5" s="73">
        <f t="shared" si="3"/>
        <v>0</v>
      </c>
      <c r="AE5" s="90" t="s">
        <v>50</v>
      </c>
      <c r="AF5" s="90" t="s">
        <v>59</v>
      </c>
    </row>
    <row r="6" s="22" customFormat="1" ht="21" customHeight="1" spans="1:32">
      <c r="A6" s="75">
        <v>4</v>
      </c>
      <c r="B6" s="76" t="s">
        <v>63</v>
      </c>
      <c r="C6" s="77"/>
      <c r="D6" s="76" t="s">
        <v>34</v>
      </c>
      <c r="E6" s="78" t="s">
        <v>64</v>
      </c>
      <c r="F6" s="76" t="s">
        <v>65</v>
      </c>
      <c r="G6" s="79">
        <v>2</v>
      </c>
      <c r="H6" s="80" t="s">
        <v>37</v>
      </c>
      <c r="I6" s="81" t="s">
        <v>38</v>
      </c>
      <c r="J6" s="81" t="s">
        <v>39</v>
      </c>
      <c r="K6" s="80" t="s">
        <v>55</v>
      </c>
      <c r="L6" s="82" t="s">
        <v>56</v>
      </c>
      <c r="M6" s="82" t="s">
        <v>42</v>
      </c>
      <c r="N6" s="83" t="s">
        <v>57</v>
      </c>
      <c r="O6" s="47" t="s">
        <v>44</v>
      </c>
      <c r="P6" s="84">
        <v>45422</v>
      </c>
      <c r="Q6" s="85" t="s">
        <v>45</v>
      </c>
      <c r="R6" s="85" t="s">
        <v>66</v>
      </c>
      <c r="S6" s="95" t="s">
        <v>67</v>
      </c>
      <c r="T6" s="86">
        <v>45457</v>
      </c>
      <c r="U6" s="87">
        <f t="shared" si="0"/>
        <v>45461</v>
      </c>
      <c r="V6" s="87">
        <f>U6+14</f>
        <v>45475</v>
      </c>
      <c r="W6" s="87">
        <f t="shared" si="1"/>
        <v>45482</v>
      </c>
      <c r="X6" s="77"/>
      <c r="Y6" s="88" t="s">
        <v>48</v>
      </c>
      <c r="Z6" s="71" t="s">
        <v>65</v>
      </c>
      <c r="AA6" s="71">
        <v>89</v>
      </c>
      <c r="AB6" s="89" t="s">
        <v>49</v>
      </c>
      <c r="AC6" s="73">
        <f t="shared" si="2"/>
        <v>2</v>
      </c>
      <c r="AD6" s="73">
        <f t="shared" si="3"/>
        <v>0</v>
      </c>
      <c r="AE6" s="90" t="s">
        <v>68</v>
      </c>
      <c r="AF6" s="90" t="s">
        <v>69</v>
      </c>
    </row>
    <row r="7" s="22" customFormat="1" ht="21" customHeight="1" spans="1:32">
      <c r="A7" s="75">
        <v>5</v>
      </c>
      <c r="B7" s="76" t="s">
        <v>70</v>
      </c>
      <c r="C7" s="77"/>
      <c r="D7" s="76" t="s">
        <v>34</v>
      </c>
      <c r="E7" s="78" t="s">
        <v>71</v>
      </c>
      <c r="F7" s="76" t="s">
        <v>72</v>
      </c>
      <c r="G7" s="79">
        <v>2</v>
      </c>
      <c r="H7" s="80" t="s">
        <v>37</v>
      </c>
      <c r="I7" s="81" t="s">
        <v>38</v>
      </c>
      <c r="J7" s="81" t="s">
        <v>39</v>
      </c>
      <c r="K7" s="80" t="s">
        <v>55</v>
      </c>
      <c r="L7" s="82" t="s">
        <v>56</v>
      </c>
      <c r="M7" s="82" t="s">
        <v>42</v>
      </c>
      <c r="N7" s="83" t="s">
        <v>57</v>
      </c>
      <c r="O7" s="47" t="s">
        <v>44</v>
      </c>
      <c r="P7" s="84">
        <v>45422</v>
      </c>
      <c r="Q7" s="85" t="s">
        <v>45</v>
      </c>
      <c r="R7" s="85" t="s">
        <v>66</v>
      </c>
      <c r="S7" s="95" t="s">
        <v>67</v>
      </c>
      <c r="T7" s="86">
        <v>45457</v>
      </c>
      <c r="U7" s="87">
        <f t="shared" si="0"/>
        <v>45461</v>
      </c>
      <c r="V7" s="87">
        <f>U7+14</f>
        <v>45475</v>
      </c>
      <c r="W7" s="87">
        <f t="shared" si="1"/>
        <v>45482</v>
      </c>
      <c r="X7" s="77"/>
      <c r="Y7" s="88" t="s">
        <v>48</v>
      </c>
      <c r="Z7" s="71" t="s">
        <v>72</v>
      </c>
      <c r="AA7" s="71">
        <v>90</v>
      </c>
      <c r="AB7" s="89" t="s">
        <v>49</v>
      </c>
      <c r="AC7" s="73">
        <f t="shared" si="2"/>
        <v>2</v>
      </c>
      <c r="AD7" s="73">
        <f t="shared" si="3"/>
        <v>0</v>
      </c>
      <c r="AE7" s="90" t="s">
        <v>50</v>
      </c>
      <c r="AF7" s="90" t="s">
        <v>59</v>
      </c>
    </row>
    <row r="8" s="21" customFormat="1" ht="21" customHeight="1" spans="1:32">
      <c r="A8" s="58">
        <v>6</v>
      </c>
      <c r="B8" s="59" t="s">
        <v>73</v>
      </c>
      <c r="C8" s="60"/>
      <c r="D8" s="59" t="s">
        <v>34</v>
      </c>
      <c r="E8" s="96" t="s">
        <v>74</v>
      </c>
      <c r="F8" s="59" t="s">
        <v>75</v>
      </c>
      <c r="G8" s="97">
        <v>1</v>
      </c>
      <c r="H8" s="81" t="s">
        <v>37</v>
      </c>
      <c r="I8" s="81" t="s">
        <v>38</v>
      </c>
      <c r="J8" s="81" t="s">
        <v>39</v>
      </c>
      <c r="K8" s="81" t="s">
        <v>76</v>
      </c>
      <c r="L8" s="82" t="s">
        <v>77</v>
      </c>
      <c r="M8" s="82" t="s">
        <v>42</v>
      </c>
      <c r="N8" s="64" t="s">
        <v>78</v>
      </c>
      <c r="O8" s="98" t="s">
        <v>44</v>
      </c>
      <c r="P8" s="84">
        <v>45422</v>
      </c>
      <c r="Q8" s="99" t="s">
        <v>45</v>
      </c>
      <c r="R8" s="99" t="s">
        <v>46</v>
      </c>
      <c r="S8" s="99" t="s">
        <v>47</v>
      </c>
      <c r="T8" s="87">
        <v>45394</v>
      </c>
      <c r="U8" s="87">
        <f>T8+7</f>
        <v>45401</v>
      </c>
      <c r="V8" s="87">
        <v>45412</v>
      </c>
      <c r="W8" s="87">
        <f t="shared" si="1"/>
        <v>45419</v>
      </c>
      <c r="X8" s="60"/>
      <c r="Y8" s="100" t="s">
        <v>79</v>
      </c>
      <c r="Z8" s="71" t="s">
        <v>75</v>
      </c>
      <c r="AA8" s="71">
        <v>108</v>
      </c>
      <c r="AB8" s="89" t="s">
        <v>49</v>
      </c>
      <c r="AC8" s="73">
        <v>1</v>
      </c>
      <c r="AD8" s="73">
        <f t="shared" si="3"/>
        <v>0</v>
      </c>
      <c r="AE8" s="101" t="s">
        <v>80</v>
      </c>
      <c r="AF8" s="101" t="s">
        <v>81</v>
      </c>
    </row>
    <row r="9" s="21" customFormat="1" ht="21" customHeight="1" spans="1:32">
      <c r="A9" s="58">
        <v>7</v>
      </c>
      <c r="B9" s="59" t="s">
        <v>82</v>
      </c>
      <c r="C9" s="60"/>
      <c r="D9" s="59" t="s">
        <v>34</v>
      </c>
      <c r="E9" s="96" t="s">
        <v>83</v>
      </c>
      <c r="F9" s="59" t="s">
        <v>84</v>
      </c>
      <c r="G9" s="97">
        <v>1</v>
      </c>
      <c r="H9" s="81" t="s">
        <v>37</v>
      </c>
      <c r="I9" s="81" t="s">
        <v>38</v>
      </c>
      <c r="J9" s="81" t="s">
        <v>39</v>
      </c>
      <c r="K9" s="81" t="s">
        <v>85</v>
      </c>
      <c r="L9" s="82" t="s">
        <v>77</v>
      </c>
      <c r="M9" s="82" t="s">
        <v>42</v>
      </c>
      <c r="N9" s="64" t="s">
        <v>86</v>
      </c>
      <c r="O9" s="47" t="s">
        <v>44</v>
      </c>
      <c r="P9" s="84">
        <v>45488</v>
      </c>
      <c r="Q9" s="99" t="s">
        <v>45</v>
      </c>
      <c r="R9" s="99" t="s">
        <v>46</v>
      </c>
      <c r="S9" s="99" t="s">
        <v>87</v>
      </c>
      <c r="T9" s="102">
        <v>45490</v>
      </c>
      <c r="U9" s="87">
        <v>45525</v>
      </c>
      <c r="V9" s="87">
        <f>U9+7</f>
        <v>45532</v>
      </c>
      <c r="W9" s="87">
        <f>V9+3</f>
        <v>45535</v>
      </c>
      <c r="X9" s="60"/>
      <c r="Y9" s="70" t="s">
        <v>88</v>
      </c>
      <c r="Z9" s="71" t="s">
        <v>84</v>
      </c>
      <c r="AA9" s="71">
        <v>109</v>
      </c>
      <c r="AB9" s="89" t="s">
        <v>49</v>
      </c>
      <c r="AC9" s="73">
        <f t="shared" ref="AC9:AC15" si="4">G9</f>
        <v>1</v>
      </c>
      <c r="AD9" s="73">
        <f t="shared" si="3"/>
        <v>0</v>
      </c>
      <c r="AE9" s="101" t="s">
        <v>89</v>
      </c>
      <c r="AF9" s="101" t="s">
        <v>90</v>
      </c>
    </row>
    <row r="10" s="21" customFormat="1" ht="21" customHeight="1" spans="1:32">
      <c r="A10" s="103">
        <v>8</v>
      </c>
      <c r="B10" s="104" t="s">
        <v>91</v>
      </c>
      <c r="C10" s="105"/>
      <c r="D10" s="76" t="s">
        <v>34</v>
      </c>
      <c r="E10" s="78" t="s">
        <v>92</v>
      </c>
      <c r="F10" s="106" t="s">
        <v>93</v>
      </c>
      <c r="G10" s="79">
        <v>1</v>
      </c>
      <c r="H10" s="80" t="s">
        <v>94</v>
      </c>
      <c r="I10" s="80" t="s">
        <v>38</v>
      </c>
      <c r="J10" s="80" t="s">
        <v>39</v>
      </c>
      <c r="K10" s="80" t="s">
        <v>95</v>
      </c>
      <c r="L10" s="107" t="s">
        <v>42</v>
      </c>
      <c r="M10" s="94" t="s">
        <v>96</v>
      </c>
      <c r="N10" s="64" t="s">
        <v>97</v>
      </c>
      <c r="O10" s="47" t="s">
        <v>44</v>
      </c>
      <c r="P10" s="84">
        <v>45407</v>
      </c>
      <c r="Q10" s="85" t="s">
        <v>98</v>
      </c>
      <c r="R10" s="99" t="s">
        <v>46</v>
      </c>
      <c r="S10" s="99" t="s">
        <v>99</v>
      </c>
      <c r="T10" s="87">
        <v>45402</v>
      </c>
      <c r="U10" s="87">
        <v>45415</v>
      </c>
      <c r="V10" s="87">
        <v>45435</v>
      </c>
      <c r="W10" s="87">
        <f t="shared" ref="W10:W15" si="5">V10+3</f>
        <v>45438</v>
      </c>
      <c r="X10" s="80" t="s">
        <v>100</v>
      </c>
      <c r="Y10" s="314" t="s">
        <v>101</v>
      </c>
      <c r="Z10" s="71" t="s">
        <v>102</v>
      </c>
      <c r="AA10" s="71">
        <v>5</v>
      </c>
      <c r="AB10" s="89" t="s">
        <v>49</v>
      </c>
      <c r="AC10" s="73">
        <f t="shared" si="4"/>
        <v>1</v>
      </c>
      <c r="AD10" s="73">
        <f t="shared" ref="AD10:AD15" si="6">G10-AC10</f>
        <v>0</v>
      </c>
      <c r="AE10" s="101" t="s">
        <v>103</v>
      </c>
      <c r="AF10" s="74"/>
    </row>
    <row r="11" s="21" customFormat="1" ht="21" customHeight="1" spans="1:32">
      <c r="A11" s="103">
        <v>9</v>
      </c>
      <c r="B11" s="104" t="s">
        <v>104</v>
      </c>
      <c r="C11" s="105"/>
      <c r="D11" s="76" t="s">
        <v>34</v>
      </c>
      <c r="E11" s="78" t="s">
        <v>105</v>
      </c>
      <c r="F11" s="106" t="s">
        <v>106</v>
      </c>
      <c r="G11" s="79">
        <v>1</v>
      </c>
      <c r="H11" s="80" t="s">
        <v>94</v>
      </c>
      <c r="I11" s="80" t="s">
        <v>38</v>
      </c>
      <c r="J11" s="80" t="s">
        <v>39</v>
      </c>
      <c r="K11" s="80" t="s">
        <v>95</v>
      </c>
      <c r="L11" s="107" t="s">
        <v>42</v>
      </c>
      <c r="M11" s="94" t="s">
        <v>96</v>
      </c>
      <c r="N11" s="64" t="s">
        <v>97</v>
      </c>
      <c r="O11" s="47" t="s">
        <v>44</v>
      </c>
      <c r="P11" s="84">
        <v>45407</v>
      </c>
      <c r="Q11" s="85" t="s">
        <v>98</v>
      </c>
      <c r="R11" s="99" t="s">
        <v>46</v>
      </c>
      <c r="S11" s="99" t="s">
        <v>99</v>
      </c>
      <c r="T11" s="87">
        <v>45402</v>
      </c>
      <c r="U11" s="87">
        <v>45415</v>
      </c>
      <c r="V11" s="87">
        <v>45435</v>
      </c>
      <c r="W11" s="87">
        <f t="shared" si="5"/>
        <v>45438</v>
      </c>
      <c r="X11" s="80" t="s">
        <v>100</v>
      </c>
      <c r="Y11" s="314" t="s">
        <v>101</v>
      </c>
      <c r="Z11" s="71" t="s">
        <v>107</v>
      </c>
      <c r="AA11" s="71">
        <v>6</v>
      </c>
      <c r="AB11" s="89" t="s">
        <v>49</v>
      </c>
      <c r="AC11" s="73">
        <f t="shared" si="4"/>
        <v>1</v>
      </c>
      <c r="AD11" s="73">
        <f t="shared" si="6"/>
        <v>0</v>
      </c>
      <c r="AE11" s="101" t="s">
        <v>103</v>
      </c>
      <c r="AF11" s="74"/>
    </row>
    <row r="12" s="21" customFormat="1" ht="21" customHeight="1" spans="1:32">
      <c r="A12" s="103">
        <v>10</v>
      </c>
      <c r="B12" s="104" t="s">
        <v>108</v>
      </c>
      <c r="C12" s="105"/>
      <c r="D12" s="76" t="s">
        <v>34</v>
      </c>
      <c r="E12" s="78" t="s">
        <v>109</v>
      </c>
      <c r="F12" s="76" t="s">
        <v>110</v>
      </c>
      <c r="G12" s="79">
        <v>1</v>
      </c>
      <c r="H12" s="80" t="s">
        <v>94</v>
      </c>
      <c r="I12" s="80" t="s">
        <v>38</v>
      </c>
      <c r="J12" s="80" t="s">
        <v>39</v>
      </c>
      <c r="K12" s="80" t="s">
        <v>95</v>
      </c>
      <c r="L12" s="107" t="s">
        <v>42</v>
      </c>
      <c r="M12" s="94" t="s">
        <v>96</v>
      </c>
      <c r="N12" s="64" t="s">
        <v>97</v>
      </c>
      <c r="O12" s="47" t="s">
        <v>44</v>
      </c>
      <c r="P12" s="84">
        <v>45407</v>
      </c>
      <c r="Q12" s="85" t="s">
        <v>98</v>
      </c>
      <c r="R12" s="99" t="s">
        <v>46</v>
      </c>
      <c r="S12" s="99" t="s">
        <v>99</v>
      </c>
      <c r="T12" s="87">
        <v>45402</v>
      </c>
      <c r="U12" s="87">
        <v>45415</v>
      </c>
      <c r="V12" s="87">
        <v>45435</v>
      </c>
      <c r="W12" s="87">
        <f t="shared" si="5"/>
        <v>45438</v>
      </c>
      <c r="X12" s="80" t="s">
        <v>100</v>
      </c>
      <c r="Y12" s="314" t="s">
        <v>101</v>
      </c>
      <c r="Z12" s="71" t="s">
        <v>111</v>
      </c>
      <c r="AA12" s="71">
        <v>7</v>
      </c>
      <c r="AB12" s="89" t="s">
        <v>49</v>
      </c>
      <c r="AC12" s="73">
        <f t="shared" si="4"/>
        <v>1</v>
      </c>
      <c r="AD12" s="73">
        <f t="shared" si="6"/>
        <v>0</v>
      </c>
      <c r="AE12" s="101" t="s">
        <v>103</v>
      </c>
      <c r="AF12" s="74"/>
    </row>
    <row r="13" s="21" customFormat="1" ht="21" customHeight="1" spans="1:32">
      <c r="A13" s="103">
        <v>11</v>
      </c>
      <c r="B13" s="104" t="s">
        <v>112</v>
      </c>
      <c r="C13" s="105"/>
      <c r="D13" s="76" t="s">
        <v>34</v>
      </c>
      <c r="E13" s="78" t="s">
        <v>113</v>
      </c>
      <c r="F13" s="76" t="s">
        <v>114</v>
      </c>
      <c r="G13" s="79">
        <v>1</v>
      </c>
      <c r="H13" s="80" t="s">
        <v>94</v>
      </c>
      <c r="I13" s="80" t="s">
        <v>38</v>
      </c>
      <c r="J13" s="80" t="s">
        <v>39</v>
      </c>
      <c r="K13" s="80" t="s">
        <v>95</v>
      </c>
      <c r="L13" s="107" t="s">
        <v>42</v>
      </c>
      <c r="M13" s="94" t="s">
        <v>96</v>
      </c>
      <c r="N13" s="64" t="s">
        <v>97</v>
      </c>
      <c r="O13" s="47" t="s">
        <v>44</v>
      </c>
      <c r="P13" s="84">
        <v>45407</v>
      </c>
      <c r="Q13" s="85" t="s">
        <v>98</v>
      </c>
      <c r="R13" s="99" t="s">
        <v>46</v>
      </c>
      <c r="S13" s="99" t="s">
        <v>99</v>
      </c>
      <c r="T13" s="87">
        <v>45402</v>
      </c>
      <c r="U13" s="87">
        <v>45415</v>
      </c>
      <c r="V13" s="87">
        <v>45435</v>
      </c>
      <c r="W13" s="87">
        <f t="shared" si="5"/>
        <v>45438</v>
      </c>
      <c r="X13" s="80" t="s">
        <v>100</v>
      </c>
      <c r="Y13" s="314" t="s">
        <v>101</v>
      </c>
      <c r="Z13" s="71" t="s">
        <v>115</v>
      </c>
      <c r="AA13" s="71">
        <v>8</v>
      </c>
      <c r="AB13" s="89" t="s">
        <v>49</v>
      </c>
      <c r="AC13" s="73">
        <f t="shared" si="4"/>
        <v>1</v>
      </c>
      <c r="AD13" s="73">
        <f t="shared" si="6"/>
        <v>0</v>
      </c>
      <c r="AE13" s="101" t="s">
        <v>103</v>
      </c>
      <c r="AF13" s="74"/>
    </row>
    <row r="14" s="23" customFormat="1" ht="21" customHeight="1" spans="1:32">
      <c r="A14" s="103">
        <v>12</v>
      </c>
      <c r="B14" s="104" t="s">
        <v>116</v>
      </c>
      <c r="C14" s="105"/>
      <c r="D14" s="92" t="s">
        <v>34</v>
      </c>
      <c r="E14" s="109" t="s">
        <v>117</v>
      </c>
      <c r="F14" s="92" t="s">
        <v>118</v>
      </c>
      <c r="G14" s="110">
        <v>2</v>
      </c>
      <c r="H14" s="111" t="s">
        <v>94</v>
      </c>
      <c r="I14" s="111" t="s">
        <v>38</v>
      </c>
      <c r="J14" s="111" t="s">
        <v>39</v>
      </c>
      <c r="K14" s="111" t="s">
        <v>119</v>
      </c>
      <c r="L14" s="112"/>
      <c r="M14" s="113" t="s">
        <v>42</v>
      </c>
      <c r="N14" s="114" t="s">
        <v>97</v>
      </c>
      <c r="O14" s="115" t="s">
        <v>44</v>
      </c>
      <c r="P14" s="116">
        <v>45407</v>
      </c>
      <c r="Q14" s="85" t="s">
        <v>98</v>
      </c>
      <c r="R14" s="99" t="s">
        <v>46</v>
      </c>
      <c r="S14" s="99" t="s">
        <v>99</v>
      </c>
      <c r="T14" s="87">
        <v>45402</v>
      </c>
      <c r="U14" s="87">
        <v>45415</v>
      </c>
      <c r="V14" s="87">
        <v>45435</v>
      </c>
      <c r="W14" s="87">
        <f t="shared" si="5"/>
        <v>45438</v>
      </c>
      <c r="X14" s="111" t="s">
        <v>120</v>
      </c>
      <c r="Y14" s="314" t="s">
        <v>101</v>
      </c>
      <c r="Z14" s="117" t="s">
        <v>121</v>
      </c>
      <c r="AA14" s="117">
        <v>46</v>
      </c>
      <c r="AB14" s="89" t="s">
        <v>49</v>
      </c>
      <c r="AC14" s="73">
        <f t="shared" si="4"/>
        <v>2</v>
      </c>
      <c r="AD14" s="73">
        <f t="shared" si="6"/>
        <v>0</v>
      </c>
      <c r="AE14" s="101" t="s">
        <v>103</v>
      </c>
      <c r="AF14" s="118"/>
    </row>
    <row r="15" s="24" customFormat="1" ht="21" customHeight="1" spans="1:32">
      <c r="A15" s="91" t="s">
        <v>122</v>
      </c>
      <c r="B15" s="92" t="s">
        <v>123</v>
      </c>
      <c r="C15" s="119"/>
      <c r="D15" s="120"/>
      <c r="E15" s="121" t="s">
        <v>124</v>
      </c>
      <c r="F15" s="120"/>
      <c r="G15" s="122" t="s">
        <v>125</v>
      </c>
      <c r="H15" s="80" t="s">
        <v>94</v>
      </c>
      <c r="I15" s="80" t="s">
        <v>38</v>
      </c>
      <c r="J15" s="80" t="s">
        <v>39</v>
      </c>
      <c r="K15" s="122" t="s">
        <v>126</v>
      </c>
      <c r="L15" s="123"/>
      <c r="M15" s="124" t="s">
        <v>127</v>
      </c>
      <c r="N15" s="83" t="s">
        <v>97</v>
      </c>
      <c r="O15" s="47" t="s">
        <v>44</v>
      </c>
      <c r="P15" s="84">
        <v>45473</v>
      </c>
      <c r="Q15" s="99" t="s">
        <v>128</v>
      </c>
      <c r="R15" s="85" t="s">
        <v>46</v>
      </c>
      <c r="S15" s="99" t="s">
        <v>87</v>
      </c>
      <c r="T15" s="102">
        <v>45490</v>
      </c>
      <c r="U15" s="87">
        <v>45525</v>
      </c>
      <c r="V15" s="87">
        <f>U15+7</f>
        <v>45532</v>
      </c>
      <c r="W15" s="87">
        <f t="shared" si="5"/>
        <v>45535</v>
      </c>
      <c r="X15" s="80" t="s">
        <v>120</v>
      </c>
      <c r="Y15" s="88" t="s">
        <v>88</v>
      </c>
      <c r="Z15" s="71" t="s">
        <v>121</v>
      </c>
      <c r="AA15" s="71" t="s">
        <v>129</v>
      </c>
      <c r="AB15" s="89" t="s">
        <v>49</v>
      </c>
      <c r="AC15" s="73" t="str">
        <f t="shared" si="4"/>
        <v>1</v>
      </c>
      <c r="AD15" s="73">
        <f t="shared" si="6"/>
        <v>0</v>
      </c>
      <c r="AE15" s="101" t="s">
        <v>89</v>
      </c>
      <c r="AF15" s="120" t="s">
        <v>130</v>
      </c>
    </row>
    <row r="16" s="21" customFormat="1" ht="21" customHeight="1" spans="1:32">
      <c r="A16" s="125">
        <v>13</v>
      </c>
      <c r="B16" s="104" t="s">
        <v>131</v>
      </c>
      <c r="C16" s="105"/>
      <c r="D16" s="59" t="s">
        <v>34</v>
      </c>
      <c r="E16" s="96" t="s">
        <v>132</v>
      </c>
      <c r="F16" s="59" t="s">
        <v>133</v>
      </c>
      <c r="G16" s="97">
        <v>1</v>
      </c>
      <c r="H16" s="81" t="s">
        <v>94</v>
      </c>
      <c r="I16" s="81" t="s">
        <v>38</v>
      </c>
      <c r="J16" s="81" t="s">
        <v>39</v>
      </c>
      <c r="K16" s="81" t="s">
        <v>134</v>
      </c>
      <c r="L16" s="82" t="s">
        <v>56</v>
      </c>
      <c r="M16" s="126" t="s">
        <v>42</v>
      </c>
      <c r="N16" s="64" t="s">
        <v>135</v>
      </c>
      <c r="O16" s="47" t="s">
        <v>44</v>
      </c>
      <c r="P16" s="84">
        <v>45366</v>
      </c>
      <c r="Q16" s="85" t="s">
        <v>128</v>
      </c>
      <c r="R16" s="99" t="s">
        <v>46</v>
      </c>
      <c r="S16" s="127" t="s">
        <v>87</v>
      </c>
      <c r="T16" s="87">
        <v>45394</v>
      </c>
      <c r="U16" s="87">
        <f t="shared" ref="U16:U24" si="7">T16+7</f>
        <v>45401</v>
      </c>
      <c r="V16" s="87">
        <v>45412</v>
      </c>
      <c r="W16" s="87">
        <f t="shared" si="1"/>
        <v>45419</v>
      </c>
      <c r="X16" s="60"/>
      <c r="Y16" s="315" t="s">
        <v>79</v>
      </c>
      <c r="Z16" s="71" t="s">
        <v>136</v>
      </c>
      <c r="AA16" s="71">
        <v>14</v>
      </c>
      <c r="AB16" s="128" t="s">
        <v>137</v>
      </c>
      <c r="AC16" s="73">
        <f t="shared" ref="AC16:AC18" si="8">G16</f>
        <v>1</v>
      </c>
      <c r="AD16" s="73">
        <f t="shared" ref="AD16:AD18" si="9">G16-AC16</f>
        <v>0</v>
      </c>
      <c r="AE16" s="129" t="s">
        <v>138</v>
      </c>
      <c r="AF16" s="129" t="s">
        <v>139</v>
      </c>
    </row>
    <row r="17" s="21" customFormat="1" ht="21" customHeight="1" spans="1:32">
      <c r="A17" s="125">
        <v>14</v>
      </c>
      <c r="B17" s="104" t="s">
        <v>140</v>
      </c>
      <c r="C17" s="105"/>
      <c r="D17" s="59" t="s">
        <v>34</v>
      </c>
      <c r="E17" s="96" t="s">
        <v>141</v>
      </c>
      <c r="F17" s="59" t="s">
        <v>142</v>
      </c>
      <c r="G17" s="97">
        <v>1</v>
      </c>
      <c r="H17" s="81" t="s">
        <v>94</v>
      </c>
      <c r="I17" s="81" t="s">
        <v>38</v>
      </c>
      <c r="J17" s="81" t="s">
        <v>39</v>
      </c>
      <c r="K17" s="81" t="s">
        <v>134</v>
      </c>
      <c r="L17" s="82" t="s">
        <v>56</v>
      </c>
      <c r="M17" s="126" t="s">
        <v>42</v>
      </c>
      <c r="N17" s="64" t="s">
        <v>135</v>
      </c>
      <c r="O17" s="47" t="s">
        <v>44</v>
      </c>
      <c r="P17" s="84">
        <v>45366</v>
      </c>
      <c r="Q17" s="85" t="s">
        <v>128</v>
      </c>
      <c r="R17" s="99" t="s">
        <v>46</v>
      </c>
      <c r="S17" s="127" t="s">
        <v>87</v>
      </c>
      <c r="T17" s="87">
        <v>45394</v>
      </c>
      <c r="U17" s="87">
        <f t="shared" si="7"/>
        <v>45401</v>
      </c>
      <c r="V17" s="87">
        <v>45412</v>
      </c>
      <c r="W17" s="87">
        <f t="shared" si="1"/>
        <v>45419</v>
      </c>
      <c r="X17" s="60"/>
      <c r="Y17" s="315" t="s">
        <v>79</v>
      </c>
      <c r="Z17" s="71" t="s">
        <v>143</v>
      </c>
      <c r="AA17" s="71">
        <v>15</v>
      </c>
      <c r="AB17" s="130"/>
      <c r="AC17" s="73">
        <f t="shared" si="8"/>
        <v>1</v>
      </c>
      <c r="AD17" s="73">
        <f t="shared" si="9"/>
        <v>0</v>
      </c>
      <c r="AE17" s="129" t="s">
        <v>138</v>
      </c>
      <c r="AF17" s="129" t="s">
        <v>139</v>
      </c>
    </row>
    <row r="18" s="21" customFormat="1" ht="21" customHeight="1" spans="1:32">
      <c r="A18" s="58">
        <v>15</v>
      </c>
      <c r="B18" s="59" t="s">
        <v>144</v>
      </c>
      <c r="C18" s="60"/>
      <c r="D18" s="59" t="s">
        <v>34</v>
      </c>
      <c r="E18" s="96" t="s">
        <v>145</v>
      </c>
      <c r="F18" s="59" t="s">
        <v>146</v>
      </c>
      <c r="G18" s="97">
        <v>1</v>
      </c>
      <c r="H18" s="81" t="s">
        <v>94</v>
      </c>
      <c r="I18" s="81" t="s">
        <v>38</v>
      </c>
      <c r="J18" s="81" t="s">
        <v>39</v>
      </c>
      <c r="K18" s="81" t="s">
        <v>134</v>
      </c>
      <c r="L18" s="82" t="s">
        <v>56</v>
      </c>
      <c r="M18" s="82" t="s">
        <v>42</v>
      </c>
      <c r="N18" s="64" t="s">
        <v>135</v>
      </c>
      <c r="O18" s="47" t="s">
        <v>44</v>
      </c>
      <c r="P18" s="84">
        <v>45412</v>
      </c>
      <c r="Q18" s="99" t="s">
        <v>45</v>
      </c>
      <c r="R18" s="99" t="s">
        <v>46</v>
      </c>
      <c r="S18" s="127" t="s">
        <v>147</v>
      </c>
      <c r="T18" s="87">
        <v>45394</v>
      </c>
      <c r="U18" s="87">
        <f t="shared" si="7"/>
        <v>45401</v>
      </c>
      <c r="V18" s="87">
        <v>45412</v>
      </c>
      <c r="W18" s="87">
        <f t="shared" si="1"/>
        <v>45419</v>
      </c>
      <c r="X18" s="60"/>
      <c r="Y18" s="315" t="s">
        <v>79</v>
      </c>
      <c r="Z18" s="71" t="s">
        <v>146</v>
      </c>
      <c r="AA18" s="71">
        <v>26</v>
      </c>
      <c r="AB18" s="130"/>
      <c r="AC18" s="73">
        <f t="shared" si="8"/>
        <v>1</v>
      </c>
      <c r="AD18" s="73">
        <f t="shared" si="9"/>
        <v>0</v>
      </c>
      <c r="AE18" s="129" t="s">
        <v>138</v>
      </c>
      <c r="AF18" s="129" t="s">
        <v>139</v>
      </c>
    </row>
    <row r="19" s="21" customFormat="1" ht="21" customHeight="1" spans="1:32">
      <c r="A19" s="58">
        <v>16</v>
      </c>
      <c r="B19" s="59" t="s">
        <v>148</v>
      </c>
      <c r="C19" s="60"/>
      <c r="D19" s="59" t="s">
        <v>34</v>
      </c>
      <c r="E19" s="96" t="s">
        <v>149</v>
      </c>
      <c r="F19" s="59" t="s">
        <v>118</v>
      </c>
      <c r="G19" s="97">
        <v>1</v>
      </c>
      <c r="H19" s="81" t="s">
        <v>94</v>
      </c>
      <c r="I19" s="81" t="s">
        <v>38</v>
      </c>
      <c r="J19" s="81" t="s">
        <v>39</v>
      </c>
      <c r="K19" s="81" t="s">
        <v>134</v>
      </c>
      <c r="L19" s="82" t="s">
        <v>56</v>
      </c>
      <c r="M19" s="82" t="s">
        <v>42</v>
      </c>
      <c r="N19" s="64" t="s">
        <v>135</v>
      </c>
      <c r="O19" s="47" t="s">
        <v>44</v>
      </c>
      <c r="P19" s="84">
        <v>45412</v>
      </c>
      <c r="Q19" s="99" t="s">
        <v>45</v>
      </c>
      <c r="R19" s="99" t="s">
        <v>46</v>
      </c>
      <c r="S19" s="127" t="s">
        <v>147</v>
      </c>
      <c r="T19" s="86">
        <v>45413</v>
      </c>
      <c r="U19" s="86">
        <f t="shared" si="7"/>
        <v>45420</v>
      </c>
      <c r="V19" s="86">
        <v>45429</v>
      </c>
      <c r="W19" s="86">
        <v>45432</v>
      </c>
      <c r="X19" s="60"/>
      <c r="Y19" s="315" t="s">
        <v>150</v>
      </c>
      <c r="Z19" s="71" t="s">
        <v>121</v>
      </c>
      <c r="AA19" s="71">
        <v>47</v>
      </c>
      <c r="AB19" s="130"/>
      <c r="AC19" s="73">
        <f t="shared" ref="AC19:AC32" si="10">G19</f>
        <v>1</v>
      </c>
      <c r="AD19" s="73">
        <f t="shared" ref="AD19:AD29" si="11">G19-AC19</f>
        <v>0</v>
      </c>
      <c r="AE19" s="101" t="s">
        <v>151</v>
      </c>
      <c r="AF19" s="129"/>
    </row>
    <row r="20" s="21" customFormat="1" ht="21" customHeight="1" spans="1:32">
      <c r="A20" s="58">
        <v>17</v>
      </c>
      <c r="B20" s="59" t="s">
        <v>152</v>
      </c>
      <c r="C20" s="60"/>
      <c r="D20" s="59" t="s">
        <v>34</v>
      </c>
      <c r="E20" s="96" t="s">
        <v>153</v>
      </c>
      <c r="F20" s="59" t="s">
        <v>154</v>
      </c>
      <c r="G20" s="97">
        <v>1</v>
      </c>
      <c r="H20" s="81" t="s">
        <v>94</v>
      </c>
      <c r="I20" s="81" t="s">
        <v>38</v>
      </c>
      <c r="J20" s="81" t="s">
        <v>39</v>
      </c>
      <c r="K20" s="81" t="s">
        <v>134</v>
      </c>
      <c r="L20" s="82" t="s">
        <v>56</v>
      </c>
      <c r="M20" s="82" t="s">
        <v>42</v>
      </c>
      <c r="N20" s="64" t="s">
        <v>135</v>
      </c>
      <c r="O20" s="47" t="s">
        <v>44</v>
      </c>
      <c r="P20" s="84">
        <v>45412</v>
      </c>
      <c r="Q20" s="99" t="s">
        <v>45</v>
      </c>
      <c r="R20" s="99" t="s">
        <v>46</v>
      </c>
      <c r="S20" s="127" t="s">
        <v>147</v>
      </c>
      <c r="T20" s="86">
        <v>45413</v>
      </c>
      <c r="U20" s="86">
        <f t="shared" si="7"/>
        <v>45420</v>
      </c>
      <c r="V20" s="86">
        <v>45429</v>
      </c>
      <c r="W20" s="86">
        <v>45432</v>
      </c>
      <c r="X20" s="60"/>
      <c r="Y20" s="315" t="s">
        <v>150</v>
      </c>
      <c r="Z20" s="71" t="s">
        <v>155</v>
      </c>
      <c r="AA20" s="71">
        <v>48</v>
      </c>
      <c r="AB20" s="130"/>
      <c r="AC20" s="73">
        <f t="shared" si="10"/>
        <v>1</v>
      </c>
      <c r="AD20" s="73">
        <f t="shared" si="11"/>
        <v>0</v>
      </c>
      <c r="AE20" s="101" t="s">
        <v>151</v>
      </c>
      <c r="AF20" s="129"/>
    </row>
    <row r="21" s="21" customFormat="1" ht="21" customHeight="1" spans="1:32">
      <c r="A21" s="58">
        <v>18</v>
      </c>
      <c r="B21" s="59" t="s">
        <v>156</v>
      </c>
      <c r="C21" s="60"/>
      <c r="D21" s="59" t="s">
        <v>34</v>
      </c>
      <c r="E21" s="96" t="s">
        <v>157</v>
      </c>
      <c r="F21" s="59" t="s">
        <v>158</v>
      </c>
      <c r="G21" s="97">
        <v>1</v>
      </c>
      <c r="H21" s="81" t="s">
        <v>94</v>
      </c>
      <c r="I21" s="81" t="s">
        <v>38</v>
      </c>
      <c r="J21" s="81" t="s">
        <v>39</v>
      </c>
      <c r="K21" s="81" t="s">
        <v>134</v>
      </c>
      <c r="L21" s="82" t="s">
        <v>56</v>
      </c>
      <c r="M21" s="82" t="s">
        <v>42</v>
      </c>
      <c r="N21" s="64" t="s">
        <v>135</v>
      </c>
      <c r="O21" s="47" t="s">
        <v>44</v>
      </c>
      <c r="P21" s="84">
        <v>45412</v>
      </c>
      <c r="Q21" s="99" t="s">
        <v>45</v>
      </c>
      <c r="R21" s="99" t="s">
        <v>46</v>
      </c>
      <c r="S21" s="127" t="s">
        <v>147</v>
      </c>
      <c r="T21" s="86">
        <v>45413</v>
      </c>
      <c r="U21" s="86">
        <f t="shared" si="7"/>
        <v>45420</v>
      </c>
      <c r="V21" s="86">
        <v>45429</v>
      </c>
      <c r="W21" s="86">
        <v>45432</v>
      </c>
      <c r="X21" s="60"/>
      <c r="Y21" s="315" t="s">
        <v>150</v>
      </c>
      <c r="Z21" s="71" t="s">
        <v>159</v>
      </c>
      <c r="AA21" s="71">
        <v>49</v>
      </c>
      <c r="AB21" s="130"/>
      <c r="AC21" s="73">
        <f t="shared" si="10"/>
        <v>1</v>
      </c>
      <c r="AD21" s="73">
        <f t="shared" si="11"/>
        <v>0</v>
      </c>
      <c r="AE21" s="101" t="s">
        <v>151</v>
      </c>
      <c r="AF21" s="129"/>
    </row>
    <row r="22" s="21" customFormat="1" ht="21" customHeight="1" spans="1:32">
      <c r="A22" s="58">
        <v>19</v>
      </c>
      <c r="B22" s="59" t="s">
        <v>160</v>
      </c>
      <c r="C22" s="60"/>
      <c r="D22" s="59" t="s">
        <v>34</v>
      </c>
      <c r="E22" s="96" t="s">
        <v>161</v>
      </c>
      <c r="F22" s="59" t="s">
        <v>162</v>
      </c>
      <c r="G22" s="97">
        <v>1</v>
      </c>
      <c r="H22" s="81" t="s">
        <v>94</v>
      </c>
      <c r="I22" s="81" t="s">
        <v>38</v>
      </c>
      <c r="J22" s="81" t="s">
        <v>39</v>
      </c>
      <c r="K22" s="81" t="s">
        <v>134</v>
      </c>
      <c r="L22" s="82" t="s">
        <v>56</v>
      </c>
      <c r="M22" s="82" t="s">
        <v>42</v>
      </c>
      <c r="N22" s="64" t="s">
        <v>135</v>
      </c>
      <c r="O22" s="47" t="s">
        <v>44</v>
      </c>
      <c r="P22" s="84">
        <v>45412</v>
      </c>
      <c r="Q22" s="99" t="s">
        <v>45</v>
      </c>
      <c r="R22" s="99" t="s">
        <v>46</v>
      </c>
      <c r="S22" s="127" t="s">
        <v>147</v>
      </c>
      <c r="T22" s="86">
        <v>45413</v>
      </c>
      <c r="U22" s="86">
        <f t="shared" si="7"/>
        <v>45420</v>
      </c>
      <c r="V22" s="86">
        <v>45429</v>
      </c>
      <c r="W22" s="86">
        <v>45432</v>
      </c>
      <c r="X22" s="60"/>
      <c r="Y22" s="315" t="s">
        <v>150</v>
      </c>
      <c r="Z22" s="71" t="s">
        <v>163</v>
      </c>
      <c r="AA22" s="71">
        <v>50</v>
      </c>
      <c r="AB22" s="130"/>
      <c r="AC22" s="73">
        <f t="shared" si="10"/>
        <v>1</v>
      </c>
      <c r="AD22" s="73">
        <f t="shared" si="11"/>
        <v>0</v>
      </c>
      <c r="AE22" s="101" t="s">
        <v>151</v>
      </c>
      <c r="AF22" s="129"/>
    </row>
    <row r="23" s="21" customFormat="1" ht="21" customHeight="1" spans="1:32">
      <c r="A23" s="58">
        <v>20</v>
      </c>
      <c r="B23" s="59" t="s">
        <v>164</v>
      </c>
      <c r="C23" s="60"/>
      <c r="D23" s="59" t="s">
        <v>34</v>
      </c>
      <c r="E23" s="96" t="s">
        <v>165</v>
      </c>
      <c r="F23" s="59" t="s">
        <v>166</v>
      </c>
      <c r="G23" s="97">
        <v>3</v>
      </c>
      <c r="H23" s="81" t="s">
        <v>94</v>
      </c>
      <c r="I23" s="81" t="s">
        <v>38</v>
      </c>
      <c r="J23" s="81" t="s">
        <v>39</v>
      </c>
      <c r="K23" s="81" t="s">
        <v>134</v>
      </c>
      <c r="L23" s="82" t="s">
        <v>56</v>
      </c>
      <c r="M23" s="82" t="s">
        <v>42</v>
      </c>
      <c r="N23" s="64" t="s">
        <v>135</v>
      </c>
      <c r="O23" s="47" t="s">
        <v>44</v>
      </c>
      <c r="P23" s="84">
        <v>45366</v>
      </c>
      <c r="Q23" s="131" t="s">
        <v>128</v>
      </c>
      <c r="R23" s="99" t="s">
        <v>46</v>
      </c>
      <c r="S23" s="127" t="s">
        <v>147</v>
      </c>
      <c r="T23" s="87">
        <v>45394</v>
      </c>
      <c r="U23" s="87">
        <f t="shared" si="7"/>
        <v>45401</v>
      </c>
      <c r="V23" s="87">
        <v>45412</v>
      </c>
      <c r="W23" s="87">
        <f t="shared" si="1"/>
        <v>45419</v>
      </c>
      <c r="X23" s="60"/>
      <c r="Y23" s="315" t="s">
        <v>79</v>
      </c>
      <c r="Z23" s="71" t="s">
        <v>166</v>
      </c>
      <c r="AA23" s="71">
        <v>51</v>
      </c>
      <c r="AB23" s="130"/>
      <c r="AC23" s="73">
        <f t="shared" si="10"/>
        <v>3</v>
      </c>
      <c r="AD23" s="73">
        <f t="shared" si="11"/>
        <v>0</v>
      </c>
      <c r="AE23" s="129" t="s">
        <v>138</v>
      </c>
      <c r="AF23" s="129" t="s">
        <v>139</v>
      </c>
    </row>
    <row r="24" s="21" customFormat="1" ht="21" customHeight="1" spans="1:32">
      <c r="A24" s="58">
        <v>21</v>
      </c>
      <c r="B24" s="59" t="s">
        <v>167</v>
      </c>
      <c r="C24" s="60"/>
      <c r="D24" s="59" t="s">
        <v>34</v>
      </c>
      <c r="E24" s="96" t="s">
        <v>168</v>
      </c>
      <c r="F24" s="59" t="s">
        <v>162</v>
      </c>
      <c r="G24" s="97">
        <v>1</v>
      </c>
      <c r="H24" s="81" t="s">
        <v>94</v>
      </c>
      <c r="I24" s="81" t="s">
        <v>38</v>
      </c>
      <c r="J24" s="81" t="s">
        <v>39</v>
      </c>
      <c r="K24" s="81" t="s">
        <v>134</v>
      </c>
      <c r="L24" s="82" t="s">
        <v>56</v>
      </c>
      <c r="M24" s="82" t="s">
        <v>42</v>
      </c>
      <c r="N24" s="64" t="s">
        <v>135</v>
      </c>
      <c r="O24" s="47" t="s">
        <v>44</v>
      </c>
      <c r="P24" s="84">
        <v>45412</v>
      </c>
      <c r="Q24" s="99" t="s">
        <v>45</v>
      </c>
      <c r="R24" s="99" t="s">
        <v>46</v>
      </c>
      <c r="S24" s="127" t="s">
        <v>147</v>
      </c>
      <c r="T24" s="86">
        <v>45413</v>
      </c>
      <c r="U24" s="86">
        <f t="shared" si="7"/>
        <v>45420</v>
      </c>
      <c r="V24" s="86">
        <v>45429</v>
      </c>
      <c r="W24" s="86">
        <v>45432</v>
      </c>
      <c r="X24" s="60"/>
      <c r="Y24" s="315" t="s">
        <v>150</v>
      </c>
      <c r="Z24" s="71" t="s">
        <v>162</v>
      </c>
      <c r="AA24" s="71">
        <v>52</v>
      </c>
      <c r="AB24" s="132"/>
      <c r="AC24" s="73">
        <f t="shared" si="10"/>
        <v>1</v>
      </c>
      <c r="AD24" s="73">
        <f t="shared" si="11"/>
        <v>0</v>
      </c>
      <c r="AE24" s="101" t="s">
        <v>151</v>
      </c>
      <c r="AF24" s="74"/>
    </row>
    <row r="25" s="21" customFormat="1" ht="21" customHeight="1" spans="1:32">
      <c r="A25" s="58">
        <v>22</v>
      </c>
      <c r="B25" s="59" t="s">
        <v>169</v>
      </c>
      <c r="C25" s="60"/>
      <c r="D25" s="59" t="s">
        <v>34</v>
      </c>
      <c r="E25" s="96" t="s">
        <v>170</v>
      </c>
      <c r="F25" s="59" t="s">
        <v>171</v>
      </c>
      <c r="G25" s="97">
        <v>8</v>
      </c>
      <c r="H25" s="81" t="s">
        <v>94</v>
      </c>
      <c r="I25" s="81" t="s">
        <v>38</v>
      </c>
      <c r="J25" s="81" t="s">
        <v>39</v>
      </c>
      <c r="K25" s="81" t="s">
        <v>172</v>
      </c>
      <c r="L25" s="82" t="s">
        <v>173</v>
      </c>
      <c r="M25" s="82" t="s">
        <v>173</v>
      </c>
      <c r="N25" s="133" t="s">
        <v>174</v>
      </c>
      <c r="O25" s="47"/>
      <c r="P25" s="84">
        <v>45473</v>
      </c>
      <c r="Q25" s="99" t="s">
        <v>128</v>
      </c>
      <c r="R25" s="99" t="s">
        <v>46</v>
      </c>
      <c r="S25" s="99" t="s">
        <v>87</v>
      </c>
      <c r="T25" s="102">
        <v>45490</v>
      </c>
      <c r="U25" s="87">
        <v>45525</v>
      </c>
      <c r="V25" s="87">
        <f t="shared" ref="V25:V29" si="12">U25+7</f>
        <v>45532</v>
      </c>
      <c r="W25" s="87">
        <f t="shared" ref="W25:W29" si="13">V25+3</f>
        <v>45535</v>
      </c>
      <c r="X25" s="60"/>
      <c r="Y25" s="70" t="s">
        <v>88</v>
      </c>
      <c r="Z25" s="71" t="s">
        <v>171</v>
      </c>
      <c r="AA25" s="71">
        <v>73</v>
      </c>
      <c r="AB25" s="89" t="s">
        <v>49</v>
      </c>
      <c r="AC25" s="73">
        <f t="shared" si="10"/>
        <v>8</v>
      </c>
      <c r="AD25" s="73">
        <f t="shared" si="11"/>
        <v>0</v>
      </c>
      <c r="AE25" s="101" t="s">
        <v>89</v>
      </c>
      <c r="AF25" s="101" t="s">
        <v>175</v>
      </c>
    </row>
    <row r="26" s="21" customFormat="1" ht="21" customHeight="1" spans="1:32">
      <c r="A26" s="58">
        <v>23</v>
      </c>
      <c r="B26" s="59" t="s">
        <v>176</v>
      </c>
      <c r="C26" s="60"/>
      <c r="D26" s="59" t="s">
        <v>34</v>
      </c>
      <c r="E26" s="96" t="s">
        <v>177</v>
      </c>
      <c r="F26" s="59" t="s">
        <v>178</v>
      </c>
      <c r="G26" s="97">
        <v>4</v>
      </c>
      <c r="H26" s="81" t="s">
        <v>94</v>
      </c>
      <c r="I26" s="81" t="s">
        <v>38</v>
      </c>
      <c r="J26" s="81" t="s">
        <v>39</v>
      </c>
      <c r="K26" s="81" t="s">
        <v>172</v>
      </c>
      <c r="L26" s="82" t="s">
        <v>179</v>
      </c>
      <c r="M26" s="82" t="s">
        <v>173</v>
      </c>
      <c r="N26" s="133" t="s">
        <v>174</v>
      </c>
      <c r="O26" s="47"/>
      <c r="P26" s="84">
        <v>45473</v>
      </c>
      <c r="Q26" s="99" t="s">
        <v>128</v>
      </c>
      <c r="R26" s="99" t="s">
        <v>46</v>
      </c>
      <c r="S26" s="99" t="s">
        <v>87</v>
      </c>
      <c r="T26" s="102">
        <v>45490</v>
      </c>
      <c r="U26" s="87">
        <v>45525</v>
      </c>
      <c r="V26" s="87">
        <f t="shared" si="12"/>
        <v>45532</v>
      </c>
      <c r="W26" s="87">
        <f t="shared" si="13"/>
        <v>45535</v>
      </c>
      <c r="X26" s="60"/>
      <c r="Y26" s="70" t="s">
        <v>88</v>
      </c>
      <c r="Z26" s="71" t="s">
        <v>178</v>
      </c>
      <c r="AA26" s="71">
        <v>74</v>
      </c>
      <c r="AB26" s="89" t="s">
        <v>49</v>
      </c>
      <c r="AC26" s="73">
        <f t="shared" si="10"/>
        <v>4</v>
      </c>
      <c r="AD26" s="73">
        <f t="shared" si="11"/>
        <v>0</v>
      </c>
      <c r="AE26" s="101" t="s">
        <v>89</v>
      </c>
      <c r="AF26" s="101" t="s">
        <v>175</v>
      </c>
    </row>
    <row r="27" s="21" customFormat="1" ht="21" customHeight="1" spans="1:32">
      <c r="A27" s="58">
        <v>24</v>
      </c>
      <c r="B27" s="59" t="s">
        <v>180</v>
      </c>
      <c r="C27" s="60"/>
      <c r="D27" s="59" t="s">
        <v>34</v>
      </c>
      <c r="E27" s="59" t="s">
        <v>181</v>
      </c>
      <c r="F27" s="59" t="s">
        <v>182</v>
      </c>
      <c r="G27" s="97">
        <v>2</v>
      </c>
      <c r="H27" s="81" t="s">
        <v>94</v>
      </c>
      <c r="I27" s="81" t="s">
        <v>38</v>
      </c>
      <c r="J27" s="81" t="s">
        <v>39</v>
      </c>
      <c r="K27" s="81" t="s">
        <v>172</v>
      </c>
      <c r="L27" s="82" t="s">
        <v>179</v>
      </c>
      <c r="M27" s="82" t="s">
        <v>173</v>
      </c>
      <c r="N27" s="133" t="s">
        <v>174</v>
      </c>
      <c r="O27" s="47"/>
      <c r="P27" s="84">
        <v>45473</v>
      </c>
      <c r="Q27" s="99" t="s">
        <v>128</v>
      </c>
      <c r="R27" s="99" t="s">
        <v>46</v>
      </c>
      <c r="S27" s="99" t="s">
        <v>87</v>
      </c>
      <c r="T27" s="102">
        <v>45490</v>
      </c>
      <c r="U27" s="87">
        <v>45525</v>
      </c>
      <c r="V27" s="87">
        <f t="shared" si="12"/>
        <v>45532</v>
      </c>
      <c r="W27" s="87">
        <f t="shared" si="13"/>
        <v>45535</v>
      </c>
      <c r="X27" s="60"/>
      <c r="Y27" s="70" t="s">
        <v>88</v>
      </c>
      <c r="Z27" s="71" t="s">
        <v>182</v>
      </c>
      <c r="AA27" s="71">
        <v>77</v>
      </c>
      <c r="AB27" s="89" t="s">
        <v>49</v>
      </c>
      <c r="AC27" s="73">
        <f t="shared" si="10"/>
        <v>2</v>
      </c>
      <c r="AD27" s="73">
        <f t="shared" si="11"/>
        <v>0</v>
      </c>
      <c r="AE27" s="101" t="s">
        <v>89</v>
      </c>
      <c r="AF27" s="101" t="s">
        <v>175</v>
      </c>
    </row>
    <row r="28" s="21" customFormat="1" ht="21" customHeight="1" spans="1:32">
      <c r="A28" s="58">
        <v>25</v>
      </c>
      <c r="B28" s="59" t="s">
        <v>183</v>
      </c>
      <c r="C28" s="60"/>
      <c r="D28" s="59" t="s">
        <v>34</v>
      </c>
      <c r="E28" s="96" t="s">
        <v>184</v>
      </c>
      <c r="F28" s="59" t="s">
        <v>185</v>
      </c>
      <c r="G28" s="97">
        <v>8</v>
      </c>
      <c r="H28" s="81" t="s">
        <v>94</v>
      </c>
      <c r="I28" s="81" t="s">
        <v>38</v>
      </c>
      <c r="J28" s="81" t="s">
        <v>39</v>
      </c>
      <c r="K28" s="81" t="s">
        <v>172</v>
      </c>
      <c r="L28" s="82" t="s">
        <v>179</v>
      </c>
      <c r="M28" s="82" t="s">
        <v>173</v>
      </c>
      <c r="N28" s="133" t="s">
        <v>174</v>
      </c>
      <c r="O28" s="47"/>
      <c r="P28" s="84">
        <v>45473</v>
      </c>
      <c r="Q28" s="99" t="s">
        <v>128</v>
      </c>
      <c r="R28" s="99" t="s">
        <v>46</v>
      </c>
      <c r="S28" s="99" t="s">
        <v>87</v>
      </c>
      <c r="T28" s="102">
        <v>45490</v>
      </c>
      <c r="U28" s="87">
        <v>45525</v>
      </c>
      <c r="V28" s="87">
        <f t="shared" si="12"/>
        <v>45532</v>
      </c>
      <c r="W28" s="87">
        <f t="shared" si="13"/>
        <v>45535</v>
      </c>
      <c r="X28" s="60"/>
      <c r="Y28" s="70" t="s">
        <v>88</v>
      </c>
      <c r="Z28" s="71" t="s">
        <v>186</v>
      </c>
      <c r="AA28" s="71">
        <v>80</v>
      </c>
      <c r="AB28" s="89" t="s">
        <v>49</v>
      </c>
      <c r="AC28" s="73">
        <f t="shared" si="10"/>
        <v>8</v>
      </c>
      <c r="AD28" s="73">
        <f t="shared" si="11"/>
        <v>0</v>
      </c>
      <c r="AE28" s="101" t="s">
        <v>89</v>
      </c>
      <c r="AF28" s="101" t="s">
        <v>175</v>
      </c>
    </row>
    <row r="29" s="21" customFormat="1" ht="21" customHeight="1" spans="1:32">
      <c r="A29" s="58">
        <v>26</v>
      </c>
      <c r="B29" s="59" t="s">
        <v>187</v>
      </c>
      <c r="C29" s="60"/>
      <c r="D29" s="59" t="s">
        <v>188</v>
      </c>
      <c r="E29" s="96" t="s">
        <v>189</v>
      </c>
      <c r="F29" s="59" t="s">
        <v>190</v>
      </c>
      <c r="G29" s="97">
        <v>4</v>
      </c>
      <c r="H29" s="81" t="s">
        <v>37</v>
      </c>
      <c r="I29" s="81" t="s">
        <v>38</v>
      </c>
      <c r="J29" s="81" t="s">
        <v>39</v>
      </c>
      <c r="K29" s="81" t="s">
        <v>172</v>
      </c>
      <c r="L29" s="82" t="s">
        <v>179</v>
      </c>
      <c r="M29" s="82" t="s">
        <v>173</v>
      </c>
      <c r="N29" s="133" t="s">
        <v>174</v>
      </c>
      <c r="O29" s="47"/>
      <c r="P29" s="84">
        <v>45473</v>
      </c>
      <c r="Q29" s="99" t="s">
        <v>128</v>
      </c>
      <c r="R29" s="99" t="s">
        <v>46</v>
      </c>
      <c r="S29" s="99" t="s">
        <v>87</v>
      </c>
      <c r="T29" s="102">
        <v>45490</v>
      </c>
      <c r="U29" s="87">
        <v>45525</v>
      </c>
      <c r="V29" s="87">
        <f t="shared" si="12"/>
        <v>45532</v>
      </c>
      <c r="W29" s="87">
        <f t="shared" si="13"/>
        <v>45535</v>
      </c>
      <c r="X29" s="60"/>
      <c r="Y29" s="70" t="s">
        <v>88</v>
      </c>
      <c r="Z29" s="71" t="s">
        <v>190</v>
      </c>
      <c r="AA29" s="71">
        <v>267</v>
      </c>
      <c r="AB29" s="89" t="s">
        <v>49</v>
      </c>
      <c r="AC29" s="73">
        <f t="shared" si="10"/>
        <v>4</v>
      </c>
      <c r="AD29" s="73">
        <f t="shared" si="11"/>
        <v>0</v>
      </c>
      <c r="AE29" s="101" t="s">
        <v>89</v>
      </c>
      <c r="AF29" s="101" t="s">
        <v>175</v>
      </c>
    </row>
    <row r="30" s="21" customFormat="1" ht="21" customHeight="1" spans="1:32">
      <c r="A30" s="103">
        <v>27</v>
      </c>
      <c r="B30" s="104" t="s">
        <v>191</v>
      </c>
      <c r="C30" s="105"/>
      <c r="D30" s="76" t="s">
        <v>34</v>
      </c>
      <c r="E30" s="78" t="s">
        <v>192</v>
      </c>
      <c r="F30" s="106" t="s">
        <v>193</v>
      </c>
      <c r="G30" s="79">
        <v>1</v>
      </c>
      <c r="H30" s="80" t="s">
        <v>37</v>
      </c>
      <c r="I30" s="80" t="s">
        <v>38</v>
      </c>
      <c r="J30" s="80" t="s">
        <v>39</v>
      </c>
      <c r="K30" s="80" t="s">
        <v>194</v>
      </c>
      <c r="L30" s="94" t="s">
        <v>56</v>
      </c>
      <c r="M30" s="94" t="s">
        <v>42</v>
      </c>
      <c r="N30" s="114" t="s">
        <v>195</v>
      </c>
      <c r="O30" s="47" t="s">
        <v>44</v>
      </c>
      <c r="P30" s="84">
        <v>45427</v>
      </c>
      <c r="Q30" s="85" t="s">
        <v>196</v>
      </c>
      <c r="R30" s="99" t="s">
        <v>46</v>
      </c>
      <c r="S30" s="99" t="s">
        <v>99</v>
      </c>
      <c r="T30" s="87">
        <v>45402</v>
      </c>
      <c r="U30" s="87">
        <v>45415</v>
      </c>
      <c r="V30" s="87">
        <v>45435</v>
      </c>
      <c r="W30" s="87">
        <f t="shared" ref="W30:W32" si="14">V30+3</f>
        <v>45438</v>
      </c>
      <c r="X30" s="60"/>
      <c r="Y30" s="314" t="s">
        <v>101</v>
      </c>
      <c r="Z30" s="71" t="s">
        <v>197</v>
      </c>
      <c r="AA30" s="71">
        <v>81</v>
      </c>
      <c r="AB30" s="89" t="s">
        <v>49</v>
      </c>
      <c r="AC30" s="73">
        <f t="shared" si="10"/>
        <v>1</v>
      </c>
      <c r="AD30" s="73">
        <f t="shared" ref="AD30:AD32" si="15">G30-AC30</f>
        <v>0</v>
      </c>
      <c r="AE30" s="101" t="s">
        <v>103</v>
      </c>
      <c r="AF30" s="74"/>
    </row>
    <row r="31" s="21" customFormat="1" ht="21" customHeight="1" spans="1:32">
      <c r="A31" s="103">
        <v>28</v>
      </c>
      <c r="B31" s="104" t="s">
        <v>198</v>
      </c>
      <c r="C31" s="105"/>
      <c r="D31" s="76" t="s">
        <v>34</v>
      </c>
      <c r="E31" s="78" t="s">
        <v>199</v>
      </c>
      <c r="F31" s="76" t="s">
        <v>200</v>
      </c>
      <c r="G31" s="79">
        <v>1</v>
      </c>
      <c r="H31" s="80" t="s">
        <v>37</v>
      </c>
      <c r="I31" s="80" t="s">
        <v>38</v>
      </c>
      <c r="J31" s="80" t="s">
        <v>39</v>
      </c>
      <c r="K31" s="80" t="s">
        <v>194</v>
      </c>
      <c r="L31" s="94" t="s">
        <v>56</v>
      </c>
      <c r="M31" s="94" t="s">
        <v>42</v>
      </c>
      <c r="N31" s="114" t="s">
        <v>195</v>
      </c>
      <c r="O31" s="47" t="s">
        <v>44</v>
      </c>
      <c r="P31" s="84">
        <v>45427</v>
      </c>
      <c r="Q31" s="85" t="s">
        <v>196</v>
      </c>
      <c r="R31" s="99" t="s">
        <v>46</v>
      </c>
      <c r="S31" s="99" t="s">
        <v>99</v>
      </c>
      <c r="T31" s="87">
        <v>45402</v>
      </c>
      <c r="U31" s="87">
        <v>45415</v>
      </c>
      <c r="V31" s="87">
        <v>45435</v>
      </c>
      <c r="W31" s="87">
        <f t="shared" si="14"/>
        <v>45438</v>
      </c>
      <c r="X31" s="60"/>
      <c r="Y31" s="314" t="s">
        <v>101</v>
      </c>
      <c r="Z31" s="71" t="s">
        <v>200</v>
      </c>
      <c r="AA31" s="71">
        <v>82</v>
      </c>
      <c r="AB31" s="89" t="s">
        <v>49</v>
      </c>
      <c r="AC31" s="73">
        <f t="shared" si="10"/>
        <v>1</v>
      </c>
      <c r="AD31" s="73">
        <f t="shared" si="15"/>
        <v>0</v>
      </c>
      <c r="AE31" s="101" t="s">
        <v>103</v>
      </c>
      <c r="AF31" s="74"/>
    </row>
    <row r="32" s="21" customFormat="1" ht="21" customHeight="1" spans="1:32">
      <c r="A32" s="103">
        <v>29</v>
      </c>
      <c r="B32" s="104" t="s">
        <v>201</v>
      </c>
      <c r="C32" s="105"/>
      <c r="D32" s="76" t="s">
        <v>34</v>
      </c>
      <c r="E32" s="78" t="s">
        <v>202</v>
      </c>
      <c r="F32" s="76" t="s">
        <v>203</v>
      </c>
      <c r="G32" s="79">
        <v>1</v>
      </c>
      <c r="H32" s="80" t="s">
        <v>37</v>
      </c>
      <c r="I32" s="80" t="s">
        <v>38</v>
      </c>
      <c r="J32" s="80" t="s">
        <v>39</v>
      </c>
      <c r="K32" s="80" t="s">
        <v>194</v>
      </c>
      <c r="L32" s="94" t="s">
        <v>56</v>
      </c>
      <c r="M32" s="94" t="s">
        <v>42</v>
      </c>
      <c r="N32" s="114" t="s">
        <v>195</v>
      </c>
      <c r="O32" s="47" t="s">
        <v>44</v>
      </c>
      <c r="P32" s="84">
        <v>45427</v>
      </c>
      <c r="Q32" s="85" t="s">
        <v>196</v>
      </c>
      <c r="R32" s="99" t="s">
        <v>46</v>
      </c>
      <c r="S32" s="99" t="s">
        <v>99</v>
      </c>
      <c r="T32" s="87">
        <v>45402</v>
      </c>
      <c r="U32" s="87">
        <v>45415</v>
      </c>
      <c r="V32" s="87">
        <v>45435</v>
      </c>
      <c r="W32" s="87">
        <f t="shared" si="14"/>
        <v>45438</v>
      </c>
      <c r="X32" s="60"/>
      <c r="Y32" s="314" t="s">
        <v>101</v>
      </c>
      <c r="Z32" s="71" t="s">
        <v>204</v>
      </c>
      <c r="AA32" s="71">
        <v>83</v>
      </c>
      <c r="AB32" s="89" t="s">
        <v>49</v>
      </c>
      <c r="AC32" s="73">
        <f t="shared" si="10"/>
        <v>1</v>
      </c>
      <c r="AD32" s="73">
        <f t="shared" si="15"/>
        <v>0</v>
      </c>
      <c r="AE32" s="101" t="s">
        <v>103</v>
      </c>
      <c r="AF32" s="74"/>
    </row>
    <row r="33" s="21" customFormat="1" ht="21" customHeight="1" spans="1:32">
      <c r="A33" s="103">
        <v>30</v>
      </c>
      <c r="B33" s="104" t="s">
        <v>82</v>
      </c>
      <c r="C33" s="105"/>
      <c r="D33" s="76" t="s">
        <v>34</v>
      </c>
      <c r="E33" s="78" t="s">
        <v>205</v>
      </c>
      <c r="F33" s="106" t="s">
        <v>206</v>
      </c>
      <c r="G33" s="79">
        <v>1</v>
      </c>
      <c r="H33" s="80" t="s">
        <v>37</v>
      </c>
      <c r="I33" s="80" t="s">
        <v>38</v>
      </c>
      <c r="J33" s="80" t="s">
        <v>39</v>
      </c>
      <c r="K33" s="80" t="s">
        <v>194</v>
      </c>
      <c r="L33" s="94" t="s">
        <v>56</v>
      </c>
      <c r="M33" s="94" t="s">
        <v>42</v>
      </c>
      <c r="N33" s="114" t="s">
        <v>195</v>
      </c>
      <c r="O33" s="47" t="s">
        <v>44</v>
      </c>
      <c r="P33" s="84">
        <v>45427</v>
      </c>
      <c r="Q33" s="85" t="s">
        <v>196</v>
      </c>
      <c r="R33" s="99" t="s">
        <v>46</v>
      </c>
      <c r="S33" s="99" t="s">
        <v>99</v>
      </c>
      <c r="T33" s="86">
        <v>45413</v>
      </c>
      <c r="U33" s="86">
        <f>T33+7</f>
        <v>45420</v>
      </c>
      <c r="V33" s="86">
        <v>45429</v>
      </c>
      <c r="W33" s="86">
        <v>45432</v>
      </c>
      <c r="X33" s="60"/>
      <c r="Y33" s="314" t="s">
        <v>150</v>
      </c>
      <c r="Z33" s="71" t="s">
        <v>206</v>
      </c>
      <c r="AA33" s="71">
        <v>85</v>
      </c>
      <c r="AB33" s="89" t="s">
        <v>49</v>
      </c>
      <c r="AC33" s="73">
        <f t="shared" ref="AC33:AC40" si="16">G33</f>
        <v>1</v>
      </c>
      <c r="AD33" s="73">
        <f t="shared" ref="AD33:AD40" si="17">G33-AC33</f>
        <v>0</v>
      </c>
      <c r="AE33" s="101" t="s">
        <v>151</v>
      </c>
      <c r="AF33" s="74"/>
    </row>
    <row r="34" s="21" customFormat="1" ht="21" customHeight="1" spans="1:32">
      <c r="A34" s="103">
        <v>31</v>
      </c>
      <c r="B34" s="104" t="s">
        <v>207</v>
      </c>
      <c r="C34" s="105"/>
      <c r="D34" s="76" t="s">
        <v>34</v>
      </c>
      <c r="E34" s="76" t="s">
        <v>208</v>
      </c>
      <c r="F34" s="76" t="s">
        <v>209</v>
      </c>
      <c r="G34" s="79">
        <v>1</v>
      </c>
      <c r="H34" s="80" t="s">
        <v>37</v>
      </c>
      <c r="I34" s="80" t="s">
        <v>38</v>
      </c>
      <c r="J34" s="80" t="s">
        <v>39</v>
      </c>
      <c r="K34" s="80" t="s">
        <v>194</v>
      </c>
      <c r="L34" s="94" t="s">
        <v>56</v>
      </c>
      <c r="M34" s="94" t="s">
        <v>42</v>
      </c>
      <c r="N34" s="114" t="s">
        <v>195</v>
      </c>
      <c r="O34" s="47" t="s">
        <v>44</v>
      </c>
      <c r="P34" s="84">
        <v>45427</v>
      </c>
      <c r="Q34" s="85" t="s">
        <v>196</v>
      </c>
      <c r="R34" s="99" t="s">
        <v>46</v>
      </c>
      <c r="S34" s="99" t="s">
        <v>99</v>
      </c>
      <c r="T34" s="87">
        <v>45402</v>
      </c>
      <c r="U34" s="87">
        <v>45415</v>
      </c>
      <c r="V34" s="87">
        <v>45435</v>
      </c>
      <c r="W34" s="87">
        <f t="shared" ref="W34:W40" si="18">V34+3</f>
        <v>45438</v>
      </c>
      <c r="X34" s="60"/>
      <c r="Y34" s="314" t="s">
        <v>101</v>
      </c>
      <c r="Z34" s="71" t="s">
        <v>209</v>
      </c>
      <c r="AA34" s="71">
        <v>84</v>
      </c>
      <c r="AB34" s="89" t="s">
        <v>49</v>
      </c>
      <c r="AC34" s="73">
        <f t="shared" si="16"/>
        <v>1</v>
      </c>
      <c r="AD34" s="73">
        <f t="shared" si="17"/>
        <v>0</v>
      </c>
      <c r="AE34" s="101" t="s">
        <v>103</v>
      </c>
      <c r="AF34" s="74"/>
    </row>
    <row r="35" s="25" customFormat="1" ht="21" customHeight="1" spans="1:32">
      <c r="A35" s="134">
        <v>32</v>
      </c>
      <c r="B35" s="135">
        <v>390</v>
      </c>
      <c r="C35" s="136" t="s">
        <v>210</v>
      </c>
      <c r="D35" s="137" t="s">
        <v>34</v>
      </c>
      <c r="E35" s="137" t="s">
        <v>211</v>
      </c>
      <c r="F35" s="137" t="s">
        <v>212</v>
      </c>
      <c r="G35" s="138">
        <v>1</v>
      </c>
      <c r="H35" s="139" t="s">
        <v>37</v>
      </c>
      <c r="I35" s="140" t="s">
        <v>38</v>
      </c>
      <c r="J35" s="140" t="s">
        <v>39</v>
      </c>
      <c r="K35" s="139" t="s">
        <v>213</v>
      </c>
      <c r="L35" s="82" t="s">
        <v>56</v>
      </c>
      <c r="M35" s="94" t="s">
        <v>214</v>
      </c>
      <c r="N35" s="141" t="s">
        <v>215</v>
      </c>
      <c r="O35" s="47" t="s">
        <v>44</v>
      </c>
      <c r="P35" s="84">
        <v>45392</v>
      </c>
      <c r="Q35" s="85" t="s">
        <v>45</v>
      </c>
      <c r="R35" s="85" t="s">
        <v>46</v>
      </c>
      <c r="S35" s="95" t="s">
        <v>147</v>
      </c>
      <c r="T35" s="142">
        <v>45457</v>
      </c>
      <c r="U35" s="87">
        <f>T35+4</f>
        <v>45461</v>
      </c>
      <c r="V35" s="87">
        <f>U35+14</f>
        <v>45475</v>
      </c>
      <c r="W35" s="87">
        <f t="shared" si="1"/>
        <v>45482</v>
      </c>
      <c r="X35" s="143" t="s">
        <v>216</v>
      </c>
      <c r="Y35" s="88" t="s">
        <v>217</v>
      </c>
      <c r="Z35" s="71" t="s">
        <v>218</v>
      </c>
      <c r="AA35" s="71">
        <v>107</v>
      </c>
      <c r="AB35" s="89" t="s">
        <v>49</v>
      </c>
      <c r="AC35" s="73">
        <f t="shared" si="16"/>
        <v>1</v>
      </c>
      <c r="AD35" s="73">
        <f t="shared" si="17"/>
        <v>0</v>
      </c>
      <c r="AE35" s="90" t="s">
        <v>50</v>
      </c>
      <c r="AF35" s="90" t="s">
        <v>219</v>
      </c>
    </row>
    <row r="36" s="21" customFormat="1" ht="21" customHeight="1" spans="1:32">
      <c r="A36" s="58">
        <v>33</v>
      </c>
      <c r="B36" s="59" t="s">
        <v>82</v>
      </c>
      <c r="C36" s="144" t="s">
        <v>220</v>
      </c>
      <c r="D36" s="59" t="s">
        <v>34</v>
      </c>
      <c r="E36" s="96" t="s">
        <v>221</v>
      </c>
      <c r="F36" s="59" t="s">
        <v>222</v>
      </c>
      <c r="G36" s="97">
        <v>1</v>
      </c>
      <c r="H36" s="81" t="s">
        <v>37</v>
      </c>
      <c r="I36" s="81" t="s">
        <v>38</v>
      </c>
      <c r="J36" s="81" t="s">
        <v>39</v>
      </c>
      <c r="K36" s="81" t="s">
        <v>223</v>
      </c>
      <c r="L36" s="82" t="s">
        <v>56</v>
      </c>
      <c r="M36" s="82" t="s">
        <v>42</v>
      </c>
      <c r="N36" s="145" t="s">
        <v>224</v>
      </c>
      <c r="O36" s="98" t="s">
        <v>44</v>
      </c>
      <c r="P36" s="84">
        <v>45488</v>
      </c>
      <c r="Q36" s="99" t="s">
        <v>45</v>
      </c>
      <c r="R36" s="85" t="s">
        <v>66</v>
      </c>
      <c r="S36" s="99" t="s">
        <v>67</v>
      </c>
      <c r="T36" s="102">
        <v>45507</v>
      </c>
      <c r="U36" s="87">
        <v>45515</v>
      </c>
      <c r="V36" s="87">
        <v>45521</v>
      </c>
      <c r="W36" s="87">
        <f t="shared" si="1"/>
        <v>45528</v>
      </c>
      <c r="X36" s="60"/>
      <c r="Y36" s="88" t="s">
        <v>225</v>
      </c>
      <c r="Z36" s="71" t="s">
        <v>222</v>
      </c>
      <c r="AA36" s="71">
        <v>110</v>
      </c>
      <c r="AB36" s="89" t="s">
        <v>49</v>
      </c>
      <c r="AC36" s="73">
        <f t="shared" si="16"/>
        <v>1</v>
      </c>
      <c r="AD36" s="73">
        <f t="shared" si="17"/>
        <v>0</v>
      </c>
      <c r="AE36" s="101" t="s">
        <v>226</v>
      </c>
      <c r="AF36" s="90" t="s">
        <v>227</v>
      </c>
    </row>
    <row r="37" s="21" customFormat="1" ht="21" customHeight="1" spans="1:32">
      <c r="A37" s="75">
        <v>34</v>
      </c>
      <c r="B37" s="76" t="s">
        <v>228</v>
      </c>
      <c r="C37" s="60"/>
      <c r="D37" s="76" t="s">
        <v>34</v>
      </c>
      <c r="E37" s="78" t="s">
        <v>229</v>
      </c>
      <c r="F37" s="106" t="s">
        <v>230</v>
      </c>
      <c r="G37" s="79">
        <v>1</v>
      </c>
      <c r="H37" s="80" t="s">
        <v>94</v>
      </c>
      <c r="I37" s="80" t="s">
        <v>38</v>
      </c>
      <c r="J37" s="80" t="s">
        <v>39</v>
      </c>
      <c r="K37" s="80" t="s">
        <v>231</v>
      </c>
      <c r="L37" s="107" t="s">
        <v>77</v>
      </c>
      <c r="M37" s="107" t="s">
        <v>42</v>
      </c>
      <c r="N37" s="64" t="s">
        <v>232</v>
      </c>
      <c r="O37" s="98" t="s">
        <v>44</v>
      </c>
      <c r="P37" s="84">
        <v>45473</v>
      </c>
      <c r="Q37" s="99" t="s">
        <v>128</v>
      </c>
      <c r="R37" s="99" t="s">
        <v>46</v>
      </c>
      <c r="S37" s="99" t="s">
        <v>87</v>
      </c>
      <c r="T37" s="102">
        <v>45490</v>
      </c>
      <c r="U37" s="87">
        <v>45525</v>
      </c>
      <c r="V37" s="87">
        <f t="shared" ref="V37:V40" si="19">U37+7</f>
        <v>45532</v>
      </c>
      <c r="W37" s="87">
        <f t="shared" si="18"/>
        <v>45535</v>
      </c>
      <c r="X37" s="60"/>
      <c r="Y37" s="70" t="s">
        <v>88</v>
      </c>
      <c r="Z37" s="71" t="s">
        <v>230</v>
      </c>
      <c r="AA37" s="71">
        <v>75</v>
      </c>
      <c r="AB37" s="146" t="s">
        <v>49</v>
      </c>
      <c r="AC37" s="73">
        <f t="shared" si="16"/>
        <v>1</v>
      </c>
      <c r="AD37" s="73">
        <f t="shared" si="17"/>
        <v>0</v>
      </c>
      <c r="AE37" s="101" t="s">
        <v>89</v>
      </c>
      <c r="AF37" s="90" t="s">
        <v>233</v>
      </c>
    </row>
    <row r="38" s="21" customFormat="1" ht="21" customHeight="1" spans="1:32">
      <c r="A38" s="75">
        <v>35</v>
      </c>
      <c r="B38" s="92" t="s">
        <v>234</v>
      </c>
      <c r="C38" s="147"/>
      <c r="D38" s="76" t="s">
        <v>34</v>
      </c>
      <c r="E38" s="76" t="s">
        <v>235</v>
      </c>
      <c r="F38" s="76" t="s">
        <v>236</v>
      </c>
      <c r="G38" s="79">
        <v>1</v>
      </c>
      <c r="H38" s="80" t="s">
        <v>94</v>
      </c>
      <c r="I38" s="80" t="s">
        <v>38</v>
      </c>
      <c r="J38" s="80" t="s">
        <v>39</v>
      </c>
      <c r="K38" s="80" t="s">
        <v>231</v>
      </c>
      <c r="L38" s="107" t="s">
        <v>77</v>
      </c>
      <c r="M38" s="107" t="s">
        <v>42</v>
      </c>
      <c r="N38" s="64" t="s">
        <v>232</v>
      </c>
      <c r="O38" s="98" t="s">
        <v>44</v>
      </c>
      <c r="P38" s="84">
        <v>45473</v>
      </c>
      <c r="Q38" s="99" t="s">
        <v>128</v>
      </c>
      <c r="R38" s="99" t="s">
        <v>46</v>
      </c>
      <c r="S38" s="99" t="s">
        <v>87</v>
      </c>
      <c r="T38" s="102">
        <v>45490</v>
      </c>
      <c r="U38" s="87">
        <v>45525</v>
      </c>
      <c r="V38" s="87">
        <f t="shared" si="19"/>
        <v>45532</v>
      </c>
      <c r="W38" s="87">
        <f t="shared" si="18"/>
        <v>45535</v>
      </c>
      <c r="X38" s="60"/>
      <c r="Y38" s="70" t="s">
        <v>88</v>
      </c>
      <c r="Z38" s="71" t="s">
        <v>237</v>
      </c>
      <c r="AA38" s="71">
        <v>78</v>
      </c>
      <c r="AB38" s="130"/>
      <c r="AC38" s="73">
        <f t="shared" si="16"/>
        <v>1</v>
      </c>
      <c r="AD38" s="73">
        <f t="shared" si="17"/>
        <v>0</v>
      </c>
      <c r="AE38" s="101" t="s">
        <v>89</v>
      </c>
      <c r="AF38" s="90" t="s">
        <v>233</v>
      </c>
    </row>
    <row r="39" s="21" customFormat="1" ht="21" customHeight="1" spans="1:32">
      <c r="A39" s="75">
        <v>36</v>
      </c>
      <c r="B39" s="92" t="s">
        <v>238</v>
      </c>
      <c r="C39" s="147"/>
      <c r="D39" s="76" t="s">
        <v>34</v>
      </c>
      <c r="E39" s="78" t="s">
        <v>239</v>
      </c>
      <c r="F39" s="76" t="s">
        <v>240</v>
      </c>
      <c r="G39" s="79">
        <v>1</v>
      </c>
      <c r="H39" s="80" t="s">
        <v>94</v>
      </c>
      <c r="I39" s="80" t="s">
        <v>38</v>
      </c>
      <c r="J39" s="80" t="s">
        <v>39</v>
      </c>
      <c r="K39" s="80" t="s">
        <v>231</v>
      </c>
      <c r="L39" s="107" t="s">
        <v>77</v>
      </c>
      <c r="M39" s="107" t="s">
        <v>42</v>
      </c>
      <c r="N39" s="64" t="s">
        <v>232</v>
      </c>
      <c r="O39" s="98" t="s">
        <v>44</v>
      </c>
      <c r="P39" s="84">
        <v>45473</v>
      </c>
      <c r="Q39" s="99" t="s">
        <v>128</v>
      </c>
      <c r="R39" s="99" t="s">
        <v>46</v>
      </c>
      <c r="S39" s="99" t="s">
        <v>87</v>
      </c>
      <c r="T39" s="102">
        <v>45490</v>
      </c>
      <c r="U39" s="87">
        <v>45525</v>
      </c>
      <c r="V39" s="87">
        <f t="shared" si="19"/>
        <v>45532</v>
      </c>
      <c r="W39" s="87">
        <f t="shared" si="18"/>
        <v>45535</v>
      </c>
      <c r="X39" s="60"/>
      <c r="Y39" s="70" t="s">
        <v>88</v>
      </c>
      <c r="Z39" s="71" t="s">
        <v>241</v>
      </c>
      <c r="AA39" s="71">
        <v>76</v>
      </c>
      <c r="AB39" s="130"/>
      <c r="AC39" s="73">
        <f t="shared" si="16"/>
        <v>1</v>
      </c>
      <c r="AD39" s="73">
        <f t="shared" si="17"/>
        <v>0</v>
      </c>
      <c r="AE39" s="101" t="s">
        <v>89</v>
      </c>
      <c r="AF39" s="90" t="s">
        <v>233</v>
      </c>
    </row>
    <row r="40" s="21" customFormat="1" ht="21" customHeight="1" spans="1:32">
      <c r="A40" s="75">
        <v>37</v>
      </c>
      <c r="B40" s="92" t="s">
        <v>242</v>
      </c>
      <c r="C40" s="147"/>
      <c r="D40" s="76" t="s">
        <v>34</v>
      </c>
      <c r="E40" s="76" t="s">
        <v>243</v>
      </c>
      <c r="F40" s="76" t="s">
        <v>244</v>
      </c>
      <c r="G40" s="79">
        <v>1</v>
      </c>
      <c r="H40" s="80" t="s">
        <v>94</v>
      </c>
      <c r="I40" s="80" t="s">
        <v>38</v>
      </c>
      <c r="J40" s="80" t="s">
        <v>39</v>
      </c>
      <c r="K40" s="80" t="s">
        <v>231</v>
      </c>
      <c r="L40" s="107" t="s">
        <v>77</v>
      </c>
      <c r="M40" s="107" t="s">
        <v>42</v>
      </c>
      <c r="N40" s="64" t="s">
        <v>232</v>
      </c>
      <c r="O40" s="98" t="s">
        <v>44</v>
      </c>
      <c r="P40" s="84">
        <v>45473</v>
      </c>
      <c r="Q40" s="99" t="s">
        <v>128</v>
      </c>
      <c r="R40" s="99" t="s">
        <v>46</v>
      </c>
      <c r="S40" s="99" t="s">
        <v>87</v>
      </c>
      <c r="T40" s="102">
        <v>45490</v>
      </c>
      <c r="U40" s="87">
        <v>45525</v>
      </c>
      <c r="V40" s="87">
        <f t="shared" si="19"/>
        <v>45532</v>
      </c>
      <c r="W40" s="87">
        <f t="shared" si="18"/>
        <v>45535</v>
      </c>
      <c r="X40" s="60"/>
      <c r="Y40" s="70" t="s">
        <v>88</v>
      </c>
      <c r="Z40" s="71" t="s">
        <v>245</v>
      </c>
      <c r="AA40" s="71">
        <v>79</v>
      </c>
      <c r="AB40" s="132"/>
      <c r="AC40" s="73">
        <f t="shared" si="16"/>
        <v>1</v>
      </c>
      <c r="AD40" s="73">
        <f t="shared" si="17"/>
        <v>0</v>
      </c>
      <c r="AE40" s="101" t="s">
        <v>89</v>
      </c>
      <c r="AF40" s="90" t="s">
        <v>233</v>
      </c>
    </row>
    <row r="41" s="21" customFormat="1" ht="21" customHeight="1" spans="1:32">
      <c r="A41" s="75">
        <v>38</v>
      </c>
      <c r="B41" s="92" t="s">
        <v>246</v>
      </c>
      <c r="C41" s="147"/>
      <c r="D41" s="76" t="s">
        <v>34</v>
      </c>
      <c r="E41" s="78" t="s">
        <v>247</v>
      </c>
      <c r="F41" s="106" t="s">
        <v>248</v>
      </c>
      <c r="G41" s="79">
        <v>1</v>
      </c>
      <c r="H41" s="80" t="s">
        <v>94</v>
      </c>
      <c r="I41" s="80" t="s">
        <v>38</v>
      </c>
      <c r="J41" s="80" t="s">
        <v>39</v>
      </c>
      <c r="K41" s="80" t="s">
        <v>249</v>
      </c>
      <c r="L41" s="107" t="s">
        <v>250</v>
      </c>
      <c r="M41" s="107" t="s">
        <v>42</v>
      </c>
      <c r="N41" s="114" t="s">
        <v>251</v>
      </c>
      <c r="O41" s="47" t="s">
        <v>44</v>
      </c>
      <c r="P41" s="84">
        <v>45381</v>
      </c>
      <c r="Q41" s="131" t="s">
        <v>128</v>
      </c>
      <c r="R41" s="85" t="s">
        <v>46</v>
      </c>
      <c r="S41" s="99" t="s">
        <v>47</v>
      </c>
      <c r="T41" s="87">
        <v>45361</v>
      </c>
      <c r="U41" s="87">
        <v>45378</v>
      </c>
      <c r="V41" s="87">
        <v>45388</v>
      </c>
      <c r="W41" s="87">
        <f t="shared" si="1"/>
        <v>45395</v>
      </c>
      <c r="X41" s="60"/>
      <c r="Y41" s="70" t="s">
        <v>125</v>
      </c>
      <c r="Z41" s="71" t="s">
        <v>252</v>
      </c>
      <c r="AA41" s="71">
        <v>1</v>
      </c>
      <c r="AB41" s="54" t="s">
        <v>253</v>
      </c>
      <c r="AC41" s="73">
        <v>1</v>
      </c>
      <c r="AD41" s="73">
        <v>0</v>
      </c>
      <c r="AE41" s="101" t="s">
        <v>254</v>
      </c>
      <c r="AF41" s="90" t="s">
        <v>255</v>
      </c>
    </row>
    <row r="42" s="21" customFormat="1" ht="21" customHeight="1" spans="1:32">
      <c r="A42" s="103">
        <v>39</v>
      </c>
      <c r="B42" s="104" t="s">
        <v>256</v>
      </c>
      <c r="C42" s="105"/>
      <c r="D42" s="76" t="s">
        <v>34</v>
      </c>
      <c r="E42" s="78" t="s">
        <v>257</v>
      </c>
      <c r="F42" s="76" t="s">
        <v>258</v>
      </c>
      <c r="G42" s="79">
        <v>1</v>
      </c>
      <c r="H42" s="80" t="s">
        <v>94</v>
      </c>
      <c r="I42" s="80" t="s">
        <v>38</v>
      </c>
      <c r="J42" s="80" t="s">
        <v>39</v>
      </c>
      <c r="K42" s="80" t="s">
        <v>249</v>
      </c>
      <c r="L42" s="107" t="s">
        <v>250</v>
      </c>
      <c r="M42" s="94" t="s">
        <v>42</v>
      </c>
      <c r="N42" s="114" t="s">
        <v>251</v>
      </c>
      <c r="O42" s="47" t="s">
        <v>44</v>
      </c>
      <c r="P42" s="84">
        <v>45381</v>
      </c>
      <c r="Q42" s="85" t="s">
        <v>128</v>
      </c>
      <c r="R42" s="85" t="s">
        <v>46</v>
      </c>
      <c r="S42" s="127" t="s">
        <v>87</v>
      </c>
      <c r="T42" s="87">
        <v>45361</v>
      </c>
      <c r="U42" s="87">
        <v>45378</v>
      </c>
      <c r="V42" s="87">
        <v>45388</v>
      </c>
      <c r="W42" s="87">
        <f t="shared" si="1"/>
        <v>45395</v>
      </c>
      <c r="X42" s="60"/>
      <c r="Y42" s="70" t="s">
        <v>125</v>
      </c>
      <c r="Z42" s="71" t="s">
        <v>259</v>
      </c>
      <c r="AA42" s="71">
        <v>2</v>
      </c>
      <c r="AB42" s="54" t="s">
        <v>253</v>
      </c>
      <c r="AC42" s="73">
        <v>1</v>
      </c>
      <c r="AD42" s="73">
        <v>0</v>
      </c>
      <c r="AE42" s="101" t="s">
        <v>254</v>
      </c>
      <c r="AF42" s="90" t="s">
        <v>255</v>
      </c>
    </row>
    <row r="43" s="21" customFormat="1" ht="21" customHeight="1" spans="1:32">
      <c r="A43" s="103">
        <v>40</v>
      </c>
      <c r="B43" s="104" t="s">
        <v>260</v>
      </c>
      <c r="C43" s="105"/>
      <c r="D43" s="76" t="s">
        <v>34</v>
      </c>
      <c r="E43" s="76" t="s">
        <v>261</v>
      </c>
      <c r="F43" s="76" t="s">
        <v>262</v>
      </c>
      <c r="G43" s="79">
        <v>1</v>
      </c>
      <c r="H43" s="80" t="s">
        <v>94</v>
      </c>
      <c r="I43" s="80" t="s">
        <v>38</v>
      </c>
      <c r="J43" s="80" t="s">
        <v>39</v>
      </c>
      <c r="K43" s="80" t="s">
        <v>249</v>
      </c>
      <c r="L43" s="107" t="s">
        <v>250</v>
      </c>
      <c r="M43" s="94" t="s">
        <v>42</v>
      </c>
      <c r="N43" s="114" t="s">
        <v>251</v>
      </c>
      <c r="O43" s="47" t="s">
        <v>44</v>
      </c>
      <c r="P43" s="84">
        <v>45381</v>
      </c>
      <c r="Q43" s="85" t="s">
        <v>128</v>
      </c>
      <c r="R43" s="85" t="s">
        <v>46</v>
      </c>
      <c r="S43" s="127" t="s">
        <v>87</v>
      </c>
      <c r="T43" s="87">
        <v>45361</v>
      </c>
      <c r="U43" s="87">
        <v>45378</v>
      </c>
      <c r="V43" s="87">
        <v>45388</v>
      </c>
      <c r="W43" s="87">
        <f t="shared" si="1"/>
        <v>45395</v>
      </c>
      <c r="X43" s="60"/>
      <c r="Y43" s="70" t="s">
        <v>125</v>
      </c>
      <c r="Z43" s="71" t="s">
        <v>263</v>
      </c>
      <c r="AA43" s="71">
        <v>3</v>
      </c>
      <c r="AB43" s="54" t="s">
        <v>253</v>
      </c>
      <c r="AC43" s="73">
        <v>1</v>
      </c>
      <c r="AD43" s="73">
        <v>0</v>
      </c>
      <c r="AE43" s="101" t="s">
        <v>254</v>
      </c>
      <c r="AF43" s="90" t="s">
        <v>255</v>
      </c>
    </row>
    <row r="44" s="21" customFormat="1" ht="21" customHeight="1" spans="1:32">
      <c r="A44" s="75">
        <v>41</v>
      </c>
      <c r="B44" s="92" t="s">
        <v>264</v>
      </c>
      <c r="C44" s="147"/>
      <c r="D44" s="76" t="s">
        <v>34</v>
      </c>
      <c r="E44" s="78" t="s">
        <v>265</v>
      </c>
      <c r="F44" s="76" t="s">
        <v>266</v>
      </c>
      <c r="G44" s="79">
        <v>1</v>
      </c>
      <c r="H44" s="80" t="s">
        <v>94</v>
      </c>
      <c r="I44" s="80" t="s">
        <v>38</v>
      </c>
      <c r="J44" s="80" t="s">
        <v>39</v>
      </c>
      <c r="K44" s="80" t="s">
        <v>249</v>
      </c>
      <c r="L44" s="107" t="s">
        <v>250</v>
      </c>
      <c r="M44" s="107" t="s">
        <v>42</v>
      </c>
      <c r="N44" s="114" t="s">
        <v>251</v>
      </c>
      <c r="O44" s="47" t="s">
        <v>44</v>
      </c>
      <c r="P44" s="84">
        <v>45381</v>
      </c>
      <c r="Q44" s="131" t="s">
        <v>128</v>
      </c>
      <c r="R44" s="85" t="s">
        <v>46</v>
      </c>
      <c r="S44" s="99" t="s">
        <v>47</v>
      </c>
      <c r="T44" s="87">
        <v>45361</v>
      </c>
      <c r="U44" s="87">
        <v>45378</v>
      </c>
      <c r="V44" s="87">
        <v>45388</v>
      </c>
      <c r="W44" s="87">
        <f t="shared" si="1"/>
        <v>45395</v>
      </c>
      <c r="X44" s="60"/>
      <c r="Y44" s="70" t="s">
        <v>125</v>
      </c>
      <c r="Z44" s="71" t="s">
        <v>267</v>
      </c>
      <c r="AA44" s="71">
        <v>4</v>
      </c>
      <c r="AB44" s="54" t="s">
        <v>253</v>
      </c>
      <c r="AC44" s="73">
        <v>1</v>
      </c>
      <c r="AD44" s="73">
        <v>0</v>
      </c>
      <c r="AE44" s="101" t="s">
        <v>254</v>
      </c>
      <c r="AF44" s="90" t="s">
        <v>255</v>
      </c>
    </row>
    <row r="45" s="21" customFormat="1" ht="21" customHeight="1" spans="1:32">
      <c r="A45" s="75">
        <v>42</v>
      </c>
      <c r="B45" s="92" t="s">
        <v>268</v>
      </c>
      <c r="C45" s="147"/>
      <c r="D45" s="76" t="s">
        <v>34</v>
      </c>
      <c r="E45" s="78" t="s">
        <v>269</v>
      </c>
      <c r="F45" s="76" t="s">
        <v>270</v>
      </c>
      <c r="G45" s="79">
        <v>1</v>
      </c>
      <c r="H45" s="80" t="s">
        <v>94</v>
      </c>
      <c r="I45" s="80" t="s">
        <v>38</v>
      </c>
      <c r="J45" s="80" t="s">
        <v>39</v>
      </c>
      <c r="K45" s="80" t="s">
        <v>249</v>
      </c>
      <c r="L45" s="107" t="s">
        <v>250</v>
      </c>
      <c r="M45" s="107" t="s">
        <v>42</v>
      </c>
      <c r="N45" s="64" t="s">
        <v>251</v>
      </c>
      <c r="O45" s="47" t="s">
        <v>44</v>
      </c>
      <c r="P45" s="84">
        <v>45366</v>
      </c>
      <c r="Q45" s="131" t="s">
        <v>128</v>
      </c>
      <c r="R45" s="85" t="s">
        <v>46</v>
      </c>
      <c r="S45" s="99" t="s">
        <v>47</v>
      </c>
      <c r="T45" s="87">
        <v>45361</v>
      </c>
      <c r="U45" s="87">
        <v>45378</v>
      </c>
      <c r="V45" s="87">
        <v>45388</v>
      </c>
      <c r="W45" s="87">
        <f t="shared" si="1"/>
        <v>45395</v>
      </c>
      <c r="X45" s="60"/>
      <c r="Y45" s="70" t="s">
        <v>125</v>
      </c>
      <c r="Z45" s="71" t="s">
        <v>271</v>
      </c>
      <c r="AA45" s="71">
        <v>9</v>
      </c>
      <c r="AB45" s="54" t="s">
        <v>253</v>
      </c>
      <c r="AC45" s="73">
        <v>1</v>
      </c>
      <c r="AD45" s="73">
        <v>0</v>
      </c>
      <c r="AE45" s="101" t="s">
        <v>254</v>
      </c>
      <c r="AF45" s="90" t="s">
        <v>272</v>
      </c>
    </row>
    <row r="46" s="21" customFormat="1" ht="21" customHeight="1" spans="1:32">
      <c r="A46" s="75">
        <v>43</v>
      </c>
      <c r="B46" s="92" t="s">
        <v>273</v>
      </c>
      <c r="C46" s="147"/>
      <c r="D46" s="76" t="s">
        <v>34</v>
      </c>
      <c r="E46" s="78" t="s">
        <v>274</v>
      </c>
      <c r="F46" s="76" t="s">
        <v>275</v>
      </c>
      <c r="G46" s="79">
        <v>1</v>
      </c>
      <c r="H46" s="80" t="s">
        <v>94</v>
      </c>
      <c r="I46" s="80" t="s">
        <v>38</v>
      </c>
      <c r="J46" s="80" t="s">
        <v>39</v>
      </c>
      <c r="K46" s="80" t="s">
        <v>249</v>
      </c>
      <c r="L46" s="107" t="s">
        <v>250</v>
      </c>
      <c r="M46" s="107" t="s">
        <v>42</v>
      </c>
      <c r="N46" s="64" t="s">
        <v>251</v>
      </c>
      <c r="O46" s="47" t="s">
        <v>44</v>
      </c>
      <c r="P46" s="84">
        <v>45366</v>
      </c>
      <c r="Q46" s="131" t="s">
        <v>128</v>
      </c>
      <c r="R46" s="85" t="s">
        <v>46</v>
      </c>
      <c r="S46" s="99" t="s">
        <v>47</v>
      </c>
      <c r="T46" s="87">
        <v>45361</v>
      </c>
      <c r="U46" s="87">
        <v>45378</v>
      </c>
      <c r="V46" s="87">
        <v>45388</v>
      </c>
      <c r="W46" s="87">
        <f t="shared" si="1"/>
        <v>45395</v>
      </c>
      <c r="X46" s="60"/>
      <c r="Y46" s="70" t="s">
        <v>125</v>
      </c>
      <c r="Z46" s="71" t="s">
        <v>276</v>
      </c>
      <c r="AA46" s="71">
        <v>10</v>
      </c>
      <c r="AB46" s="54" t="s">
        <v>253</v>
      </c>
      <c r="AC46" s="73">
        <v>1</v>
      </c>
      <c r="AD46" s="73">
        <v>0</v>
      </c>
      <c r="AE46" s="101" t="s">
        <v>254</v>
      </c>
      <c r="AF46" s="90" t="s">
        <v>272</v>
      </c>
    </row>
    <row r="47" s="21" customFormat="1" ht="21" customHeight="1" spans="1:32">
      <c r="A47" s="75">
        <v>44</v>
      </c>
      <c r="B47" s="92" t="s">
        <v>277</v>
      </c>
      <c r="C47" s="147"/>
      <c r="D47" s="76" t="s">
        <v>34</v>
      </c>
      <c r="E47" s="78" t="s">
        <v>278</v>
      </c>
      <c r="F47" s="106" t="s">
        <v>279</v>
      </c>
      <c r="G47" s="79">
        <v>1</v>
      </c>
      <c r="H47" s="80" t="s">
        <v>94</v>
      </c>
      <c r="I47" s="80" t="s">
        <v>38</v>
      </c>
      <c r="J47" s="80" t="s">
        <v>39</v>
      </c>
      <c r="K47" s="80" t="s">
        <v>249</v>
      </c>
      <c r="L47" s="107" t="s">
        <v>250</v>
      </c>
      <c r="M47" s="107" t="s">
        <v>42</v>
      </c>
      <c r="N47" s="64" t="s">
        <v>251</v>
      </c>
      <c r="O47" s="47" t="s">
        <v>44</v>
      </c>
      <c r="P47" s="84">
        <v>45366</v>
      </c>
      <c r="Q47" s="131" t="s">
        <v>128</v>
      </c>
      <c r="R47" s="99" t="s">
        <v>46</v>
      </c>
      <c r="S47" s="127" t="s">
        <v>147</v>
      </c>
      <c r="T47" s="87">
        <v>45394</v>
      </c>
      <c r="U47" s="87">
        <f>T47+7</f>
        <v>45401</v>
      </c>
      <c r="V47" s="87">
        <v>45412</v>
      </c>
      <c r="W47" s="87">
        <f t="shared" si="1"/>
        <v>45419</v>
      </c>
      <c r="X47" s="60"/>
      <c r="Y47" s="315" t="s">
        <v>79</v>
      </c>
      <c r="Z47" s="71" t="s">
        <v>279</v>
      </c>
      <c r="AA47" s="71">
        <v>11</v>
      </c>
      <c r="AB47" s="89" t="s">
        <v>49</v>
      </c>
      <c r="AC47" s="73">
        <f t="shared" ref="AC47:AC63" si="20">G47</f>
        <v>1</v>
      </c>
      <c r="AD47" s="73">
        <f t="shared" ref="AD47:AD63" si="21">G47-AC47</f>
        <v>0</v>
      </c>
      <c r="AE47" s="101" t="s">
        <v>138</v>
      </c>
      <c r="AF47" s="90" t="s">
        <v>280</v>
      </c>
    </row>
    <row r="48" s="21" customFormat="1" ht="21" customHeight="1" spans="1:32">
      <c r="A48" s="75">
        <v>45</v>
      </c>
      <c r="B48" s="92" t="s">
        <v>281</v>
      </c>
      <c r="C48" s="147"/>
      <c r="D48" s="76" t="s">
        <v>34</v>
      </c>
      <c r="E48" s="78" t="s">
        <v>282</v>
      </c>
      <c r="F48" s="76" t="s">
        <v>283</v>
      </c>
      <c r="G48" s="79">
        <v>1</v>
      </c>
      <c r="H48" s="80" t="s">
        <v>94</v>
      </c>
      <c r="I48" s="80" t="s">
        <v>38</v>
      </c>
      <c r="J48" s="80" t="s">
        <v>39</v>
      </c>
      <c r="K48" s="80" t="s">
        <v>249</v>
      </c>
      <c r="L48" s="107" t="s">
        <v>250</v>
      </c>
      <c r="M48" s="107" t="s">
        <v>42</v>
      </c>
      <c r="N48" s="64" t="s">
        <v>251</v>
      </c>
      <c r="O48" s="47" t="s">
        <v>44</v>
      </c>
      <c r="P48" s="84">
        <v>45366</v>
      </c>
      <c r="Q48" s="131" t="s">
        <v>128</v>
      </c>
      <c r="R48" s="99" t="s">
        <v>46</v>
      </c>
      <c r="S48" s="127" t="s">
        <v>147</v>
      </c>
      <c r="T48" s="87">
        <v>45394</v>
      </c>
      <c r="U48" s="87">
        <f>T48+7</f>
        <v>45401</v>
      </c>
      <c r="V48" s="87">
        <v>45412</v>
      </c>
      <c r="W48" s="87">
        <f t="shared" si="1"/>
        <v>45419</v>
      </c>
      <c r="X48" s="60"/>
      <c r="Y48" s="315" t="s">
        <v>79</v>
      </c>
      <c r="Z48" s="71" t="s">
        <v>283</v>
      </c>
      <c r="AA48" s="71">
        <v>12</v>
      </c>
      <c r="AB48" s="89" t="s">
        <v>49</v>
      </c>
      <c r="AC48" s="73">
        <f t="shared" si="20"/>
        <v>1</v>
      </c>
      <c r="AD48" s="73">
        <f t="shared" si="21"/>
        <v>0</v>
      </c>
      <c r="AE48" s="101" t="s">
        <v>138</v>
      </c>
      <c r="AF48" s="90" t="s">
        <v>280</v>
      </c>
    </row>
    <row r="49" s="21" customFormat="1" ht="21" customHeight="1" spans="1:32">
      <c r="A49" s="75">
        <v>46</v>
      </c>
      <c r="B49" s="92" t="s">
        <v>284</v>
      </c>
      <c r="C49" s="147"/>
      <c r="D49" s="76" t="s">
        <v>34</v>
      </c>
      <c r="E49" s="78" t="s">
        <v>285</v>
      </c>
      <c r="F49" s="76" t="s">
        <v>286</v>
      </c>
      <c r="G49" s="79">
        <v>1</v>
      </c>
      <c r="H49" s="80" t="s">
        <v>94</v>
      </c>
      <c r="I49" s="80" t="s">
        <v>38</v>
      </c>
      <c r="J49" s="80" t="s">
        <v>39</v>
      </c>
      <c r="K49" s="80" t="s">
        <v>249</v>
      </c>
      <c r="L49" s="107" t="s">
        <v>250</v>
      </c>
      <c r="M49" s="107" t="s">
        <v>42</v>
      </c>
      <c r="N49" s="64" t="s">
        <v>251</v>
      </c>
      <c r="O49" s="47" t="s">
        <v>44</v>
      </c>
      <c r="P49" s="84">
        <v>45366</v>
      </c>
      <c r="Q49" s="131" t="s">
        <v>128</v>
      </c>
      <c r="R49" s="85" t="s">
        <v>46</v>
      </c>
      <c r="S49" s="99" t="s">
        <v>47</v>
      </c>
      <c r="T49" s="87">
        <v>45361</v>
      </c>
      <c r="U49" s="87">
        <v>45378</v>
      </c>
      <c r="V49" s="87">
        <v>45388</v>
      </c>
      <c r="W49" s="87">
        <f t="shared" si="1"/>
        <v>45395</v>
      </c>
      <c r="X49" s="60"/>
      <c r="Y49" s="70" t="s">
        <v>125</v>
      </c>
      <c r="Z49" s="148" t="s">
        <v>286</v>
      </c>
      <c r="AA49" s="148">
        <v>13</v>
      </c>
      <c r="AB49" s="54" t="s">
        <v>253</v>
      </c>
      <c r="AC49" s="73">
        <v>1</v>
      </c>
      <c r="AD49" s="73">
        <v>0</v>
      </c>
      <c r="AE49" s="101" t="s">
        <v>254</v>
      </c>
      <c r="AF49" s="90" t="s">
        <v>272</v>
      </c>
    </row>
    <row r="50" s="21" customFormat="1" ht="21" customHeight="1" spans="1:32">
      <c r="A50" s="75">
        <v>47</v>
      </c>
      <c r="B50" s="92" t="s">
        <v>287</v>
      </c>
      <c r="C50" s="147"/>
      <c r="D50" s="76" t="s">
        <v>34</v>
      </c>
      <c r="E50" s="78" t="s">
        <v>288</v>
      </c>
      <c r="F50" s="76" t="s">
        <v>289</v>
      </c>
      <c r="G50" s="79">
        <v>2</v>
      </c>
      <c r="H50" s="80" t="s">
        <v>94</v>
      </c>
      <c r="I50" s="80" t="s">
        <v>38</v>
      </c>
      <c r="J50" s="80" t="s">
        <v>39</v>
      </c>
      <c r="K50" s="80" t="s">
        <v>249</v>
      </c>
      <c r="L50" s="107" t="s">
        <v>250</v>
      </c>
      <c r="M50" s="107" t="s">
        <v>42</v>
      </c>
      <c r="N50" s="64" t="s">
        <v>251</v>
      </c>
      <c r="O50" s="47" t="s">
        <v>44</v>
      </c>
      <c r="P50" s="84">
        <v>45366</v>
      </c>
      <c r="Q50" s="131" t="s">
        <v>128</v>
      </c>
      <c r="R50" s="99" t="s">
        <v>46</v>
      </c>
      <c r="S50" s="127" t="s">
        <v>147</v>
      </c>
      <c r="T50" s="87">
        <v>45394</v>
      </c>
      <c r="U50" s="87">
        <f t="shared" ref="U50:U63" si="22">T50+7</f>
        <v>45401</v>
      </c>
      <c r="V50" s="87">
        <v>45412</v>
      </c>
      <c r="W50" s="87">
        <f t="shared" si="1"/>
        <v>45419</v>
      </c>
      <c r="X50" s="60"/>
      <c r="Y50" s="315" t="s">
        <v>79</v>
      </c>
      <c r="Z50" s="71" t="s">
        <v>290</v>
      </c>
      <c r="AA50" s="71">
        <v>16</v>
      </c>
      <c r="AB50" s="89" t="s">
        <v>49</v>
      </c>
      <c r="AC50" s="73">
        <f t="shared" si="20"/>
        <v>2</v>
      </c>
      <c r="AD50" s="73">
        <f t="shared" si="21"/>
        <v>0</v>
      </c>
      <c r="AE50" s="101" t="s">
        <v>138</v>
      </c>
      <c r="AF50" s="90" t="s">
        <v>280</v>
      </c>
    </row>
    <row r="51" s="21" customFormat="1" ht="21" customHeight="1" spans="1:32">
      <c r="A51" s="75">
        <v>48</v>
      </c>
      <c r="B51" s="92" t="s">
        <v>291</v>
      </c>
      <c r="C51" s="147"/>
      <c r="D51" s="76" t="s">
        <v>34</v>
      </c>
      <c r="E51" s="149" t="s">
        <v>292</v>
      </c>
      <c r="F51" s="76" t="s">
        <v>293</v>
      </c>
      <c r="G51" s="79">
        <v>1</v>
      </c>
      <c r="H51" s="80" t="s">
        <v>94</v>
      </c>
      <c r="I51" s="80" t="s">
        <v>38</v>
      </c>
      <c r="J51" s="80" t="s">
        <v>39</v>
      </c>
      <c r="K51" s="80" t="s">
        <v>249</v>
      </c>
      <c r="L51" s="107" t="s">
        <v>250</v>
      </c>
      <c r="M51" s="107" t="s">
        <v>42</v>
      </c>
      <c r="N51" s="64" t="s">
        <v>251</v>
      </c>
      <c r="O51" s="47" t="s">
        <v>44</v>
      </c>
      <c r="P51" s="84">
        <v>45366</v>
      </c>
      <c r="Q51" s="131" t="s">
        <v>128</v>
      </c>
      <c r="R51" s="99" t="s">
        <v>46</v>
      </c>
      <c r="S51" s="127" t="s">
        <v>147</v>
      </c>
      <c r="T51" s="87">
        <v>45394</v>
      </c>
      <c r="U51" s="87">
        <f t="shared" si="22"/>
        <v>45401</v>
      </c>
      <c r="V51" s="87">
        <v>45412</v>
      </c>
      <c r="W51" s="87">
        <f t="shared" si="1"/>
        <v>45419</v>
      </c>
      <c r="X51" s="60"/>
      <c r="Y51" s="315" t="s">
        <v>79</v>
      </c>
      <c r="Z51" s="71" t="s">
        <v>293</v>
      </c>
      <c r="AA51" s="71">
        <v>17</v>
      </c>
      <c r="AB51" s="89" t="s">
        <v>49</v>
      </c>
      <c r="AC51" s="73">
        <f t="shared" si="20"/>
        <v>1</v>
      </c>
      <c r="AD51" s="73">
        <f t="shared" si="21"/>
        <v>0</v>
      </c>
      <c r="AE51" s="101" t="s">
        <v>138</v>
      </c>
      <c r="AF51" s="90" t="s">
        <v>280</v>
      </c>
    </row>
    <row r="52" s="21" customFormat="1" ht="21" customHeight="1" spans="1:32">
      <c r="A52" s="75">
        <v>49</v>
      </c>
      <c r="B52" s="92" t="s">
        <v>294</v>
      </c>
      <c r="C52" s="147"/>
      <c r="D52" s="76" t="s">
        <v>34</v>
      </c>
      <c r="E52" s="149" t="s">
        <v>292</v>
      </c>
      <c r="F52" s="76" t="s">
        <v>293</v>
      </c>
      <c r="G52" s="79">
        <v>1</v>
      </c>
      <c r="H52" s="80" t="s">
        <v>94</v>
      </c>
      <c r="I52" s="80" t="s">
        <v>38</v>
      </c>
      <c r="J52" s="80" t="s">
        <v>39</v>
      </c>
      <c r="K52" s="80" t="s">
        <v>249</v>
      </c>
      <c r="L52" s="107" t="s">
        <v>250</v>
      </c>
      <c r="M52" s="107" t="s">
        <v>42</v>
      </c>
      <c r="N52" s="64" t="s">
        <v>251</v>
      </c>
      <c r="O52" s="47" t="s">
        <v>44</v>
      </c>
      <c r="P52" s="84">
        <v>45366</v>
      </c>
      <c r="Q52" s="131" t="s">
        <v>128</v>
      </c>
      <c r="R52" s="99" t="s">
        <v>46</v>
      </c>
      <c r="S52" s="127" t="s">
        <v>147</v>
      </c>
      <c r="T52" s="87">
        <v>45394</v>
      </c>
      <c r="U52" s="87">
        <f t="shared" si="22"/>
        <v>45401</v>
      </c>
      <c r="V52" s="87">
        <v>45412</v>
      </c>
      <c r="W52" s="87">
        <f t="shared" si="1"/>
        <v>45419</v>
      </c>
      <c r="X52" s="60"/>
      <c r="Y52" s="315" t="s">
        <v>79</v>
      </c>
      <c r="Z52" s="71" t="s">
        <v>293</v>
      </c>
      <c r="AA52" s="71">
        <v>17</v>
      </c>
      <c r="AB52" s="89" t="s">
        <v>49</v>
      </c>
      <c r="AC52" s="73">
        <f t="shared" si="20"/>
        <v>1</v>
      </c>
      <c r="AD52" s="73">
        <f t="shared" si="21"/>
        <v>0</v>
      </c>
      <c r="AE52" s="101" t="s">
        <v>138</v>
      </c>
      <c r="AF52" s="90" t="s">
        <v>280</v>
      </c>
    </row>
    <row r="53" s="21" customFormat="1" ht="21" customHeight="1" spans="1:32">
      <c r="A53" s="75">
        <v>50</v>
      </c>
      <c r="B53" s="92" t="s">
        <v>295</v>
      </c>
      <c r="C53" s="147"/>
      <c r="D53" s="76" t="s">
        <v>34</v>
      </c>
      <c r="E53" s="149" t="s">
        <v>292</v>
      </c>
      <c r="F53" s="76" t="s">
        <v>293</v>
      </c>
      <c r="G53" s="79">
        <v>1</v>
      </c>
      <c r="H53" s="80" t="s">
        <v>94</v>
      </c>
      <c r="I53" s="80" t="s">
        <v>38</v>
      </c>
      <c r="J53" s="80" t="s">
        <v>39</v>
      </c>
      <c r="K53" s="80" t="s">
        <v>249</v>
      </c>
      <c r="L53" s="107" t="s">
        <v>250</v>
      </c>
      <c r="M53" s="107" t="s">
        <v>42</v>
      </c>
      <c r="N53" s="64" t="s">
        <v>251</v>
      </c>
      <c r="O53" s="47" t="s">
        <v>44</v>
      </c>
      <c r="P53" s="84">
        <v>45366</v>
      </c>
      <c r="Q53" s="131" t="s">
        <v>128</v>
      </c>
      <c r="R53" s="99" t="s">
        <v>46</v>
      </c>
      <c r="S53" s="127" t="s">
        <v>147</v>
      </c>
      <c r="T53" s="87">
        <v>45394</v>
      </c>
      <c r="U53" s="87">
        <f t="shared" si="22"/>
        <v>45401</v>
      </c>
      <c r="V53" s="87">
        <v>45412</v>
      </c>
      <c r="W53" s="87">
        <f t="shared" si="1"/>
        <v>45419</v>
      </c>
      <c r="X53" s="60"/>
      <c r="Y53" s="315" t="s">
        <v>79</v>
      </c>
      <c r="Z53" s="71" t="s">
        <v>293</v>
      </c>
      <c r="AA53" s="71">
        <v>17</v>
      </c>
      <c r="AB53" s="89" t="s">
        <v>49</v>
      </c>
      <c r="AC53" s="73">
        <f t="shared" si="20"/>
        <v>1</v>
      </c>
      <c r="AD53" s="73">
        <f t="shared" si="21"/>
        <v>0</v>
      </c>
      <c r="AE53" s="101" t="s">
        <v>138</v>
      </c>
      <c r="AF53" s="90" t="s">
        <v>280</v>
      </c>
    </row>
    <row r="54" s="21" customFormat="1" ht="21" customHeight="1" spans="1:32">
      <c r="A54" s="75">
        <v>51</v>
      </c>
      <c r="B54" s="92" t="s">
        <v>296</v>
      </c>
      <c r="C54" s="147"/>
      <c r="D54" s="76" t="s">
        <v>34</v>
      </c>
      <c r="E54" s="149" t="s">
        <v>292</v>
      </c>
      <c r="F54" s="76" t="s">
        <v>293</v>
      </c>
      <c r="G54" s="79">
        <v>1</v>
      </c>
      <c r="H54" s="80" t="s">
        <v>94</v>
      </c>
      <c r="I54" s="80" t="s">
        <v>38</v>
      </c>
      <c r="J54" s="80" t="s">
        <v>39</v>
      </c>
      <c r="K54" s="80" t="s">
        <v>249</v>
      </c>
      <c r="L54" s="107" t="s">
        <v>250</v>
      </c>
      <c r="M54" s="107" t="s">
        <v>42</v>
      </c>
      <c r="N54" s="64" t="s">
        <v>251</v>
      </c>
      <c r="O54" s="47" t="s">
        <v>44</v>
      </c>
      <c r="P54" s="84">
        <v>45366</v>
      </c>
      <c r="Q54" s="131" t="s">
        <v>128</v>
      </c>
      <c r="R54" s="99" t="s">
        <v>46</v>
      </c>
      <c r="S54" s="127" t="s">
        <v>147</v>
      </c>
      <c r="T54" s="87">
        <v>45394</v>
      </c>
      <c r="U54" s="87">
        <f t="shared" si="22"/>
        <v>45401</v>
      </c>
      <c r="V54" s="87">
        <v>45412</v>
      </c>
      <c r="W54" s="87">
        <f t="shared" si="1"/>
        <v>45419</v>
      </c>
      <c r="X54" s="60"/>
      <c r="Y54" s="315" t="s">
        <v>79</v>
      </c>
      <c r="Z54" s="71" t="s">
        <v>293</v>
      </c>
      <c r="AA54" s="71">
        <v>17</v>
      </c>
      <c r="AB54" s="89" t="s">
        <v>49</v>
      </c>
      <c r="AC54" s="73">
        <f t="shared" si="20"/>
        <v>1</v>
      </c>
      <c r="AD54" s="73">
        <f t="shared" si="21"/>
        <v>0</v>
      </c>
      <c r="AE54" s="101" t="s">
        <v>138</v>
      </c>
      <c r="AF54" s="90" t="s">
        <v>280</v>
      </c>
    </row>
    <row r="55" s="21" customFormat="1" ht="21" customHeight="1" spans="1:32">
      <c r="A55" s="75">
        <v>52</v>
      </c>
      <c r="B55" s="92" t="s">
        <v>297</v>
      </c>
      <c r="C55" s="147"/>
      <c r="D55" s="76" t="s">
        <v>34</v>
      </c>
      <c r="E55" s="149" t="s">
        <v>292</v>
      </c>
      <c r="F55" s="76" t="s">
        <v>293</v>
      </c>
      <c r="G55" s="79">
        <v>1</v>
      </c>
      <c r="H55" s="80" t="s">
        <v>94</v>
      </c>
      <c r="I55" s="80" t="s">
        <v>38</v>
      </c>
      <c r="J55" s="80" t="s">
        <v>39</v>
      </c>
      <c r="K55" s="80" t="s">
        <v>249</v>
      </c>
      <c r="L55" s="107" t="s">
        <v>250</v>
      </c>
      <c r="M55" s="107" t="s">
        <v>42</v>
      </c>
      <c r="N55" s="64" t="s">
        <v>251</v>
      </c>
      <c r="O55" s="47" t="s">
        <v>44</v>
      </c>
      <c r="P55" s="84">
        <v>45412</v>
      </c>
      <c r="Q55" s="131" t="s">
        <v>128</v>
      </c>
      <c r="R55" s="99" t="s">
        <v>46</v>
      </c>
      <c r="S55" s="127" t="s">
        <v>147</v>
      </c>
      <c r="T55" s="87">
        <v>45394</v>
      </c>
      <c r="U55" s="87">
        <f t="shared" si="22"/>
        <v>45401</v>
      </c>
      <c r="V55" s="87">
        <v>45412</v>
      </c>
      <c r="W55" s="87">
        <f t="shared" si="1"/>
        <v>45419</v>
      </c>
      <c r="X55" s="60"/>
      <c r="Y55" s="315" t="s">
        <v>79</v>
      </c>
      <c r="Z55" s="71" t="s">
        <v>293</v>
      </c>
      <c r="AA55" s="71">
        <v>17</v>
      </c>
      <c r="AB55" s="89" t="s">
        <v>49</v>
      </c>
      <c r="AC55" s="73">
        <f t="shared" si="20"/>
        <v>1</v>
      </c>
      <c r="AD55" s="73">
        <f t="shared" si="21"/>
        <v>0</v>
      </c>
      <c r="AE55" s="101" t="s">
        <v>138</v>
      </c>
      <c r="AF55" s="90" t="s">
        <v>280</v>
      </c>
    </row>
    <row r="56" s="21" customFormat="1" ht="21" customHeight="1" spans="1:32">
      <c r="A56" s="75">
        <v>53</v>
      </c>
      <c r="B56" s="92" t="s">
        <v>298</v>
      </c>
      <c r="C56" s="147"/>
      <c r="D56" s="76" t="s">
        <v>34</v>
      </c>
      <c r="E56" s="149" t="s">
        <v>292</v>
      </c>
      <c r="F56" s="76" t="s">
        <v>293</v>
      </c>
      <c r="G56" s="79">
        <v>1</v>
      </c>
      <c r="H56" s="80" t="s">
        <v>94</v>
      </c>
      <c r="I56" s="80" t="s">
        <v>38</v>
      </c>
      <c r="J56" s="80" t="s">
        <v>39</v>
      </c>
      <c r="K56" s="80" t="s">
        <v>249</v>
      </c>
      <c r="L56" s="107" t="s">
        <v>250</v>
      </c>
      <c r="M56" s="107" t="s">
        <v>42</v>
      </c>
      <c r="N56" s="64" t="s">
        <v>251</v>
      </c>
      <c r="O56" s="47" t="s">
        <v>44</v>
      </c>
      <c r="P56" s="84">
        <v>45412</v>
      </c>
      <c r="Q56" s="131" t="s">
        <v>128</v>
      </c>
      <c r="R56" s="99" t="s">
        <v>46</v>
      </c>
      <c r="S56" s="127" t="s">
        <v>147</v>
      </c>
      <c r="T56" s="87">
        <v>45394</v>
      </c>
      <c r="U56" s="87">
        <f t="shared" si="22"/>
        <v>45401</v>
      </c>
      <c r="V56" s="87">
        <v>45412</v>
      </c>
      <c r="W56" s="87">
        <f t="shared" si="1"/>
        <v>45419</v>
      </c>
      <c r="X56" s="60"/>
      <c r="Y56" s="315" t="s">
        <v>79</v>
      </c>
      <c r="Z56" s="71" t="s">
        <v>293</v>
      </c>
      <c r="AA56" s="71">
        <v>17</v>
      </c>
      <c r="AB56" s="89" t="s">
        <v>49</v>
      </c>
      <c r="AC56" s="73">
        <f t="shared" si="20"/>
        <v>1</v>
      </c>
      <c r="AD56" s="73">
        <f t="shared" si="21"/>
        <v>0</v>
      </c>
      <c r="AE56" s="101" t="s">
        <v>138</v>
      </c>
      <c r="AF56" s="90" t="s">
        <v>280</v>
      </c>
    </row>
    <row r="57" s="21" customFormat="1" ht="21" customHeight="1" spans="1:32">
      <c r="A57" s="75">
        <v>54</v>
      </c>
      <c r="B57" s="92" t="s">
        <v>299</v>
      </c>
      <c r="C57" s="147"/>
      <c r="D57" s="76" t="s">
        <v>34</v>
      </c>
      <c r="E57" s="149" t="s">
        <v>292</v>
      </c>
      <c r="F57" s="76" t="s">
        <v>293</v>
      </c>
      <c r="G57" s="79">
        <v>1</v>
      </c>
      <c r="H57" s="80" t="s">
        <v>94</v>
      </c>
      <c r="I57" s="80" t="s">
        <v>38</v>
      </c>
      <c r="J57" s="80" t="s">
        <v>39</v>
      </c>
      <c r="K57" s="80" t="s">
        <v>249</v>
      </c>
      <c r="L57" s="107" t="s">
        <v>250</v>
      </c>
      <c r="M57" s="107" t="s">
        <v>42</v>
      </c>
      <c r="N57" s="64" t="s">
        <v>251</v>
      </c>
      <c r="O57" s="47" t="s">
        <v>44</v>
      </c>
      <c r="P57" s="84">
        <v>45366</v>
      </c>
      <c r="Q57" s="131" t="s">
        <v>128</v>
      </c>
      <c r="R57" s="99" t="s">
        <v>46</v>
      </c>
      <c r="S57" s="127" t="s">
        <v>147</v>
      </c>
      <c r="T57" s="87">
        <v>45394</v>
      </c>
      <c r="U57" s="87">
        <f t="shared" si="22"/>
        <v>45401</v>
      </c>
      <c r="V57" s="87">
        <v>45412</v>
      </c>
      <c r="W57" s="87">
        <f t="shared" si="1"/>
        <v>45419</v>
      </c>
      <c r="X57" s="60"/>
      <c r="Y57" s="315" t="s">
        <v>79</v>
      </c>
      <c r="Z57" s="71" t="s">
        <v>293</v>
      </c>
      <c r="AA57" s="71">
        <v>17</v>
      </c>
      <c r="AB57" s="89" t="s">
        <v>49</v>
      </c>
      <c r="AC57" s="73">
        <f t="shared" si="20"/>
        <v>1</v>
      </c>
      <c r="AD57" s="73">
        <f t="shared" si="21"/>
        <v>0</v>
      </c>
      <c r="AE57" s="101" t="s">
        <v>138</v>
      </c>
      <c r="AF57" s="90" t="s">
        <v>280</v>
      </c>
    </row>
    <row r="58" s="21" customFormat="1" ht="21" customHeight="1" spans="1:32">
      <c r="A58" s="75">
        <v>55</v>
      </c>
      <c r="B58" s="92" t="s">
        <v>300</v>
      </c>
      <c r="C58" s="147"/>
      <c r="D58" s="76" t="s">
        <v>34</v>
      </c>
      <c r="E58" s="78" t="s">
        <v>301</v>
      </c>
      <c r="F58" s="76" t="s">
        <v>302</v>
      </c>
      <c r="G58" s="79">
        <v>1</v>
      </c>
      <c r="H58" s="80" t="s">
        <v>94</v>
      </c>
      <c r="I58" s="80" t="s">
        <v>38</v>
      </c>
      <c r="J58" s="80" t="s">
        <v>39</v>
      </c>
      <c r="K58" s="80" t="s">
        <v>249</v>
      </c>
      <c r="L58" s="107" t="s">
        <v>250</v>
      </c>
      <c r="M58" s="107" t="s">
        <v>42</v>
      </c>
      <c r="N58" s="64" t="s">
        <v>251</v>
      </c>
      <c r="O58" s="47" t="s">
        <v>44</v>
      </c>
      <c r="P58" s="84">
        <v>45366</v>
      </c>
      <c r="Q58" s="131" t="s">
        <v>128</v>
      </c>
      <c r="R58" s="99" t="s">
        <v>46</v>
      </c>
      <c r="S58" s="127" t="s">
        <v>147</v>
      </c>
      <c r="T58" s="87">
        <v>45394</v>
      </c>
      <c r="U58" s="87">
        <f t="shared" si="22"/>
        <v>45401</v>
      </c>
      <c r="V58" s="87">
        <v>45412</v>
      </c>
      <c r="W58" s="87">
        <f t="shared" si="1"/>
        <v>45419</v>
      </c>
      <c r="X58" s="60"/>
      <c r="Y58" s="315" t="s">
        <v>79</v>
      </c>
      <c r="Z58" s="71" t="s">
        <v>302</v>
      </c>
      <c r="AA58" s="71">
        <v>18</v>
      </c>
      <c r="AB58" s="89" t="s">
        <v>49</v>
      </c>
      <c r="AC58" s="73">
        <f t="shared" si="20"/>
        <v>1</v>
      </c>
      <c r="AD58" s="73">
        <f t="shared" si="21"/>
        <v>0</v>
      </c>
      <c r="AE58" s="101" t="s">
        <v>138</v>
      </c>
      <c r="AF58" s="90" t="s">
        <v>280</v>
      </c>
    </row>
    <row r="59" s="21" customFormat="1" ht="21" customHeight="1" spans="1:32">
      <c r="A59" s="75">
        <v>56</v>
      </c>
      <c r="B59" s="92" t="s">
        <v>303</v>
      </c>
      <c r="C59" s="147"/>
      <c r="D59" s="76" t="s">
        <v>34</v>
      </c>
      <c r="E59" s="78" t="s">
        <v>304</v>
      </c>
      <c r="F59" s="106" t="s">
        <v>133</v>
      </c>
      <c r="G59" s="79">
        <v>1</v>
      </c>
      <c r="H59" s="80" t="s">
        <v>94</v>
      </c>
      <c r="I59" s="80" t="s">
        <v>38</v>
      </c>
      <c r="J59" s="80" t="s">
        <v>39</v>
      </c>
      <c r="K59" s="80" t="s">
        <v>249</v>
      </c>
      <c r="L59" s="107" t="s">
        <v>250</v>
      </c>
      <c r="M59" s="107" t="s">
        <v>42</v>
      </c>
      <c r="N59" s="64" t="s">
        <v>251</v>
      </c>
      <c r="O59" s="47" t="s">
        <v>44</v>
      </c>
      <c r="P59" s="84">
        <v>45366</v>
      </c>
      <c r="Q59" s="131" t="s">
        <v>128</v>
      </c>
      <c r="R59" s="99" t="s">
        <v>46</v>
      </c>
      <c r="S59" s="127" t="s">
        <v>147</v>
      </c>
      <c r="T59" s="87">
        <v>45394</v>
      </c>
      <c r="U59" s="87">
        <f t="shared" si="22"/>
        <v>45401</v>
      </c>
      <c r="V59" s="87">
        <v>45412</v>
      </c>
      <c r="W59" s="87">
        <f t="shared" si="1"/>
        <v>45419</v>
      </c>
      <c r="X59" s="60"/>
      <c r="Y59" s="315" t="s">
        <v>79</v>
      </c>
      <c r="Z59" s="71" t="s">
        <v>136</v>
      </c>
      <c r="AA59" s="71">
        <v>19</v>
      </c>
      <c r="AB59" s="89" t="s">
        <v>49</v>
      </c>
      <c r="AC59" s="73">
        <f t="shared" si="20"/>
        <v>1</v>
      </c>
      <c r="AD59" s="73">
        <f t="shared" si="21"/>
        <v>0</v>
      </c>
      <c r="AE59" s="101" t="s">
        <v>138</v>
      </c>
      <c r="AF59" s="90" t="s">
        <v>280</v>
      </c>
    </row>
    <row r="60" s="21" customFormat="1" ht="21" customHeight="1" spans="1:32">
      <c r="A60" s="75">
        <v>57</v>
      </c>
      <c r="B60" s="92" t="s">
        <v>305</v>
      </c>
      <c r="C60" s="147"/>
      <c r="D60" s="76" t="s">
        <v>34</v>
      </c>
      <c r="E60" s="78" t="s">
        <v>306</v>
      </c>
      <c r="F60" s="106" t="s">
        <v>142</v>
      </c>
      <c r="G60" s="79">
        <v>1</v>
      </c>
      <c r="H60" s="80" t="s">
        <v>94</v>
      </c>
      <c r="I60" s="80" t="s">
        <v>38</v>
      </c>
      <c r="J60" s="80" t="s">
        <v>39</v>
      </c>
      <c r="K60" s="80" t="s">
        <v>249</v>
      </c>
      <c r="L60" s="107" t="s">
        <v>250</v>
      </c>
      <c r="M60" s="107" t="s">
        <v>42</v>
      </c>
      <c r="N60" s="64" t="s">
        <v>251</v>
      </c>
      <c r="O60" s="47" t="s">
        <v>44</v>
      </c>
      <c r="P60" s="84">
        <v>45412</v>
      </c>
      <c r="Q60" s="131" t="s">
        <v>128</v>
      </c>
      <c r="R60" s="99" t="s">
        <v>46</v>
      </c>
      <c r="S60" s="127" t="s">
        <v>147</v>
      </c>
      <c r="T60" s="86">
        <v>45394</v>
      </c>
      <c r="U60" s="86">
        <f t="shared" si="22"/>
        <v>45401</v>
      </c>
      <c r="V60" s="87">
        <v>45412</v>
      </c>
      <c r="W60" s="87">
        <f t="shared" si="1"/>
        <v>45419</v>
      </c>
      <c r="X60" s="60"/>
      <c r="Y60" s="315" t="s">
        <v>79</v>
      </c>
      <c r="Z60" s="71" t="s">
        <v>143</v>
      </c>
      <c r="AA60" s="71">
        <v>20</v>
      </c>
      <c r="AB60" s="89" t="s">
        <v>49</v>
      </c>
      <c r="AC60" s="73">
        <f t="shared" si="20"/>
        <v>1</v>
      </c>
      <c r="AD60" s="73">
        <f t="shared" si="21"/>
        <v>0</v>
      </c>
      <c r="AE60" s="101" t="s">
        <v>138</v>
      </c>
      <c r="AF60" s="90" t="s">
        <v>280</v>
      </c>
    </row>
    <row r="61" s="21" customFormat="1" ht="21" customHeight="1" spans="1:32">
      <c r="A61" s="75">
        <v>58</v>
      </c>
      <c r="B61" s="92" t="s">
        <v>307</v>
      </c>
      <c r="C61" s="147"/>
      <c r="D61" s="76" t="s">
        <v>34</v>
      </c>
      <c r="E61" s="149" t="s">
        <v>292</v>
      </c>
      <c r="F61" s="76" t="s">
        <v>293</v>
      </c>
      <c r="G61" s="79">
        <v>1</v>
      </c>
      <c r="H61" s="80" t="s">
        <v>94</v>
      </c>
      <c r="I61" s="80" t="s">
        <v>38</v>
      </c>
      <c r="J61" s="80" t="s">
        <v>39</v>
      </c>
      <c r="K61" s="80" t="s">
        <v>249</v>
      </c>
      <c r="L61" s="107" t="s">
        <v>250</v>
      </c>
      <c r="M61" s="107" t="s">
        <v>42</v>
      </c>
      <c r="N61" s="64" t="s">
        <v>251</v>
      </c>
      <c r="O61" s="47" t="s">
        <v>44</v>
      </c>
      <c r="P61" s="84">
        <v>45412</v>
      </c>
      <c r="Q61" s="131" t="s">
        <v>128</v>
      </c>
      <c r="R61" s="99" t="s">
        <v>46</v>
      </c>
      <c r="S61" s="127" t="s">
        <v>147</v>
      </c>
      <c r="T61" s="87">
        <v>45394</v>
      </c>
      <c r="U61" s="87">
        <f t="shared" si="22"/>
        <v>45401</v>
      </c>
      <c r="V61" s="87">
        <v>45412</v>
      </c>
      <c r="W61" s="87">
        <f t="shared" si="1"/>
        <v>45419</v>
      </c>
      <c r="X61" s="60"/>
      <c r="Y61" s="315" t="s">
        <v>79</v>
      </c>
      <c r="Z61" s="71" t="s">
        <v>293</v>
      </c>
      <c r="AA61" s="71">
        <v>17</v>
      </c>
      <c r="AB61" s="89" t="s">
        <v>49</v>
      </c>
      <c r="AC61" s="73">
        <f t="shared" si="20"/>
        <v>1</v>
      </c>
      <c r="AD61" s="73">
        <f t="shared" si="21"/>
        <v>0</v>
      </c>
      <c r="AE61" s="101" t="s">
        <v>138</v>
      </c>
      <c r="AF61" s="90" t="s">
        <v>280</v>
      </c>
    </row>
    <row r="62" s="21" customFormat="1" ht="21" customHeight="1" spans="1:32">
      <c r="A62" s="75">
        <v>59</v>
      </c>
      <c r="B62" s="92" t="s">
        <v>308</v>
      </c>
      <c r="C62" s="147"/>
      <c r="D62" s="76" t="s">
        <v>34</v>
      </c>
      <c r="E62" s="149" t="s">
        <v>292</v>
      </c>
      <c r="F62" s="76" t="s">
        <v>293</v>
      </c>
      <c r="G62" s="79">
        <v>1</v>
      </c>
      <c r="H62" s="80" t="s">
        <v>94</v>
      </c>
      <c r="I62" s="80" t="s">
        <v>38</v>
      </c>
      <c r="J62" s="80" t="s">
        <v>39</v>
      </c>
      <c r="K62" s="80" t="s">
        <v>249</v>
      </c>
      <c r="L62" s="107" t="s">
        <v>250</v>
      </c>
      <c r="M62" s="107" t="s">
        <v>42</v>
      </c>
      <c r="N62" s="64" t="s">
        <v>251</v>
      </c>
      <c r="O62" s="47" t="s">
        <v>44</v>
      </c>
      <c r="P62" s="84">
        <v>45412</v>
      </c>
      <c r="Q62" s="131" t="s">
        <v>128</v>
      </c>
      <c r="R62" s="99" t="s">
        <v>46</v>
      </c>
      <c r="S62" s="127" t="s">
        <v>147</v>
      </c>
      <c r="T62" s="87">
        <v>45394</v>
      </c>
      <c r="U62" s="87">
        <f t="shared" si="22"/>
        <v>45401</v>
      </c>
      <c r="V62" s="87">
        <v>45412</v>
      </c>
      <c r="W62" s="87">
        <f t="shared" si="1"/>
        <v>45419</v>
      </c>
      <c r="X62" s="60"/>
      <c r="Y62" s="315" t="s">
        <v>79</v>
      </c>
      <c r="Z62" s="71" t="s">
        <v>293</v>
      </c>
      <c r="AA62" s="71">
        <v>17</v>
      </c>
      <c r="AB62" s="89" t="s">
        <v>49</v>
      </c>
      <c r="AC62" s="73">
        <f t="shared" si="20"/>
        <v>1</v>
      </c>
      <c r="AD62" s="73">
        <f t="shared" si="21"/>
        <v>0</v>
      </c>
      <c r="AE62" s="101" t="s">
        <v>138</v>
      </c>
      <c r="AF62" s="90" t="s">
        <v>280</v>
      </c>
    </row>
    <row r="63" s="21" customFormat="1" ht="21" customHeight="1" spans="1:32">
      <c r="A63" s="75">
        <v>60</v>
      </c>
      <c r="B63" s="92" t="s">
        <v>309</v>
      </c>
      <c r="C63" s="147"/>
      <c r="D63" s="76" t="s">
        <v>34</v>
      </c>
      <c r="E63" s="78" t="s">
        <v>310</v>
      </c>
      <c r="F63" s="106" t="s">
        <v>311</v>
      </c>
      <c r="G63" s="79">
        <v>1</v>
      </c>
      <c r="H63" s="80" t="s">
        <v>94</v>
      </c>
      <c r="I63" s="80" t="s">
        <v>38</v>
      </c>
      <c r="J63" s="80" t="s">
        <v>39</v>
      </c>
      <c r="K63" s="80" t="s">
        <v>249</v>
      </c>
      <c r="L63" s="107" t="s">
        <v>250</v>
      </c>
      <c r="M63" s="107" t="s">
        <v>42</v>
      </c>
      <c r="N63" s="64" t="s">
        <v>251</v>
      </c>
      <c r="O63" s="47" t="s">
        <v>44</v>
      </c>
      <c r="P63" s="84">
        <v>45366</v>
      </c>
      <c r="Q63" s="131" t="s">
        <v>128</v>
      </c>
      <c r="R63" s="99" t="s">
        <v>46</v>
      </c>
      <c r="S63" s="127" t="s">
        <v>147</v>
      </c>
      <c r="T63" s="87">
        <v>45394</v>
      </c>
      <c r="U63" s="87">
        <f t="shared" si="22"/>
        <v>45401</v>
      </c>
      <c r="V63" s="87">
        <v>45412</v>
      </c>
      <c r="W63" s="87">
        <f t="shared" si="1"/>
        <v>45419</v>
      </c>
      <c r="X63" s="60"/>
      <c r="Y63" s="315" t="s">
        <v>79</v>
      </c>
      <c r="Z63" s="71" t="s">
        <v>311</v>
      </c>
      <c r="AA63" s="71">
        <v>21</v>
      </c>
      <c r="AB63" s="89" t="s">
        <v>49</v>
      </c>
      <c r="AC63" s="73">
        <f t="shared" si="20"/>
        <v>1</v>
      </c>
      <c r="AD63" s="73">
        <f t="shared" si="21"/>
        <v>0</v>
      </c>
      <c r="AE63" s="101" t="s">
        <v>138</v>
      </c>
      <c r="AF63" s="90" t="s">
        <v>280</v>
      </c>
    </row>
    <row r="64" s="21" customFormat="1" ht="21" customHeight="1" spans="1:32">
      <c r="A64" s="75">
        <v>61</v>
      </c>
      <c r="B64" s="92" t="s">
        <v>312</v>
      </c>
      <c r="C64" s="147"/>
      <c r="D64" s="76" t="s">
        <v>34</v>
      </c>
      <c r="E64" s="78" t="s">
        <v>313</v>
      </c>
      <c r="F64" s="106" t="s">
        <v>314</v>
      </c>
      <c r="G64" s="79">
        <v>1</v>
      </c>
      <c r="H64" s="80" t="s">
        <v>94</v>
      </c>
      <c r="I64" s="80" t="s">
        <v>38</v>
      </c>
      <c r="J64" s="80" t="s">
        <v>39</v>
      </c>
      <c r="K64" s="80" t="s">
        <v>249</v>
      </c>
      <c r="L64" s="107" t="s">
        <v>250</v>
      </c>
      <c r="M64" s="107" t="s">
        <v>42</v>
      </c>
      <c r="N64" s="64" t="s">
        <v>251</v>
      </c>
      <c r="O64" s="47" t="s">
        <v>44</v>
      </c>
      <c r="P64" s="84">
        <v>45366</v>
      </c>
      <c r="Q64" s="131" t="s">
        <v>128</v>
      </c>
      <c r="R64" s="85" t="s">
        <v>46</v>
      </c>
      <c r="S64" s="99" t="s">
        <v>47</v>
      </c>
      <c r="T64" s="87">
        <v>45361</v>
      </c>
      <c r="U64" s="87">
        <v>45378</v>
      </c>
      <c r="V64" s="87">
        <v>45388</v>
      </c>
      <c r="W64" s="87">
        <f t="shared" si="1"/>
        <v>45395</v>
      </c>
      <c r="X64" s="60"/>
      <c r="Y64" s="70" t="s">
        <v>125</v>
      </c>
      <c r="Z64" s="71" t="s">
        <v>314</v>
      </c>
      <c r="AA64" s="71">
        <v>22</v>
      </c>
      <c r="AB64" s="54" t="s">
        <v>253</v>
      </c>
      <c r="AC64" s="73">
        <v>1</v>
      </c>
      <c r="AD64" s="73">
        <v>0</v>
      </c>
      <c r="AE64" s="101" t="s">
        <v>254</v>
      </c>
      <c r="AF64" s="90" t="s">
        <v>272</v>
      </c>
    </row>
    <row r="65" s="21" customFormat="1" ht="21" customHeight="1" spans="1:32">
      <c r="A65" s="75">
        <v>62</v>
      </c>
      <c r="B65" s="92" t="s">
        <v>315</v>
      </c>
      <c r="C65" s="147"/>
      <c r="D65" s="76" t="s">
        <v>34</v>
      </c>
      <c r="E65" s="78" t="s">
        <v>316</v>
      </c>
      <c r="F65" s="106" t="s">
        <v>317</v>
      </c>
      <c r="G65" s="79">
        <v>1</v>
      </c>
      <c r="H65" s="80" t="s">
        <v>94</v>
      </c>
      <c r="I65" s="80" t="s">
        <v>38</v>
      </c>
      <c r="J65" s="80" t="s">
        <v>39</v>
      </c>
      <c r="K65" s="80" t="s">
        <v>249</v>
      </c>
      <c r="L65" s="107" t="s">
        <v>250</v>
      </c>
      <c r="M65" s="107" t="s">
        <v>42</v>
      </c>
      <c r="N65" s="64" t="s">
        <v>251</v>
      </c>
      <c r="O65" s="47" t="s">
        <v>44</v>
      </c>
      <c r="P65" s="84">
        <v>45366</v>
      </c>
      <c r="Q65" s="131" t="s">
        <v>128</v>
      </c>
      <c r="R65" s="99" t="s">
        <v>46</v>
      </c>
      <c r="S65" s="127" t="s">
        <v>147</v>
      </c>
      <c r="T65" s="87">
        <v>45394</v>
      </c>
      <c r="U65" s="87">
        <f>T65+7</f>
        <v>45401</v>
      </c>
      <c r="V65" s="87">
        <v>45412</v>
      </c>
      <c r="W65" s="87">
        <f t="shared" si="1"/>
        <v>45419</v>
      </c>
      <c r="X65" s="60"/>
      <c r="Y65" s="315" t="s">
        <v>79</v>
      </c>
      <c r="Z65" s="71" t="s">
        <v>317</v>
      </c>
      <c r="AA65" s="71">
        <v>23</v>
      </c>
      <c r="AB65" s="89" t="s">
        <v>49</v>
      </c>
      <c r="AC65" s="73">
        <f t="shared" ref="AC65:AC70" si="23">G65</f>
        <v>1</v>
      </c>
      <c r="AD65" s="73">
        <f t="shared" ref="AD65:AD70" si="24">G65-AC65</f>
        <v>0</v>
      </c>
      <c r="AE65" s="101" t="s">
        <v>138</v>
      </c>
      <c r="AF65" s="90" t="s">
        <v>280</v>
      </c>
    </row>
    <row r="66" s="21" customFormat="1" ht="21" customHeight="1" spans="1:32">
      <c r="A66" s="75">
        <v>63</v>
      </c>
      <c r="B66" s="92" t="s">
        <v>318</v>
      </c>
      <c r="C66" s="147"/>
      <c r="D66" s="76" t="s">
        <v>34</v>
      </c>
      <c r="E66" s="149" t="s">
        <v>319</v>
      </c>
      <c r="F66" s="106" t="s">
        <v>320</v>
      </c>
      <c r="G66" s="79">
        <v>1</v>
      </c>
      <c r="H66" s="80" t="s">
        <v>94</v>
      </c>
      <c r="I66" s="80" t="s">
        <v>38</v>
      </c>
      <c r="J66" s="80" t="s">
        <v>39</v>
      </c>
      <c r="K66" s="80" t="s">
        <v>249</v>
      </c>
      <c r="L66" s="107" t="s">
        <v>250</v>
      </c>
      <c r="M66" s="107" t="s">
        <v>42</v>
      </c>
      <c r="N66" s="64" t="s">
        <v>251</v>
      </c>
      <c r="O66" s="47" t="s">
        <v>44</v>
      </c>
      <c r="P66" s="84">
        <v>45366</v>
      </c>
      <c r="Q66" s="131" t="s">
        <v>128</v>
      </c>
      <c r="R66" s="99" t="s">
        <v>46</v>
      </c>
      <c r="S66" s="127" t="s">
        <v>147</v>
      </c>
      <c r="T66" s="87">
        <v>45394</v>
      </c>
      <c r="U66" s="87">
        <f>T66+7</f>
        <v>45401</v>
      </c>
      <c r="V66" s="87">
        <v>45412</v>
      </c>
      <c r="W66" s="87">
        <f t="shared" si="1"/>
        <v>45419</v>
      </c>
      <c r="X66" s="60"/>
      <c r="Y66" s="315" t="s">
        <v>79</v>
      </c>
      <c r="Z66" s="71" t="s">
        <v>320</v>
      </c>
      <c r="AA66" s="71">
        <v>24</v>
      </c>
      <c r="AB66" s="89" t="s">
        <v>49</v>
      </c>
      <c r="AC66" s="73">
        <f t="shared" si="23"/>
        <v>1</v>
      </c>
      <c r="AD66" s="73">
        <f t="shared" si="24"/>
        <v>0</v>
      </c>
      <c r="AE66" s="101" t="s">
        <v>138</v>
      </c>
      <c r="AF66" s="90" t="s">
        <v>280</v>
      </c>
    </row>
    <row r="67" s="21" customFormat="1" ht="21" customHeight="1" spans="1:32">
      <c r="A67" s="75">
        <v>64</v>
      </c>
      <c r="B67" s="92" t="s">
        <v>321</v>
      </c>
      <c r="C67" s="147"/>
      <c r="D67" s="76" t="s">
        <v>34</v>
      </c>
      <c r="E67" s="149" t="s">
        <v>322</v>
      </c>
      <c r="F67" s="76" t="s">
        <v>323</v>
      </c>
      <c r="G67" s="79">
        <v>1</v>
      </c>
      <c r="H67" s="80" t="s">
        <v>94</v>
      </c>
      <c r="I67" s="80" t="s">
        <v>38</v>
      </c>
      <c r="J67" s="80" t="s">
        <v>39</v>
      </c>
      <c r="K67" s="80" t="s">
        <v>249</v>
      </c>
      <c r="L67" s="107" t="s">
        <v>250</v>
      </c>
      <c r="M67" s="107" t="s">
        <v>42</v>
      </c>
      <c r="N67" s="64" t="s">
        <v>251</v>
      </c>
      <c r="O67" s="47" t="s">
        <v>44</v>
      </c>
      <c r="P67" s="84">
        <v>45366</v>
      </c>
      <c r="Q67" s="131" t="s">
        <v>128</v>
      </c>
      <c r="R67" s="99" t="s">
        <v>46</v>
      </c>
      <c r="S67" s="127" t="s">
        <v>147</v>
      </c>
      <c r="T67" s="87">
        <v>45394</v>
      </c>
      <c r="U67" s="87">
        <f t="shared" ref="U67:U143" si="25">T67+7</f>
        <v>45401</v>
      </c>
      <c r="V67" s="87">
        <v>45412</v>
      </c>
      <c r="W67" s="87">
        <f t="shared" ref="W67:W70" si="26">V67+7</f>
        <v>45419</v>
      </c>
      <c r="X67" s="60"/>
      <c r="Y67" s="315" t="s">
        <v>79</v>
      </c>
      <c r="Z67" s="71" t="s">
        <v>323</v>
      </c>
      <c r="AA67" s="71">
        <v>25</v>
      </c>
      <c r="AB67" s="89" t="s">
        <v>49</v>
      </c>
      <c r="AC67" s="73">
        <f t="shared" si="23"/>
        <v>1</v>
      </c>
      <c r="AD67" s="73">
        <f t="shared" si="24"/>
        <v>0</v>
      </c>
      <c r="AE67" s="101" t="s">
        <v>138</v>
      </c>
      <c r="AF67" s="90" t="s">
        <v>280</v>
      </c>
    </row>
    <row r="68" s="21" customFormat="1" ht="15" customHeight="1" spans="1:32">
      <c r="A68" s="75">
        <v>65</v>
      </c>
      <c r="B68" s="92" t="s">
        <v>324</v>
      </c>
      <c r="C68" s="147"/>
      <c r="D68" s="76" t="s">
        <v>34</v>
      </c>
      <c r="E68" s="78" t="s">
        <v>325</v>
      </c>
      <c r="F68" s="76" t="s">
        <v>326</v>
      </c>
      <c r="G68" s="79">
        <v>1</v>
      </c>
      <c r="H68" s="80" t="s">
        <v>94</v>
      </c>
      <c r="I68" s="80" t="s">
        <v>38</v>
      </c>
      <c r="J68" s="80" t="s">
        <v>39</v>
      </c>
      <c r="K68" s="80" t="s">
        <v>249</v>
      </c>
      <c r="L68" s="107" t="s">
        <v>250</v>
      </c>
      <c r="M68" s="107" t="s">
        <v>42</v>
      </c>
      <c r="N68" s="64" t="s">
        <v>251</v>
      </c>
      <c r="O68" s="47" t="s">
        <v>44</v>
      </c>
      <c r="P68" s="84">
        <v>45412</v>
      </c>
      <c r="Q68" s="131" t="s">
        <v>128</v>
      </c>
      <c r="R68" s="99" t="s">
        <v>46</v>
      </c>
      <c r="S68" s="127" t="s">
        <v>147</v>
      </c>
      <c r="T68" s="87">
        <v>45394</v>
      </c>
      <c r="U68" s="87">
        <f t="shared" si="25"/>
        <v>45401</v>
      </c>
      <c r="V68" s="87">
        <v>45412</v>
      </c>
      <c r="W68" s="87">
        <f t="shared" si="26"/>
        <v>45419</v>
      </c>
      <c r="X68" s="60"/>
      <c r="Y68" s="315" t="s">
        <v>79</v>
      </c>
      <c r="Z68" s="71" t="s">
        <v>326</v>
      </c>
      <c r="AA68" s="71">
        <v>27</v>
      </c>
      <c r="AB68" s="89" t="s">
        <v>49</v>
      </c>
      <c r="AC68" s="73">
        <f t="shared" si="23"/>
        <v>1</v>
      </c>
      <c r="AD68" s="73">
        <f t="shared" si="24"/>
        <v>0</v>
      </c>
      <c r="AE68" s="101" t="s">
        <v>138</v>
      </c>
      <c r="AF68" s="90" t="s">
        <v>280</v>
      </c>
    </row>
    <row r="69" s="21" customFormat="1" ht="15" customHeight="1" spans="1:32">
      <c r="A69" s="75">
        <v>66</v>
      </c>
      <c r="B69" s="92" t="s">
        <v>327</v>
      </c>
      <c r="C69" s="147"/>
      <c r="D69" s="76" t="s">
        <v>34</v>
      </c>
      <c r="E69" s="150" t="s">
        <v>328</v>
      </c>
      <c r="F69" s="76" t="s">
        <v>329</v>
      </c>
      <c r="G69" s="79">
        <v>1</v>
      </c>
      <c r="H69" s="80" t="s">
        <v>94</v>
      </c>
      <c r="I69" s="80" t="s">
        <v>38</v>
      </c>
      <c r="J69" s="80" t="s">
        <v>39</v>
      </c>
      <c r="K69" s="80" t="s">
        <v>249</v>
      </c>
      <c r="L69" s="107" t="s">
        <v>250</v>
      </c>
      <c r="M69" s="107" t="s">
        <v>42</v>
      </c>
      <c r="N69" s="64" t="s">
        <v>251</v>
      </c>
      <c r="O69" s="47" t="s">
        <v>44</v>
      </c>
      <c r="P69" s="84">
        <v>45412</v>
      </c>
      <c r="Q69" s="131" t="s">
        <v>128</v>
      </c>
      <c r="R69" s="99" t="s">
        <v>46</v>
      </c>
      <c r="S69" s="127" t="s">
        <v>147</v>
      </c>
      <c r="T69" s="87">
        <v>45394</v>
      </c>
      <c r="U69" s="87">
        <f t="shared" si="25"/>
        <v>45401</v>
      </c>
      <c r="V69" s="87">
        <v>45412</v>
      </c>
      <c r="W69" s="87">
        <f t="shared" si="26"/>
        <v>45419</v>
      </c>
      <c r="X69" s="60"/>
      <c r="Y69" s="315" t="s">
        <v>79</v>
      </c>
      <c r="Z69" s="151" t="s">
        <v>329</v>
      </c>
      <c r="AA69" s="151" t="s">
        <v>330</v>
      </c>
      <c r="AB69" s="89" t="s">
        <v>49</v>
      </c>
      <c r="AC69" s="73">
        <f t="shared" si="23"/>
        <v>1</v>
      </c>
      <c r="AD69" s="73">
        <f t="shared" si="24"/>
        <v>0</v>
      </c>
      <c r="AE69" s="101" t="s">
        <v>138</v>
      </c>
      <c r="AF69" s="90" t="s">
        <v>280</v>
      </c>
    </row>
    <row r="70" s="21" customFormat="1" ht="15" customHeight="1" spans="1:32">
      <c r="A70" s="75">
        <v>67</v>
      </c>
      <c r="B70" s="92" t="s">
        <v>331</v>
      </c>
      <c r="C70" s="147"/>
      <c r="D70" s="76" t="s">
        <v>34</v>
      </c>
      <c r="E70" s="149" t="s">
        <v>332</v>
      </c>
      <c r="F70" s="76" t="s">
        <v>333</v>
      </c>
      <c r="G70" s="79">
        <v>1</v>
      </c>
      <c r="H70" s="80" t="s">
        <v>94</v>
      </c>
      <c r="I70" s="80" t="s">
        <v>38</v>
      </c>
      <c r="J70" s="80" t="s">
        <v>39</v>
      </c>
      <c r="K70" s="80" t="s">
        <v>249</v>
      </c>
      <c r="L70" s="107" t="s">
        <v>250</v>
      </c>
      <c r="M70" s="107" t="s">
        <v>42</v>
      </c>
      <c r="N70" s="64" t="s">
        <v>251</v>
      </c>
      <c r="O70" s="47" t="s">
        <v>44</v>
      </c>
      <c r="P70" s="84">
        <v>45412</v>
      </c>
      <c r="Q70" s="131" t="s">
        <v>128</v>
      </c>
      <c r="R70" s="99" t="s">
        <v>46</v>
      </c>
      <c r="S70" s="127" t="s">
        <v>147</v>
      </c>
      <c r="T70" s="87">
        <v>45394</v>
      </c>
      <c r="U70" s="87">
        <f t="shared" si="25"/>
        <v>45401</v>
      </c>
      <c r="V70" s="87">
        <v>45412</v>
      </c>
      <c r="W70" s="87">
        <f t="shared" si="26"/>
        <v>45419</v>
      </c>
      <c r="X70" s="60"/>
      <c r="Y70" s="315" t="s">
        <v>79</v>
      </c>
      <c r="Z70" s="151" t="s">
        <v>333</v>
      </c>
      <c r="AA70" s="151" t="s">
        <v>334</v>
      </c>
      <c r="AB70" s="89" t="s">
        <v>49</v>
      </c>
      <c r="AC70" s="73">
        <f t="shared" si="23"/>
        <v>1</v>
      </c>
      <c r="AD70" s="73">
        <f t="shared" si="24"/>
        <v>0</v>
      </c>
      <c r="AE70" s="101" t="s">
        <v>138</v>
      </c>
      <c r="AF70" s="90" t="s">
        <v>280</v>
      </c>
    </row>
    <row r="71" s="21" customFormat="1" ht="21" customHeight="1" spans="1:32">
      <c r="A71" s="75">
        <v>68</v>
      </c>
      <c r="B71" s="92" t="s">
        <v>335</v>
      </c>
      <c r="C71" s="147"/>
      <c r="D71" s="76" t="s">
        <v>34</v>
      </c>
      <c r="E71" s="76" t="s">
        <v>336</v>
      </c>
      <c r="F71" s="106" t="s">
        <v>337</v>
      </c>
      <c r="G71" s="79">
        <v>1</v>
      </c>
      <c r="H71" s="80" t="s">
        <v>94</v>
      </c>
      <c r="I71" s="80" t="s">
        <v>38</v>
      </c>
      <c r="J71" s="80" t="s">
        <v>39</v>
      </c>
      <c r="K71" s="80" t="s">
        <v>249</v>
      </c>
      <c r="L71" s="107" t="s">
        <v>250</v>
      </c>
      <c r="M71" s="107" t="s">
        <v>42</v>
      </c>
      <c r="N71" s="152" t="s">
        <v>251</v>
      </c>
      <c r="O71" s="47" t="s">
        <v>44</v>
      </c>
      <c r="P71" s="84">
        <v>45366</v>
      </c>
      <c r="Q71" s="131" t="s">
        <v>128</v>
      </c>
      <c r="R71" s="85" t="s">
        <v>46</v>
      </c>
      <c r="S71" s="99" t="s">
        <v>47</v>
      </c>
      <c r="T71" s="87">
        <v>45361</v>
      </c>
      <c r="U71" s="87">
        <v>45378</v>
      </c>
      <c r="V71" s="87">
        <v>45388</v>
      </c>
      <c r="W71" s="87">
        <f t="shared" ref="W67:W131" si="27">V71+7</f>
        <v>45395</v>
      </c>
      <c r="X71" s="60"/>
      <c r="Y71" s="70" t="s">
        <v>125</v>
      </c>
      <c r="Z71" s="151" t="s">
        <v>338</v>
      </c>
      <c r="AA71" s="151" t="s">
        <v>339</v>
      </c>
      <c r="AB71" s="54" t="s">
        <v>253</v>
      </c>
      <c r="AC71" s="73">
        <v>1</v>
      </c>
      <c r="AD71" s="73">
        <v>0</v>
      </c>
      <c r="AE71" s="101" t="s">
        <v>254</v>
      </c>
      <c r="AF71" s="90" t="s">
        <v>272</v>
      </c>
    </row>
    <row r="72" s="21" customFormat="1" ht="21" customHeight="1" spans="1:32">
      <c r="A72" s="75">
        <v>69</v>
      </c>
      <c r="B72" s="92" t="s">
        <v>340</v>
      </c>
      <c r="C72" s="147"/>
      <c r="D72" s="76" t="s">
        <v>34</v>
      </c>
      <c r="E72" s="78" t="s">
        <v>341</v>
      </c>
      <c r="F72" s="106" t="s">
        <v>342</v>
      </c>
      <c r="G72" s="79">
        <v>1</v>
      </c>
      <c r="H72" s="80" t="s">
        <v>94</v>
      </c>
      <c r="I72" s="80" t="s">
        <v>38</v>
      </c>
      <c r="J72" s="80" t="s">
        <v>39</v>
      </c>
      <c r="K72" s="80" t="s">
        <v>249</v>
      </c>
      <c r="L72" s="107" t="s">
        <v>250</v>
      </c>
      <c r="M72" s="107" t="s">
        <v>42</v>
      </c>
      <c r="N72" s="152" t="s">
        <v>251</v>
      </c>
      <c r="O72" s="47" t="s">
        <v>44</v>
      </c>
      <c r="P72" s="84">
        <v>45366</v>
      </c>
      <c r="Q72" s="131" t="s">
        <v>128</v>
      </c>
      <c r="R72" s="85" t="s">
        <v>46</v>
      </c>
      <c r="S72" s="99" t="s">
        <v>47</v>
      </c>
      <c r="T72" s="87">
        <v>45361</v>
      </c>
      <c r="U72" s="87">
        <v>45378</v>
      </c>
      <c r="V72" s="87">
        <v>45388</v>
      </c>
      <c r="W72" s="87">
        <f t="shared" si="27"/>
        <v>45395</v>
      </c>
      <c r="X72" s="60"/>
      <c r="Y72" s="70" t="s">
        <v>125</v>
      </c>
      <c r="Z72" s="151" t="s">
        <v>342</v>
      </c>
      <c r="AA72" s="151" t="s">
        <v>343</v>
      </c>
      <c r="AB72" s="54" t="s">
        <v>253</v>
      </c>
      <c r="AC72" s="73">
        <v>1</v>
      </c>
      <c r="AD72" s="73">
        <v>0</v>
      </c>
      <c r="AE72" s="101" t="s">
        <v>254</v>
      </c>
      <c r="AF72" s="90" t="s">
        <v>272</v>
      </c>
    </row>
    <row r="73" s="21" customFormat="1" ht="15" customHeight="1" spans="1:32">
      <c r="A73" s="75">
        <v>70</v>
      </c>
      <c r="B73" s="92" t="s">
        <v>344</v>
      </c>
      <c r="C73" s="147"/>
      <c r="D73" s="76" t="s">
        <v>34</v>
      </c>
      <c r="E73" s="149" t="s">
        <v>292</v>
      </c>
      <c r="F73" s="76" t="s">
        <v>293</v>
      </c>
      <c r="G73" s="79">
        <v>1</v>
      </c>
      <c r="H73" s="80" t="s">
        <v>94</v>
      </c>
      <c r="I73" s="80" t="s">
        <v>38</v>
      </c>
      <c r="J73" s="80" t="s">
        <v>39</v>
      </c>
      <c r="K73" s="80" t="s">
        <v>249</v>
      </c>
      <c r="L73" s="107" t="s">
        <v>250</v>
      </c>
      <c r="M73" s="107" t="s">
        <v>42</v>
      </c>
      <c r="N73" s="152" t="s">
        <v>251</v>
      </c>
      <c r="O73" s="47" t="s">
        <v>44</v>
      </c>
      <c r="P73" s="84">
        <v>45412</v>
      </c>
      <c r="Q73" s="131" t="s">
        <v>128</v>
      </c>
      <c r="R73" s="99" t="s">
        <v>46</v>
      </c>
      <c r="S73" s="127" t="s">
        <v>147</v>
      </c>
      <c r="T73" s="87">
        <v>45394</v>
      </c>
      <c r="U73" s="87">
        <f t="shared" si="25"/>
        <v>45401</v>
      </c>
      <c r="V73" s="87">
        <v>45412</v>
      </c>
      <c r="W73" s="87">
        <f t="shared" si="27"/>
        <v>45419</v>
      </c>
      <c r="X73" s="60"/>
      <c r="Y73" s="315" t="s">
        <v>79</v>
      </c>
      <c r="Z73" s="151" t="s">
        <v>293</v>
      </c>
      <c r="AA73" s="151" t="s">
        <v>345</v>
      </c>
      <c r="AB73" s="89" t="s">
        <v>49</v>
      </c>
      <c r="AC73" s="73">
        <f t="shared" ref="AC73:AC76" si="28">G73</f>
        <v>1</v>
      </c>
      <c r="AD73" s="73">
        <f t="shared" ref="AD73:AD76" si="29">G73-AC73</f>
        <v>0</v>
      </c>
      <c r="AE73" s="101" t="s">
        <v>138</v>
      </c>
      <c r="AF73" s="90" t="s">
        <v>280</v>
      </c>
    </row>
    <row r="74" s="21" customFormat="1" ht="15" customHeight="1" spans="1:32">
      <c r="A74" s="75">
        <v>71</v>
      </c>
      <c r="B74" s="92" t="s">
        <v>346</v>
      </c>
      <c r="C74" s="147"/>
      <c r="D74" s="76" t="s">
        <v>34</v>
      </c>
      <c r="E74" s="149" t="s">
        <v>292</v>
      </c>
      <c r="F74" s="76" t="s">
        <v>293</v>
      </c>
      <c r="G74" s="79">
        <v>1</v>
      </c>
      <c r="H74" s="80" t="s">
        <v>94</v>
      </c>
      <c r="I74" s="80" t="s">
        <v>38</v>
      </c>
      <c r="J74" s="80" t="s">
        <v>39</v>
      </c>
      <c r="K74" s="80" t="s">
        <v>249</v>
      </c>
      <c r="L74" s="94" t="s">
        <v>250</v>
      </c>
      <c r="M74" s="94" t="s">
        <v>42</v>
      </c>
      <c r="N74" s="152" t="s">
        <v>251</v>
      </c>
      <c r="O74" s="47" t="s">
        <v>44</v>
      </c>
      <c r="P74" s="84">
        <v>45412</v>
      </c>
      <c r="Q74" s="85" t="s">
        <v>128</v>
      </c>
      <c r="R74" s="99" t="s">
        <v>46</v>
      </c>
      <c r="S74" s="127" t="s">
        <v>147</v>
      </c>
      <c r="T74" s="87">
        <v>45394</v>
      </c>
      <c r="U74" s="87">
        <f t="shared" si="25"/>
        <v>45401</v>
      </c>
      <c r="V74" s="87">
        <v>45412</v>
      </c>
      <c r="W74" s="87">
        <f t="shared" si="27"/>
        <v>45419</v>
      </c>
      <c r="X74" s="60"/>
      <c r="Y74" s="315" t="s">
        <v>79</v>
      </c>
      <c r="Z74" s="151" t="s">
        <v>293</v>
      </c>
      <c r="AA74" s="151" t="s">
        <v>345</v>
      </c>
      <c r="AB74" s="89" t="s">
        <v>49</v>
      </c>
      <c r="AC74" s="73">
        <f t="shared" si="28"/>
        <v>1</v>
      </c>
      <c r="AD74" s="73">
        <f t="shared" si="29"/>
        <v>0</v>
      </c>
      <c r="AE74" s="101" t="s">
        <v>138</v>
      </c>
      <c r="AF74" s="90" t="s">
        <v>280</v>
      </c>
    </row>
    <row r="75" s="21" customFormat="1" ht="15" customHeight="1" spans="1:32">
      <c r="A75" s="75">
        <v>72</v>
      </c>
      <c r="B75" s="92" t="s">
        <v>347</v>
      </c>
      <c r="C75" s="147"/>
      <c r="D75" s="76" t="s">
        <v>34</v>
      </c>
      <c r="E75" s="149" t="s">
        <v>292</v>
      </c>
      <c r="F75" s="76" t="s">
        <v>293</v>
      </c>
      <c r="G75" s="79">
        <v>1</v>
      </c>
      <c r="H75" s="80" t="s">
        <v>94</v>
      </c>
      <c r="I75" s="80" t="s">
        <v>38</v>
      </c>
      <c r="J75" s="80" t="s">
        <v>39</v>
      </c>
      <c r="K75" s="80" t="s">
        <v>249</v>
      </c>
      <c r="L75" s="107" t="s">
        <v>250</v>
      </c>
      <c r="M75" s="107" t="s">
        <v>42</v>
      </c>
      <c r="N75" s="152" t="s">
        <v>251</v>
      </c>
      <c r="O75" s="47" t="s">
        <v>44</v>
      </c>
      <c r="P75" s="84">
        <v>45412</v>
      </c>
      <c r="Q75" s="131" t="s">
        <v>128</v>
      </c>
      <c r="R75" s="99" t="s">
        <v>46</v>
      </c>
      <c r="S75" s="127" t="s">
        <v>147</v>
      </c>
      <c r="T75" s="87">
        <v>45394</v>
      </c>
      <c r="U75" s="87">
        <f t="shared" si="25"/>
        <v>45401</v>
      </c>
      <c r="V75" s="87">
        <v>45412</v>
      </c>
      <c r="W75" s="87">
        <f t="shared" si="27"/>
        <v>45419</v>
      </c>
      <c r="X75" s="60"/>
      <c r="Y75" s="315" t="s">
        <v>79</v>
      </c>
      <c r="Z75" s="151" t="s">
        <v>293</v>
      </c>
      <c r="AA75" s="151" t="s">
        <v>345</v>
      </c>
      <c r="AB75" s="89" t="s">
        <v>49</v>
      </c>
      <c r="AC75" s="73">
        <f t="shared" si="28"/>
        <v>1</v>
      </c>
      <c r="AD75" s="73">
        <f t="shared" si="29"/>
        <v>0</v>
      </c>
      <c r="AE75" s="101" t="s">
        <v>138</v>
      </c>
      <c r="AF75" s="90" t="s">
        <v>280</v>
      </c>
    </row>
    <row r="76" s="21" customFormat="1" ht="15" customHeight="1" spans="1:32">
      <c r="A76" s="75">
        <v>73</v>
      </c>
      <c r="B76" s="92" t="s">
        <v>348</v>
      </c>
      <c r="C76" s="147"/>
      <c r="D76" s="76" t="s">
        <v>34</v>
      </c>
      <c r="E76" s="149" t="s">
        <v>292</v>
      </c>
      <c r="F76" s="76" t="s">
        <v>293</v>
      </c>
      <c r="G76" s="79">
        <v>1</v>
      </c>
      <c r="H76" s="80" t="s">
        <v>94</v>
      </c>
      <c r="I76" s="80" t="s">
        <v>38</v>
      </c>
      <c r="J76" s="80" t="s">
        <v>39</v>
      </c>
      <c r="K76" s="80" t="s">
        <v>249</v>
      </c>
      <c r="L76" s="107" t="s">
        <v>250</v>
      </c>
      <c r="M76" s="107" t="s">
        <v>42</v>
      </c>
      <c r="N76" s="152" t="s">
        <v>251</v>
      </c>
      <c r="O76" s="47" t="s">
        <v>44</v>
      </c>
      <c r="P76" s="84">
        <v>45412</v>
      </c>
      <c r="Q76" s="131" t="s">
        <v>128</v>
      </c>
      <c r="R76" s="99" t="s">
        <v>46</v>
      </c>
      <c r="S76" s="127" t="s">
        <v>147</v>
      </c>
      <c r="T76" s="87">
        <v>45394</v>
      </c>
      <c r="U76" s="87">
        <f t="shared" si="25"/>
        <v>45401</v>
      </c>
      <c r="V76" s="87">
        <v>45412</v>
      </c>
      <c r="W76" s="87">
        <f t="shared" si="27"/>
        <v>45419</v>
      </c>
      <c r="X76" s="60"/>
      <c r="Y76" s="315" t="s">
        <v>79</v>
      </c>
      <c r="Z76" s="151" t="s">
        <v>293</v>
      </c>
      <c r="AA76" s="151" t="s">
        <v>345</v>
      </c>
      <c r="AB76" s="89" t="s">
        <v>49</v>
      </c>
      <c r="AC76" s="73">
        <f t="shared" si="28"/>
        <v>1</v>
      </c>
      <c r="AD76" s="73">
        <f t="shared" si="29"/>
        <v>0</v>
      </c>
      <c r="AE76" s="101" t="s">
        <v>138</v>
      </c>
      <c r="AF76" s="90" t="s">
        <v>280</v>
      </c>
    </row>
    <row r="77" s="21" customFormat="1" ht="21" customHeight="1" spans="1:32">
      <c r="A77" s="75">
        <v>74</v>
      </c>
      <c r="B77" s="92" t="s">
        <v>349</v>
      </c>
      <c r="C77" s="147"/>
      <c r="D77" s="76" t="s">
        <v>34</v>
      </c>
      <c r="E77" s="78" t="s">
        <v>350</v>
      </c>
      <c r="F77" s="76" t="s">
        <v>351</v>
      </c>
      <c r="G77" s="79">
        <v>1</v>
      </c>
      <c r="H77" s="80" t="s">
        <v>94</v>
      </c>
      <c r="I77" s="80" t="s">
        <v>38</v>
      </c>
      <c r="J77" s="80" t="s">
        <v>39</v>
      </c>
      <c r="K77" s="80" t="s">
        <v>249</v>
      </c>
      <c r="L77" s="107" t="s">
        <v>250</v>
      </c>
      <c r="M77" s="107" t="s">
        <v>42</v>
      </c>
      <c r="N77" s="152" t="s">
        <v>251</v>
      </c>
      <c r="O77" s="47" t="s">
        <v>44</v>
      </c>
      <c r="P77" s="84">
        <v>45366</v>
      </c>
      <c r="Q77" s="131" t="s">
        <v>128</v>
      </c>
      <c r="R77" s="85" t="s">
        <v>46</v>
      </c>
      <c r="S77" s="99" t="s">
        <v>47</v>
      </c>
      <c r="T77" s="87">
        <v>45361</v>
      </c>
      <c r="U77" s="87">
        <v>45378</v>
      </c>
      <c r="V77" s="87">
        <v>45388</v>
      </c>
      <c r="W77" s="87">
        <f t="shared" si="27"/>
        <v>45395</v>
      </c>
      <c r="X77" s="60"/>
      <c r="Y77" s="70" t="s">
        <v>125</v>
      </c>
      <c r="Z77" s="151" t="s">
        <v>351</v>
      </c>
      <c r="AA77" s="151" t="s">
        <v>352</v>
      </c>
      <c r="AB77" s="54" t="s">
        <v>253</v>
      </c>
      <c r="AC77" s="73">
        <v>1</v>
      </c>
      <c r="AD77" s="73">
        <v>0</v>
      </c>
      <c r="AE77" s="101" t="s">
        <v>254</v>
      </c>
      <c r="AF77" s="90" t="s">
        <v>272</v>
      </c>
    </row>
    <row r="78" s="21" customFormat="1" ht="21" customHeight="1" spans="1:32">
      <c r="A78" s="75">
        <v>75</v>
      </c>
      <c r="B78" s="92" t="s">
        <v>353</v>
      </c>
      <c r="C78" s="147"/>
      <c r="D78" s="76" t="s">
        <v>34</v>
      </c>
      <c r="E78" s="78" t="s">
        <v>354</v>
      </c>
      <c r="F78" s="76" t="s">
        <v>355</v>
      </c>
      <c r="G78" s="79">
        <v>1</v>
      </c>
      <c r="H78" s="80" t="s">
        <v>94</v>
      </c>
      <c r="I78" s="80" t="s">
        <v>38</v>
      </c>
      <c r="J78" s="80" t="s">
        <v>39</v>
      </c>
      <c r="K78" s="80" t="s">
        <v>249</v>
      </c>
      <c r="L78" s="107" t="s">
        <v>250</v>
      </c>
      <c r="M78" s="107" t="s">
        <v>42</v>
      </c>
      <c r="N78" s="152" t="s">
        <v>251</v>
      </c>
      <c r="O78" s="47" t="s">
        <v>44</v>
      </c>
      <c r="P78" s="84">
        <v>45366</v>
      </c>
      <c r="Q78" s="131" t="s">
        <v>128</v>
      </c>
      <c r="R78" s="85" t="s">
        <v>46</v>
      </c>
      <c r="S78" s="99" t="s">
        <v>47</v>
      </c>
      <c r="T78" s="87">
        <v>45361</v>
      </c>
      <c r="U78" s="87">
        <v>45378</v>
      </c>
      <c r="V78" s="87">
        <v>45388</v>
      </c>
      <c r="W78" s="87">
        <f t="shared" si="27"/>
        <v>45395</v>
      </c>
      <c r="X78" s="60"/>
      <c r="Y78" s="70" t="s">
        <v>125</v>
      </c>
      <c r="Z78" s="151" t="s">
        <v>355</v>
      </c>
      <c r="AA78" s="151" t="s">
        <v>356</v>
      </c>
      <c r="AB78" s="54" t="s">
        <v>253</v>
      </c>
      <c r="AC78" s="73">
        <v>1</v>
      </c>
      <c r="AD78" s="73">
        <v>0</v>
      </c>
      <c r="AE78" s="101" t="s">
        <v>254</v>
      </c>
      <c r="AF78" s="90" t="s">
        <v>272</v>
      </c>
    </row>
    <row r="79" s="21" customFormat="1" ht="21" customHeight="1" spans="1:32">
      <c r="A79" s="75">
        <v>76</v>
      </c>
      <c r="B79" s="92" t="s">
        <v>357</v>
      </c>
      <c r="C79" s="147"/>
      <c r="D79" s="76" t="s">
        <v>34</v>
      </c>
      <c r="E79" s="149" t="s">
        <v>358</v>
      </c>
      <c r="F79" s="76" t="s">
        <v>359</v>
      </c>
      <c r="G79" s="79">
        <v>1</v>
      </c>
      <c r="H79" s="80" t="s">
        <v>94</v>
      </c>
      <c r="I79" s="80" t="s">
        <v>38</v>
      </c>
      <c r="J79" s="80" t="s">
        <v>39</v>
      </c>
      <c r="K79" s="80" t="s">
        <v>249</v>
      </c>
      <c r="L79" s="107" t="s">
        <v>250</v>
      </c>
      <c r="M79" s="107" t="s">
        <v>42</v>
      </c>
      <c r="N79" s="152" t="s">
        <v>251</v>
      </c>
      <c r="O79" s="47" t="s">
        <v>44</v>
      </c>
      <c r="P79" s="84">
        <v>45366</v>
      </c>
      <c r="Q79" s="131" t="s">
        <v>128</v>
      </c>
      <c r="R79" s="99" t="s">
        <v>46</v>
      </c>
      <c r="S79" s="127" t="s">
        <v>147</v>
      </c>
      <c r="T79" s="87">
        <v>45394</v>
      </c>
      <c r="U79" s="87">
        <f t="shared" si="25"/>
        <v>45401</v>
      </c>
      <c r="V79" s="87">
        <v>45412</v>
      </c>
      <c r="W79" s="87">
        <f t="shared" si="27"/>
        <v>45419</v>
      </c>
      <c r="X79" s="60"/>
      <c r="Y79" s="315" t="s">
        <v>79</v>
      </c>
      <c r="Z79" s="151" t="s">
        <v>360</v>
      </c>
      <c r="AA79" s="151" t="s">
        <v>361</v>
      </c>
      <c r="AB79" s="89" t="s">
        <v>49</v>
      </c>
      <c r="AC79" s="73">
        <f t="shared" ref="AC79:AC84" si="30">G79</f>
        <v>1</v>
      </c>
      <c r="AD79" s="73">
        <f t="shared" ref="AD79:AD84" si="31">G79-AC79</f>
        <v>0</v>
      </c>
      <c r="AE79" s="101" t="s">
        <v>138</v>
      </c>
      <c r="AF79" s="90" t="s">
        <v>280</v>
      </c>
    </row>
    <row r="80" s="21" customFormat="1" ht="21" customHeight="1" spans="1:32">
      <c r="A80" s="75">
        <v>77</v>
      </c>
      <c r="B80" s="92" t="s">
        <v>362</v>
      </c>
      <c r="C80" s="147"/>
      <c r="D80" s="76" t="s">
        <v>34</v>
      </c>
      <c r="E80" s="149" t="s">
        <v>363</v>
      </c>
      <c r="F80" s="106" t="s">
        <v>364</v>
      </c>
      <c r="G80" s="79">
        <v>1</v>
      </c>
      <c r="H80" s="80" t="s">
        <v>94</v>
      </c>
      <c r="I80" s="80" t="s">
        <v>38</v>
      </c>
      <c r="J80" s="80" t="s">
        <v>39</v>
      </c>
      <c r="K80" s="80" t="s">
        <v>249</v>
      </c>
      <c r="L80" s="107" t="s">
        <v>250</v>
      </c>
      <c r="M80" s="107" t="s">
        <v>42</v>
      </c>
      <c r="N80" s="152" t="s">
        <v>251</v>
      </c>
      <c r="O80" s="47" t="s">
        <v>44</v>
      </c>
      <c r="P80" s="84">
        <v>45366</v>
      </c>
      <c r="Q80" s="131" t="s">
        <v>128</v>
      </c>
      <c r="R80" s="85" t="s">
        <v>46</v>
      </c>
      <c r="S80" s="99" t="s">
        <v>47</v>
      </c>
      <c r="T80" s="87">
        <v>45361</v>
      </c>
      <c r="U80" s="87">
        <v>45378</v>
      </c>
      <c r="V80" s="87">
        <v>45388</v>
      </c>
      <c r="W80" s="87">
        <f t="shared" si="27"/>
        <v>45395</v>
      </c>
      <c r="X80" s="60"/>
      <c r="Y80" s="70" t="s">
        <v>125</v>
      </c>
      <c r="Z80" s="151" t="s">
        <v>364</v>
      </c>
      <c r="AA80" s="151" t="s">
        <v>365</v>
      </c>
      <c r="AB80" s="54" t="s">
        <v>253</v>
      </c>
      <c r="AC80" s="73">
        <v>1</v>
      </c>
      <c r="AD80" s="73">
        <v>0</v>
      </c>
      <c r="AE80" s="101" t="s">
        <v>254</v>
      </c>
      <c r="AF80" s="90" t="s">
        <v>272</v>
      </c>
    </row>
    <row r="81" s="21" customFormat="1" ht="21" customHeight="1" spans="1:32">
      <c r="A81" s="75">
        <v>78</v>
      </c>
      <c r="B81" s="153" t="s">
        <v>366</v>
      </c>
      <c r="C81" s="154"/>
      <c r="D81" s="76" t="s">
        <v>34</v>
      </c>
      <c r="E81" s="149" t="s">
        <v>367</v>
      </c>
      <c r="F81" s="106" t="s">
        <v>368</v>
      </c>
      <c r="G81" s="79">
        <v>1</v>
      </c>
      <c r="H81" s="80" t="s">
        <v>94</v>
      </c>
      <c r="I81" s="80" t="s">
        <v>38</v>
      </c>
      <c r="J81" s="80" t="s">
        <v>39</v>
      </c>
      <c r="K81" s="80" t="s">
        <v>249</v>
      </c>
      <c r="L81" s="107" t="s">
        <v>250</v>
      </c>
      <c r="M81" s="107" t="s">
        <v>42</v>
      </c>
      <c r="N81" s="152" t="s">
        <v>251</v>
      </c>
      <c r="O81" s="47" t="s">
        <v>44</v>
      </c>
      <c r="P81" s="84">
        <v>45366</v>
      </c>
      <c r="Q81" s="131" t="s">
        <v>128</v>
      </c>
      <c r="R81" s="85" t="s">
        <v>46</v>
      </c>
      <c r="S81" s="99" t="s">
        <v>47</v>
      </c>
      <c r="T81" s="87">
        <v>45361</v>
      </c>
      <c r="U81" s="87">
        <v>45378</v>
      </c>
      <c r="V81" s="87">
        <v>45388</v>
      </c>
      <c r="W81" s="87">
        <f t="shared" si="27"/>
        <v>45395</v>
      </c>
      <c r="X81" s="60"/>
      <c r="Y81" s="70" t="s">
        <v>125</v>
      </c>
      <c r="Z81" s="151" t="s">
        <v>368</v>
      </c>
      <c r="AA81" s="151" t="s">
        <v>369</v>
      </c>
      <c r="AB81" s="54" t="s">
        <v>253</v>
      </c>
      <c r="AC81" s="73">
        <v>1</v>
      </c>
      <c r="AD81" s="73">
        <v>0</v>
      </c>
      <c r="AE81" s="101" t="s">
        <v>254</v>
      </c>
      <c r="AF81" s="90" t="s">
        <v>272</v>
      </c>
    </row>
    <row r="82" s="21" customFormat="1" ht="15" customHeight="1" spans="1:32">
      <c r="A82" s="75">
        <v>79</v>
      </c>
      <c r="B82" s="92" t="s">
        <v>370</v>
      </c>
      <c r="C82" s="147"/>
      <c r="D82" s="76" t="s">
        <v>34</v>
      </c>
      <c r="E82" s="78" t="s">
        <v>371</v>
      </c>
      <c r="F82" s="76" t="s">
        <v>372</v>
      </c>
      <c r="G82" s="79">
        <v>1</v>
      </c>
      <c r="H82" s="80" t="s">
        <v>94</v>
      </c>
      <c r="I82" s="80" t="s">
        <v>38</v>
      </c>
      <c r="J82" s="80" t="s">
        <v>39</v>
      </c>
      <c r="K82" s="80" t="s">
        <v>249</v>
      </c>
      <c r="L82" s="107" t="s">
        <v>250</v>
      </c>
      <c r="M82" s="107" t="s">
        <v>42</v>
      </c>
      <c r="N82" s="152" t="s">
        <v>251</v>
      </c>
      <c r="O82" s="47" t="s">
        <v>44</v>
      </c>
      <c r="P82" s="84">
        <v>45412</v>
      </c>
      <c r="Q82" s="131" t="s">
        <v>128</v>
      </c>
      <c r="R82" s="99" t="s">
        <v>46</v>
      </c>
      <c r="S82" s="127" t="s">
        <v>147</v>
      </c>
      <c r="T82" s="87">
        <v>45394</v>
      </c>
      <c r="U82" s="87">
        <f t="shared" si="25"/>
        <v>45401</v>
      </c>
      <c r="V82" s="87">
        <v>45412</v>
      </c>
      <c r="W82" s="87">
        <f t="shared" si="27"/>
        <v>45419</v>
      </c>
      <c r="X82" s="60"/>
      <c r="Y82" s="315" t="s">
        <v>79</v>
      </c>
      <c r="Z82" s="151" t="s">
        <v>372</v>
      </c>
      <c r="AA82" s="151" t="s">
        <v>373</v>
      </c>
      <c r="AB82" s="89" t="s">
        <v>49</v>
      </c>
      <c r="AC82" s="73">
        <f t="shared" si="30"/>
        <v>1</v>
      </c>
      <c r="AD82" s="73">
        <f t="shared" si="31"/>
        <v>0</v>
      </c>
      <c r="AE82" s="101" t="s">
        <v>138</v>
      </c>
      <c r="AF82" s="90" t="s">
        <v>280</v>
      </c>
    </row>
    <row r="83" s="21" customFormat="1" ht="21" customHeight="1" spans="1:32">
      <c r="A83" s="75">
        <v>80</v>
      </c>
      <c r="B83" s="92" t="s">
        <v>374</v>
      </c>
      <c r="C83" s="147"/>
      <c r="D83" s="76" t="s">
        <v>34</v>
      </c>
      <c r="E83" s="78" t="s">
        <v>375</v>
      </c>
      <c r="F83" s="76" t="s">
        <v>376</v>
      </c>
      <c r="G83" s="79">
        <v>1</v>
      </c>
      <c r="H83" s="80" t="s">
        <v>94</v>
      </c>
      <c r="I83" s="80" t="s">
        <v>38</v>
      </c>
      <c r="J83" s="80" t="s">
        <v>39</v>
      </c>
      <c r="K83" s="80" t="s">
        <v>249</v>
      </c>
      <c r="L83" s="107" t="s">
        <v>250</v>
      </c>
      <c r="M83" s="107" t="s">
        <v>42</v>
      </c>
      <c r="N83" s="152" t="s">
        <v>251</v>
      </c>
      <c r="O83" s="47" t="s">
        <v>44</v>
      </c>
      <c r="P83" s="84">
        <v>45366</v>
      </c>
      <c r="Q83" s="131" t="s">
        <v>128</v>
      </c>
      <c r="R83" s="85" t="s">
        <v>46</v>
      </c>
      <c r="S83" s="99" t="s">
        <v>47</v>
      </c>
      <c r="T83" s="87">
        <v>45361</v>
      </c>
      <c r="U83" s="87">
        <v>45378</v>
      </c>
      <c r="V83" s="87">
        <v>45388</v>
      </c>
      <c r="W83" s="87">
        <f t="shared" si="27"/>
        <v>45395</v>
      </c>
      <c r="X83" s="60"/>
      <c r="Y83" s="70" t="s">
        <v>125</v>
      </c>
      <c r="Z83" s="151" t="s">
        <v>376</v>
      </c>
      <c r="AA83" s="151" t="s">
        <v>377</v>
      </c>
      <c r="AB83" s="54" t="s">
        <v>253</v>
      </c>
      <c r="AC83" s="73">
        <v>1</v>
      </c>
      <c r="AD83" s="73">
        <v>0</v>
      </c>
      <c r="AE83" s="101" t="s">
        <v>254</v>
      </c>
      <c r="AF83" s="90" t="s">
        <v>272</v>
      </c>
    </row>
    <row r="84" s="21" customFormat="1" ht="21" customHeight="1" spans="1:32">
      <c r="A84" s="75">
        <v>81</v>
      </c>
      <c r="B84" s="92" t="s">
        <v>378</v>
      </c>
      <c r="C84" s="147"/>
      <c r="D84" s="76" t="s">
        <v>34</v>
      </c>
      <c r="E84" s="78" t="s">
        <v>379</v>
      </c>
      <c r="F84" s="106" t="s">
        <v>380</v>
      </c>
      <c r="G84" s="155">
        <v>1</v>
      </c>
      <c r="H84" s="80" t="s">
        <v>94</v>
      </c>
      <c r="I84" s="80" t="s">
        <v>38</v>
      </c>
      <c r="J84" s="80" t="s">
        <v>39</v>
      </c>
      <c r="K84" s="80" t="s">
        <v>249</v>
      </c>
      <c r="L84" s="107" t="s">
        <v>250</v>
      </c>
      <c r="M84" s="107" t="s">
        <v>42</v>
      </c>
      <c r="N84" s="152" t="s">
        <v>251</v>
      </c>
      <c r="O84" s="47" t="s">
        <v>44</v>
      </c>
      <c r="P84" s="84">
        <v>45366</v>
      </c>
      <c r="Q84" s="131" t="s">
        <v>128</v>
      </c>
      <c r="R84" s="99" t="s">
        <v>46</v>
      </c>
      <c r="S84" s="127" t="s">
        <v>147</v>
      </c>
      <c r="T84" s="87">
        <v>45394</v>
      </c>
      <c r="U84" s="87">
        <f t="shared" si="25"/>
        <v>45401</v>
      </c>
      <c r="V84" s="87">
        <v>45412</v>
      </c>
      <c r="W84" s="87">
        <f t="shared" si="27"/>
        <v>45419</v>
      </c>
      <c r="X84" s="60"/>
      <c r="Y84" s="315" t="s">
        <v>79</v>
      </c>
      <c r="Z84" s="151" t="s">
        <v>381</v>
      </c>
      <c r="AA84" s="151" t="s">
        <v>382</v>
      </c>
      <c r="AB84" s="89" t="s">
        <v>49</v>
      </c>
      <c r="AC84" s="73">
        <f t="shared" si="30"/>
        <v>1</v>
      </c>
      <c r="AD84" s="73">
        <f t="shared" si="31"/>
        <v>0</v>
      </c>
      <c r="AE84" s="101" t="s">
        <v>138</v>
      </c>
      <c r="AF84" s="90" t="s">
        <v>280</v>
      </c>
    </row>
    <row r="85" s="21" customFormat="1" ht="21" customHeight="1" spans="1:32">
      <c r="A85" s="75">
        <v>82</v>
      </c>
      <c r="B85" s="92" t="s">
        <v>383</v>
      </c>
      <c r="C85" s="147"/>
      <c r="D85" s="76" t="s">
        <v>34</v>
      </c>
      <c r="E85" s="78" t="s">
        <v>384</v>
      </c>
      <c r="F85" s="106" t="s">
        <v>385</v>
      </c>
      <c r="G85" s="79">
        <v>1</v>
      </c>
      <c r="H85" s="80" t="s">
        <v>94</v>
      </c>
      <c r="I85" s="80" t="s">
        <v>38</v>
      </c>
      <c r="J85" s="80" t="s">
        <v>39</v>
      </c>
      <c r="K85" s="80" t="s">
        <v>249</v>
      </c>
      <c r="L85" s="107" t="s">
        <v>250</v>
      </c>
      <c r="M85" s="107" t="s">
        <v>42</v>
      </c>
      <c r="N85" s="152" t="s">
        <v>251</v>
      </c>
      <c r="O85" s="47" t="s">
        <v>44</v>
      </c>
      <c r="P85" s="84">
        <v>45366</v>
      </c>
      <c r="Q85" s="131" t="s">
        <v>128</v>
      </c>
      <c r="R85" s="85" t="s">
        <v>46</v>
      </c>
      <c r="S85" s="99" t="s">
        <v>47</v>
      </c>
      <c r="T85" s="87">
        <v>45361</v>
      </c>
      <c r="U85" s="87">
        <v>45378</v>
      </c>
      <c r="V85" s="87">
        <v>45388</v>
      </c>
      <c r="W85" s="87">
        <f t="shared" si="27"/>
        <v>45395</v>
      </c>
      <c r="X85" s="60"/>
      <c r="Y85" s="70" t="s">
        <v>125</v>
      </c>
      <c r="Z85" s="151" t="s">
        <v>385</v>
      </c>
      <c r="AA85" s="151" t="s">
        <v>386</v>
      </c>
      <c r="AB85" s="54" t="s">
        <v>253</v>
      </c>
      <c r="AC85" s="73">
        <v>1</v>
      </c>
      <c r="AD85" s="73">
        <v>0</v>
      </c>
      <c r="AE85" s="101" t="s">
        <v>254</v>
      </c>
      <c r="AF85" s="90" t="s">
        <v>272</v>
      </c>
    </row>
    <row r="86" s="21" customFormat="1" ht="21" customHeight="1" spans="1:32">
      <c r="A86" s="75">
        <v>83</v>
      </c>
      <c r="B86" s="92" t="s">
        <v>387</v>
      </c>
      <c r="C86" s="147"/>
      <c r="D86" s="76" t="s">
        <v>34</v>
      </c>
      <c r="E86" s="78" t="s">
        <v>388</v>
      </c>
      <c r="F86" s="76" t="s">
        <v>389</v>
      </c>
      <c r="G86" s="79">
        <v>1</v>
      </c>
      <c r="H86" s="80" t="s">
        <v>94</v>
      </c>
      <c r="I86" s="80" t="s">
        <v>38</v>
      </c>
      <c r="J86" s="80" t="s">
        <v>39</v>
      </c>
      <c r="K86" s="80" t="s">
        <v>249</v>
      </c>
      <c r="L86" s="107" t="s">
        <v>250</v>
      </c>
      <c r="M86" s="107" t="s">
        <v>42</v>
      </c>
      <c r="N86" s="152" t="s">
        <v>251</v>
      </c>
      <c r="O86" s="47" t="s">
        <v>44</v>
      </c>
      <c r="P86" s="84">
        <v>45366</v>
      </c>
      <c r="Q86" s="131" t="s">
        <v>128</v>
      </c>
      <c r="R86" s="85" t="s">
        <v>46</v>
      </c>
      <c r="S86" s="99" t="s">
        <v>47</v>
      </c>
      <c r="T86" s="87">
        <v>45361</v>
      </c>
      <c r="U86" s="87">
        <v>45378</v>
      </c>
      <c r="V86" s="87">
        <v>45388</v>
      </c>
      <c r="W86" s="87">
        <f t="shared" si="27"/>
        <v>45395</v>
      </c>
      <c r="X86" s="60"/>
      <c r="Y86" s="70" t="s">
        <v>125</v>
      </c>
      <c r="Z86" s="151" t="s">
        <v>389</v>
      </c>
      <c r="AA86" s="151" t="s">
        <v>390</v>
      </c>
      <c r="AB86" s="54" t="s">
        <v>253</v>
      </c>
      <c r="AC86" s="73">
        <v>1</v>
      </c>
      <c r="AD86" s="73">
        <v>0</v>
      </c>
      <c r="AE86" s="101" t="s">
        <v>254</v>
      </c>
      <c r="AF86" s="90" t="s">
        <v>272</v>
      </c>
    </row>
    <row r="87" s="21" customFormat="1" ht="21" customHeight="1" spans="1:32">
      <c r="A87" s="75">
        <v>84</v>
      </c>
      <c r="B87" s="76" t="s">
        <v>391</v>
      </c>
      <c r="C87" s="60"/>
      <c r="D87" s="76" t="s">
        <v>34</v>
      </c>
      <c r="E87" s="149" t="s">
        <v>392</v>
      </c>
      <c r="F87" s="106" t="s">
        <v>393</v>
      </c>
      <c r="G87" s="79">
        <v>1</v>
      </c>
      <c r="H87" s="80" t="s">
        <v>94</v>
      </c>
      <c r="I87" s="80" t="s">
        <v>38</v>
      </c>
      <c r="J87" s="80" t="s">
        <v>39</v>
      </c>
      <c r="K87" s="80" t="s">
        <v>249</v>
      </c>
      <c r="L87" s="107" t="s">
        <v>250</v>
      </c>
      <c r="M87" s="107" t="s">
        <v>42</v>
      </c>
      <c r="N87" s="152" t="s">
        <v>251</v>
      </c>
      <c r="O87" s="47" t="s">
        <v>44</v>
      </c>
      <c r="P87" s="84">
        <v>45366</v>
      </c>
      <c r="Q87" s="131" t="s">
        <v>128</v>
      </c>
      <c r="R87" s="99" t="s">
        <v>46</v>
      </c>
      <c r="S87" s="127" t="s">
        <v>147</v>
      </c>
      <c r="T87" s="87">
        <v>45394</v>
      </c>
      <c r="U87" s="87">
        <f t="shared" si="25"/>
        <v>45401</v>
      </c>
      <c r="V87" s="87">
        <v>45412</v>
      </c>
      <c r="W87" s="87">
        <f t="shared" si="27"/>
        <v>45419</v>
      </c>
      <c r="X87" s="60"/>
      <c r="Y87" s="315" t="s">
        <v>79</v>
      </c>
      <c r="Z87" s="151" t="s">
        <v>393</v>
      </c>
      <c r="AA87" s="151" t="s">
        <v>394</v>
      </c>
      <c r="AB87" s="89" t="s">
        <v>49</v>
      </c>
      <c r="AC87" s="73">
        <f t="shared" ref="AC87:AC107" si="32">G87</f>
        <v>1</v>
      </c>
      <c r="AD87" s="73">
        <f t="shared" ref="AD87:AD107" si="33">G87-AC87</f>
        <v>0</v>
      </c>
      <c r="AE87" s="101" t="s">
        <v>138</v>
      </c>
      <c r="AF87" s="90" t="s">
        <v>280</v>
      </c>
    </row>
    <row r="88" s="21" customFormat="1" ht="21" customHeight="1" spans="1:32">
      <c r="A88" s="75">
        <v>85</v>
      </c>
      <c r="B88" s="76" t="s">
        <v>395</v>
      </c>
      <c r="C88" s="60"/>
      <c r="D88" s="76" t="s">
        <v>34</v>
      </c>
      <c r="E88" s="149" t="s">
        <v>396</v>
      </c>
      <c r="F88" s="76" t="s">
        <v>397</v>
      </c>
      <c r="G88" s="79">
        <v>1</v>
      </c>
      <c r="H88" s="80" t="s">
        <v>94</v>
      </c>
      <c r="I88" s="80" t="s">
        <v>38</v>
      </c>
      <c r="J88" s="80" t="s">
        <v>39</v>
      </c>
      <c r="K88" s="80" t="s">
        <v>249</v>
      </c>
      <c r="L88" s="107" t="s">
        <v>250</v>
      </c>
      <c r="M88" s="107" t="s">
        <v>42</v>
      </c>
      <c r="N88" s="152" t="s">
        <v>251</v>
      </c>
      <c r="O88" s="47" t="s">
        <v>44</v>
      </c>
      <c r="P88" s="84">
        <v>45366</v>
      </c>
      <c r="Q88" s="131" t="s">
        <v>128</v>
      </c>
      <c r="R88" s="99" t="s">
        <v>46</v>
      </c>
      <c r="S88" s="127" t="s">
        <v>147</v>
      </c>
      <c r="T88" s="87">
        <v>45394</v>
      </c>
      <c r="U88" s="87">
        <f t="shared" si="25"/>
        <v>45401</v>
      </c>
      <c r="V88" s="87">
        <v>45412</v>
      </c>
      <c r="W88" s="87">
        <f t="shared" si="27"/>
        <v>45419</v>
      </c>
      <c r="X88" s="60"/>
      <c r="Y88" s="315" t="s">
        <v>79</v>
      </c>
      <c r="Z88" s="151" t="s">
        <v>397</v>
      </c>
      <c r="AA88" s="151" t="s">
        <v>398</v>
      </c>
      <c r="AB88" s="89" t="s">
        <v>49</v>
      </c>
      <c r="AC88" s="73">
        <f t="shared" si="32"/>
        <v>1</v>
      </c>
      <c r="AD88" s="73">
        <f t="shared" si="33"/>
        <v>0</v>
      </c>
      <c r="AE88" s="101" t="s">
        <v>138</v>
      </c>
      <c r="AF88" s="90" t="s">
        <v>280</v>
      </c>
    </row>
    <row r="89" s="21" customFormat="1" ht="21" customHeight="1" spans="1:32">
      <c r="A89" s="75">
        <v>86</v>
      </c>
      <c r="B89" s="76" t="s">
        <v>399</v>
      </c>
      <c r="C89" s="60"/>
      <c r="D89" s="76" t="s">
        <v>34</v>
      </c>
      <c r="E89" s="78" t="s">
        <v>400</v>
      </c>
      <c r="F89" s="106" t="s">
        <v>401</v>
      </c>
      <c r="G89" s="79">
        <v>1</v>
      </c>
      <c r="H89" s="80" t="s">
        <v>94</v>
      </c>
      <c r="I89" s="80" t="s">
        <v>38</v>
      </c>
      <c r="J89" s="80" t="s">
        <v>39</v>
      </c>
      <c r="K89" s="80" t="s">
        <v>249</v>
      </c>
      <c r="L89" s="107" t="s">
        <v>250</v>
      </c>
      <c r="M89" s="107" t="s">
        <v>42</v>
      </c>
      <c r="N89" s="152" t="s">
        <v>251</v>
      </c>
      <c r="O89" s="47" t="s">
        <v>44</v>
      </c>
      <c r="P89" s="84">
        <v>45366</v>
      </c>
      <c r="Q89" s="131" t="s">
        <v>128</v>
      </c>
      <c r="R89" s="85" t="s">
        <v>46</v>
      </c>
      <c r="S89" s="99" t="s">
        <v>47</v>
      </c>
      <c r="T89" s="87">
        <v>45361</v>
      </c>
      <c r="U89" s="87">
        <v>45378</v>
      </c>
      <c r="V89" s="87">
        <v>45388</v>
      </c>
      <c r="W89" s="87">
        <f t="shared" si="27"/>
        <v>45395</v>
      </c>
      <c r="X89" s="60"/>
      <c r="Y89" s="70" t="s">
        <v>125</v>
      </c>
      <c r="Z89" s="151" t="s">
        <v>402</v>
      </c>
      <c r="AA89" s="151" t="s">
        <v>403</v>
      </c>
      <c r="AB89" s="54" t="s">
        <v>253</v>
      </c>
      <c r="AC89" s="73">
        <v>1</v>
      </c>
      <c r="AD89" s="73">
        <v>0</v>
      </c>
      <c r="AE89" s="101" t="s">
        <v>254</v>
      </c>
      <c r="AF89" s="90" t="s">
        <v>272</v>
      </c>
    </row>
    <row r="90" s="21" customFormat="1" ht="21" customHeight="1" spans="1:32">
      <c r="A90" s="75">
        <v>87</v>
      </c>
      <c r="B90" s="76" t="s">
        <v>404</v>
      </c>
      <c r="C90" s="60"/>
      <c r="D90" s="76" t="s">
        <v>34</v>
      </c>
      <c r="E90" s="78" t="s">
        <v>405</v>
      </c>
      <c r="F90" s="106" t="s">
        <v>401</v>
      </c>
      <c r="G90" s="79">
        <v>1</v>
      </c>
      <c r="H90" s="80" t="s">
        <v>94</v>
      </c>
      <c r="I90" s="80" t="s">
        <v>38</v>
      </c>
      <c r="J90" s="80" t="s">
        <v>39</v>
      </c>
      <c r="K90" s="80" t="s">
        <v>249</v>
      </c>
      <c r="L90" s="107" t="s">
        <v>250</v>
      </c>
      <c r="M90" s="107" t="s">
        <v>42</v>
      </c>
      <c r="N90" s="152" t="s">
        <v>251</v>
      </c>
      <c r="O90" s="47" t="s">
        <v>44</v>
      </c>
      <c r="P90" s="84">
        <v>45366</v>
      </c>
      <c r="Q90" s="131" t="s">
        <v>128</v>
      </c>
      <c r="R90" s="85" t="s">
        <v>46</v>
      </c>
      <c r="S90" s="99" t="s">
        <v>47</v>
      </c>
      <c r="T90" s="87">
        <v>45361</v>
      </c>
      <c r="U90" s="87">
        <v>45378</v>
      </c>
      <c r="V90" s="87">
        <v>45388</v>
      </c>
      <c r="W90" s="87">
        <f t="shared" si="27"/>
        <v>45395</v>
      </c>
      <c r="X90" s="60"/>
      <c r="Y90" s="70" t="s">
        <v>125</v>
      </c>
      <c r="Z90" s="151" t="s">
        <v>402</v>
      </c>
      <c r="AA90" s="151" t="s">
        <v>406</v>
      </c>
      <c r="AB90" s="54" t="s">
        <v>253</v>
      </c>
      <c r="AC90" s="73">
        <v>1</v>
      </c>
      <c r="AD90" s="73">
        <v>0</v>
      </c>
      <c r="AE90" s="101" t="s">
        <v>254</v>
      </c>
      <c r="AF90" s="90" t="s">
        <v>272</v>
      </c>
    </row>
    <row r="91" s="21" customFormat="1" ht="21" customHeight="1" spans="1:32">
      <c r="A91" s="75">
        <v>88</v>
      </c>
      <c r="B91" s="76" t="s">
        <v>407</v>
      </c>
      <c r="C91" s="60"/>
      <c r="D91" s="76" t="s">
        <v>34</v>
      </c>
      <c r="E91" s="149" t="s">
        <v>408</v>
      </c>
      <c r="F91" s="106" t="s">
        <v>401</v>
      </c>
      <c r="G91" s="79">
        <v>1</v>
      </c>
      <c r="H91" s="80" t="s">
        <v>94</v>
      </c>
      <c r="I91" s="80" t="s">
        <v>38</v>
      </c>
      <c r="J91" s="80" t="s">
        <v>39</v>
      </c>
      <c r="K91" s="80" t="s">
        <v>249</v>
      </c>
      <c r="L91" s="107" t="s">
        <v>250</v>
      </c>
      <c r="M91" s="107" t="s">
        <v>42</v>
      </c>
      <c r="N91" s="152" t="s">
        <v>251</v>
      </c>
      <c r="O91" s="47" t="s">
        <v>44</v>
      </c>
      <c r="P91" s="84">
        <v>45366</v>
      </c>
      <c r="Q91" s="131" t="s">
        <v>128</v>
      </c>
      <c r="R91" s="99" t="s">
        <v>46</v>
      </c>
      <c r="S91" s="127" t="s">
        <v>147</v>
      </c>
      <c r="T91" s="87">
        <v>45394</v>
      </c>
      <c r="U91" s="87">
        <f t="shared" si="25"/>
        <v>45401</v>
      </c>
      <c r="V91" s="87">
        <v>45412</v>
      </c>
      <c r="W91" s="87">
        <f t="shared" si="27"/>
        <v>45419</v>
      </c>
      <c r="X91" s="60"/>
      <c r="Y91" s="315" t="s">
        <v>79</v>
      </c>
      <c r="Z91" s="151" t="s">
        <v>409</v>
      </c>
      <c r="AA91" s="151" t="s">
        <v>410</v>
      </c>
      <c r="AB91" s="89" t="s">
        <v>49</v>
      </c>
      <c r="AC91" s="73">
        <f t="shared" si="32"/>
        <v>1</v>
      </c>
      <c r="AD91" s="73">
        <f t="shared" si="33"/>
        <v>0</v>
      </c>
      <c r="AE91" s="101" t="s">
        <v>138</v>
      </c>
      <c r="AF91" s="90" t="s">
        <v>280</v>
      </c>
    </row>
    <row r="92" s="21" customFormat="1" ht="21" customHeight="1" spans="1:32">
      <c r="A92" s="75">
        <v>89</v>
      </c>
      <c r="B92" s="76" t="s">
        <v>411</v>
      </c>
      <c r="C92" s="60"/>
      <c r="D92" s="76" t="s">
        <v>34</v>
      </c>
      <c r="E92" s="149" t="s">
        <v>412</v>
      </c>
      <c r="F92" s="106" t="s">
        <v>401</v>
      </c>
      <c r="G92" s="79">
        <v>1</v>
      </c>
      <c r="H92" s="80" t="s">
        <v>94</v>
      </c>
      <c r="I92" s="80" t="s">
        <v>38</v>
      </c>
      <c r="J92" s="80" t="s">
        <v>39</v>
      </c>
      <c r="K92" s="80" t="s">
        <v>249</v>
      </c>
      <c r="L92" s="107" t="s">
        <v>250</v>
      </c>
      <c r="M92" s="107" t="s">
        <v>42</v>
      </c>
      <c r="N92" s="152" t="s">
        <v>251</v>
      </c>
      <c r="O92" s="47" t="s">
        <v>44</v>
      </c>
      <c r="P92" s="84">
        <v>45366</v>
      </c>
      <c r="Q92" s="131" t="s">
        <v>128</v>
      </c>
      <c r="R92" s="99" t="s">
        <v>46</v>
      </c>
      <c r="S92" s="127" t="s">
        <v>147</v>
      </c>
      <c r="T92" s="87">
        <v>45394</v>
      </c>
      <c r="U92" s="87">
        <f t="shared" si="25"/>
        <v>45401</v>
      </c>
      <c r="V92" s="87">
        <v>45412</v>
      </c>
      <c r="W92" s="87">
        <f t="shared" si="27"/>
        <v>45419</v>
      </c>
      <c r="X92" s="60"/>
      <c r="Y92" s="315" t="s">
        <v>79</v>
      </c>
      <c r="Z92" s="151" t="s">
        <v>409</v>
      </c>
      <c r="AA92" s="151" t="s">
        <v>413</v>
      </c>
      <c r="AB92" s="89" t="s">
        <v>49</v>
      </c>
      <c r="AC92" s="73">
        <f t="shared" si="32"/>
        <v>1</v>
      </c>
      <c r="AD92" s="73">
        <f t="shared" si="33"/>
        <v>0</v>
      </c>
      <c r="AE92" s="101" t="s">
        <v>138</v>
      </c>
      <c r="AF92" s="90" t="s">
        <v>280</v>
      </c>
    </row>
    <row r="93" s="21" customFormat="1" ht="15" customHeight="1" spans="1:32">
      <c r="A93" s="75">
        <v>90</v>
      </c>
      <c r="B93" s="76" t="s">
        <v>414</v>
      </c>
      <c r="C93" s="60"/>
      <c r="D93" s="76" t="s">
        <v>34</v>
      </c>
      <c r="E93" s="149" t="s">
        <v>415</v>
      </c>
      <c r="F93" s="76" t="s">
        <v>416</v>
      </c>
      <c r="G93" s="79">
        <v>1</v>
      </c>
      <c r="H93" s="80" t="s">
        <v>94</v>
      </c>
      <c r="I93" s="80" t="s">
        <v>38</v>
      </c>
      <c r="J93" s="80" t="s">
        <v>39</v>
      </c>
      <c r="K93" s="80" t="s">
        <v>249</v>
      </c>
      <c r="L93" s="94" t="s">
        <v>250</v>
      </c>
      <c r="M93" s="94" t="s">
        <v>42</v>
      </c>
      <c r="N93" s="152" t="s">
        <v>251</v>
      </c>
      <c r="O93" s="47" t="s">
        <v>44</v>
      </c>
      <c r="P93" s="84">
        <v>45412</v>
      </c>
      <c r="Q93" s="85" t="s">
        <v>128</v>
      </c>
      <c r="R93" s="99" t="s">
        <v>46</v>
      </c>
      <c r="S93" s="127" t="s">
        <v>147</v>
      </c>
      <c r="T93" s="87">
        <v>45394</v>
      </c>
      <c r="U93" s="87">
        <f t="shared" si="25"/>
        <v>45401</v>
      </c>
      <c r="V93" s="87">
        <v>45412</v>
      </c>
      <c r="W93" s="87">
        <f t="shared" si="27"/>
        <v>45419</v>
      </c>
      <c r="X93" s="60"/>
      <c r="Y93" s="315" t="s">
        <v>79</v>
      </c>
      <c r="Z93" s="151" t="s">
        <v>417</v>
      </c>
      <c r="AA93" s="151" t="s">
        <v>418</v>
      </c>
      <c r="AB93" s="89" t="s">
        <v>49</v>
      </c>
      <c r="AC93" s="73">
        <f t="shared" si="32"/>
        <v>1</v>
      </c>
      <c r="AD93" s="73">
        <f t="shared" si="33"/>
        <v>0</v>
      </c>
      <c r="AE93" s="101" t="s">
        <v>138</v>
      </c>
      <c r="AF93" s="90" t="s">
        <v>280</v>
      </c>
    </row>
    <row r="94" s="21" customFormat="1" ht="15" customHeight="1" spans="1:32">
      <c r="A94" s="75">
        <v>91</v>
      </c>
      <c r="B94" s="76" t="s">
        <v>419</v>
      </c>
      <c r="C94" s="60"/>
      <c r="D94" s="76" t="s">
        <v>34</v>
      </c>
      <c r="E94" s="78" t="s">
        <v>420</v>
      </c>
      <c r="F94" s="106" t="s">
        <v>421</v>
      </c>
      <c r="G94" s="79">
        <v>2</v>
      </c>
      <c r="H94" s="80" t="s">
        <v>94</v>
      </c>
      <c r="I94" s="80" t="s">
        <v>38</v>
      </c>
      <c r="J94" s="80" t="s">
        <v>39</v>
      </c>
      <c r="K94" s="80" t="s">
        <v>249</v>
      </c>
      <c r="L94" s="107" t="s">
        <v>250</v>
      </c>
      <c r="M94" s="107" t="s">
        <v>42</v>
      </c>
      <c r="N94" s="152" t="s">
        <v>251</v>
      </c>
      <c r="O94" s="47" t="s">
        <v>44</v>
      </c>
      <c r="P94" s="84">
        <v>45412</v>
      </c>
      <c r="Q94" s="131" t="s">
        <v>128</v>
      </c>
      <c r="R94" s="99" t="s">
        <v>46</v>
      </c>
      <c r="S94" s="127" t="s">
        <v>147</v>
      </c>
      <c r="T94" s="87">
        <v>45394</v>
      </c>
      <c r="U94" s="87">
        <f t="shared" si="25"/>
        <v>45401</v>
      </c>
      <c r="V94" s="87">
        <v>45412</v>
      </c>
      <c r="W94" s="87">
        <f t="shared" si="27"/>
        <v>45419</v>
      </c>
      <c r="X94" s="60"/>
      <c r="Y94" s="315" t="s">
        <v>79</v>
      </c>
      <c r="Z94" s="151" t="s">
        <v>422</v>
      </c>
      <c r="AA94" s="151" t="s">
        <v>423</v>
      </c>
      <c r="AB94" s="89" t="s">
        <v>49</v>
      </c>
      <c r="AC94" s="73">
        <f t="shared" si="32"/>
        <v>2</v>
      </c>
      <c r="AD94" s="73">
        <f t="shared" si="33"/>
        <v>0</v>
      </c>
      <c r="AE94" s="101" t="s">
        <v>138</v>
      </c>
      <c r="AF94" s="90" t="s">
        <v>280</v>
      </c>
    </row>
    <row r="95" s="21" customFormat="1" ht="15" customHeight="1" spans="1:32">
      <c r="A95" s="75">
        <v>92</v>
      </c>
      <c r="B95" s="76" t="s">
        <v>424</v>
      </c>
      <c r="C95" s="60"/>
      <c r="D95" s="76" t="s">
        <v>34</v>
      </c>
      <c r="E95" s="149" t="s">
        <v>425</v>
      </c>
      <c r="F95" s="106" t="s">
        <v>426</v>
      </c>
      <c r="G95" s="79">
        <v>2</v>
      </c>
      <c r="H95" s="80" t="s">
        <v>94</v>
      </c>
      <c r="I95" s="80" t="s">
        <v>38</v>
      </c>
      <c r="J95" s="80" t="s">
        <v>39</v>
      </c>
      <c r="K95" s="80" t="s">
        <v>249</v>
      </c>
      <c r="L95" s="107" t="s">
        <v>250</v>
      </c>
      <c r="M95" s="107" t="s">
        <v>42</v>
      </c>
      <c r="N95" s="152" t="s">
        <v>251</v>
      </c>
      <c r="O95" s="47" t="s">
        <v>44</v>
      </c>
      <c r="P95" s="84">
        <v>45412</v>
      </c>
      <c r="Q95" s="131" t="s">
        <v>128</v>
      </c>
      <c r="R95" s="99" t="s">
        <v>46</v>
      </c>
      <c r="S95" s="127" t="s">
        <v>147</v>
      </c>
      <c r="T95" s="87">
        <v>45394</v>
      </c>
      <c r="U95" s="87">
        <f t="shared" si="25"/>
        <v>45401</v>
      </c>
      <c r="V95" s="87">
        <v>45412</v>
      </c>
      <c r="W95" s="87">
        <f t="shared" si="27"/>
        <v>45419</v>
      </c>
      <c r="X95" s="60"/>
      <c r="Y95" s="315" t="s">
        <v>79</v>
      </c>
      <c r="Z95" s="151" t="s">
        <v>427</v>
      </c>
      <c r="AA95" s="151" t="s">
        <v>428</v>
      </c>
      <c r="AB95" s="89" t="s">
        <v>49</v>
      </c>
      <c r="AC95" s="73">
        <f t="shared" si="32"/>
        <v>2</v>
      </c>
      <c r="AD95" s="73">
        <f t="shared" si="33"/>
        <v>0</v>
      </c>
      <c r="AE95" s="101" t="s">
        <v>138</v>
      </c>
      <c r="AF95" s="90" t="s">
        <v>280</v>
      </c>
    </row>
    <row r="96" s="21" customFormat="1" ht="15" customHeight="1" spans="1:32">
      <c r="A96" s="75">
        <v>93</v>
      </c>
      <c r="B96" s="76" t="s">
        <v>429</v>
      </c>
      <c r="C96" s="60"/>
      <c r="D96" s="76" t="s">
        <v>34</v>
      </c>
      <c r="E96" s="76" t="s">
        <v>430</v>
      </c>
      <c r="F96" s="76" t="s">
        <v>431</v>
      </c>
      <c r="G96" s="79">
        <v>2</v>
      </c>
      <c r="H96" s="80" t="s">
        <v>94</v>
      </c>
      <c r="I96" s="80" t="s">
        <v>38</v>
      </c>
      <c r="J96" s="80" t="s">
        <v>39</v>
      </c>
      <c r="K96" s="80" t="s">
        <v>249</v>
      </c>
      <c r="L96" s="94" t="s">
        <v>250</v>
      </c>
      <c r="M96" s="94" t="s">
        <v>42</v>
      </c>
      <c r="N96" s="152" t="s">
        <v>251</v>
      </c>
      <c r="O96" s="47" t="s">
        <v>44</v>
      </c>
      <c r="P96" s="84">
        <v>45412</v>
      </c>
      <c r="Q96" s="85" t="s">
        <v>128</v>
      </c>
      <c r="R96" s="99" t="s">
        <v>46</v>
      </c>
      <c r="S96" s="127" t="s">
        <v>147</v>
      </c>
      <c r="T96" s="87">
        <v>45394</v>
      </c>
      <c r="U96" s="87">
        <f t="shared" si="25"/>
        <v>45401</v>
      </c>
      <c r="V96" s="87">
        <v>45412</v>
      </c>
      <c r="W96" s="87">
        <f t="shared" si="27"/>
        <v>45419</v>
      </c>
      <c r="X96" s="60"/>
      <c r="Y96" s="315" t="s">
        <v>79</v>
      </c>
      <c r="Z96" s="151" t="s">
        <v>432</v>
      </c>
      <c r="AA96" s="151" t="s">
        <v>433</v>
      </c>
      <c r="AB96" s="89" t="s">
        <v>49</v>
      </c>
      <c r="AC96" s="73">
        <f t="shared" si="32"/>
        <v>2</v>
      </c>
      <c r="AD96" s="73">
        <f t="shared" si="33"/>
        <v>0</v>
      </c>
      <c r="AE96" s="101" t="s">
        <v>138</v>
      </c>
      <c r="AF96" s="90" t="s">
        <v>280</v>
      </c>
    </row>
    <row r="97" s="21" customFormat="1" ht="15" customHeight="1" spans="1:32">
      <c r="A97" s="75">
        <v>94</v>
      </c>
      <c r="B97" s="76" t="s">
        <v>434</v>
      </c>
      <c r="C97" s="60"/>
      <c r="D97" s="76" t="s">
        <v>34</v>
      </c>
      <c r="E97" s="150" t="s">
        <v>435</v>
      </c>
      <c r="F97" s="106" t="s">
        <v>436</v>
      </c>
      <c r="G97" s="79">
        <v>2</v>
      </c>
      <c r="H97" s="80" t="s">
        <v>94</v>
      </c>
      <c r="I97" s="80" t="s">
        <v>38</v>
      </c>
      <c r="J97" s="80" t="s">
        <v>39</v>
      </c>
      <c r="K97" s="80" t="s">
        <v>249</v>
      </c>
      <c r="L97" s="107" t="s">
        <v>250</v>
      </c>
      <c r="M97" s="107" t="s">
        <v>42</v>
      </c>
      <c r="N97" s="152" t="s">
        <v>251</v>
      </c>
      <c r="O97" s="47" t="s">
        <v>44</v>
      </c>
      <c r="P97" s="84">
        <v>45412</v>
      </c>
      <c r="Q97" s="131" t="s">
        <v>128</v>
      </c>
      <c r="R97" s="99" t="s">
        <v>46</v>
      </c>
      <c r="S97" s="127" t="s">
        <v>147</v>
      </c>
      <c r="T97" s="87">
        <v>45394</v>
      </c>
      <c r="U97" s="87">
        <f t="shared" si="25"/>
        <v>45401</v>
      </c>
      <c r="V97" s="87">
        <v>45412</v>
      </c>
      <c r="W97" s="87">
        <f t="shared" si="27"/>
        <v>45419</v>
      </c>
      <c r="X97" s="60"/>
      <c r="Y97" s="315" t="s">
        <v>79</v>
      </c>
      <c r="Z97" s="151" t="s">
        <v>437</v>
      </c>
      <c r="AA97" s="151" t="s">
        <v>438</v>
      </c>
      <c r="AB97" s="89" t="s">
        <v>49</v>
      </c>
      <c r="AC97" s="73">
        <f t="shared" si="32"/>
        <v>2</v>
      </c>
      <c r="AD97" s="73">
        <f t="shared" si="33"/>
        <v>0</v>
      </c>
      <c r="AE97" s="101" t="s">
        <v>138</v>
      </c>
      <c r="AF97" s="90" t="s">
        <v>280</v>
      </c>
    </row>
    <row r="98" s="21" customFormat="1" ht="15" customHeight="1" spans="1:32">
      <c r="A98" s="75">
        <v>95</v>
      </c>
      <c r="B98" s="76" t="s">
        <v>439</v>
      </c>
      <c r="C98" s="60"/>
      <c r="D98" s="76" t="s">
        <v>34</v>
      </c>
      <c r="E98" s="149" t="s">
        <v>440</v>
      </c>
      <c r="F98" s="106" t="s">
        <v>441</v>
      </c>
      <c r="G98" s="79">
        <v>2</v>
      </c>
      <c r="H98" s="80" t="s">
        <v>94</v>
      </c>
      <c r="I98" s="80" t="s">
        <v>38</v>
      </c>
      <c r="J98" s="80" t="s">
        <v>39</v>
      </c>
      <c r="K98" s="80" t="s">
        <v>249</v>
      </c>
      <c r="L98" s="107" t="s">
        <v>250</v>
      </c>
      <c r="M98" s="107" t="s">
        <v>42</v>
      </c>
      <c r="N98" s="152" t="s">
        <v>251</v>
      </c>
      <c r="O98" s="47" t="s">
        <v>44</v>
      </c>
      <c r="P98" s="84">
        <v>45412</v>
      </c>
      <c r="Q98" s="131" t="s">
        <v>128</v>
      </c>
      <c r="R98" s="99" t="s">
        <v>46</v>
      </c>
      <c r="S98" s="127" t="s">
        <v>147</v>
      </c>
      <c r="T98" s="87">
        <v>45394</v>
      </c>
      <c r="U98" s="87">
        <f t="shared" si="25"/>
        <v>45401</v>
      </c>
      <c r="V98" s="87">
        <v>45412</v>
      </c>
      <c r="W98" s="87">
        <f t="shared" si="27"/>
        <v>45419</v>
      </c>
      <c r="X98" s="60"/>
      <c r="Y98" s="315" t="s">
        <v>79</v>
      </c>
      <c r="Z98" s="151" t="s">
        <v>442</v>
      </c>
      <c r="AA98" s="151" t="s">
        <v>443</v>
      </c>
      <c r="AB98" s="89" t="s">
        <v>49</v>
      </c>
      <c r="AC98" s="73">
        <f t="shared" si="32"/>
        <v>2</v>
      </c>
      <c r="AD98" s="73">
        <f t="shared" si="33"/>
        <v>0</v>
      </c>
      <c r="AE98" s="101" t="s">
        <v>138</v>
      </c>
      <c r="AF98" s="90" t="s">
        <v>280</v>
      </c>
    </row>
    <row r="99" s="21" customFormat="1" ht="15" customHeight="1" spans="1:32">
      <c r="A99" s="75">
        <v>96</v>
      </c>
      <c r="B99" s="76" t="s">
        <v>444</v>
      </c>
      <c r="C99" s="60"/>
      <c r="D99" s="76" t="s">
        <v>34</v>
      </c>
      <c r="E99" s="78" t="s">
        <v>445</v>
      </c>
      <c r="F99" s="106" t="s">
        <v>446</v>
      </c>
      <c r="G99" s="79">
        <v>2</v>
      </c>
      <c r="H99" s="80" t="s">
        <v>94</v>
      </c>
      <c r="I99" s="80" t="s">
        <v>38</v>
      </c>
      <c r="J99" s="80" t="s">
        <v>39</v>
      </c>
      <c r="K99" s="80" t="s">
        <v>249</v>
      </c>
      <c r="L99" s="107" t="s">
        <v>250</v>
      </c>
      <c r="M99" s="107" t="s">
        <v>42</v>
      </c>
      <c r="N99" s="152" t="s">
        <v>251</v>
      </c>
      <c r="O99" s="47" t="s">
        <v>44</v>
      </c>
      <c r="P99" s="84">
        <v>45412</v>
      </c>
      <c r="Q99" s="131" t="s">
        <v>128</v>
      </c>
      <c r="R99" s="99" t="s">
        <v>46</v>
      </c>
      <c r="S99" s="127" t="s">
        <v>147</v>
      </c>
      <c r="T99" s="87">
        <v>45394</v>
      </c>
      <c r="U99" s="87">
        <f t="shared" si="25"/>
        <v>45401</v>
      </c>
      <c r="V99" s="87">
        <v>45412</v>
      </c>
      <c r="W99" s="87">
        <f t="shared" si="27"/>
        <v>45419</v>
      </c>
      <c r="X99" s="60"/>
      <c r="Y99" s="315" t="s">
        <v>79</v>
      </c>
      <c r="Z99" s="151" t="s">
        <v>447</v>
      </c>
      <c r="AA99" s="151" t="s">
        <v>448</v>
      </c>
      <c r="AB99" s="89" t="s">
        <v>49</v>
      </c>
      <c r="AC99" s="73">
        <f t="shared" si="32"/>
        <v>2</v>
      </c>
      <c r="AD99" s="73">
        <f t="shared" si="33"/>
        <v>0</v>
      </c>
      <c r="AE99" s="101" t="s">
        <v>138</v>
      </c>
      <c r="AF99" s="90" t="s">
        <v>280</v>
      </c>
    </row>
    <row r="100" s="21" customFormat="1" ht="15" customHeight="1" spans="1:32">
      <c r="A100" s="75">
        <v>97</v>
      </c>
      <c r="B100" s="76" t="s">
        <v>449</v>
      </c>
      <c r="C100" s="60"/>
      <c r="D100" s="76" t="s">
        <v>34</v>
      </c>
      <c r="E100" s="76" t="s">
        <v>450</v>
      </c>
      <c r="F100" s="106" t="s">
        <v>451</v>
      </c>
      <c r="G100" s="79">
        <v>2</v>
      </c>
      <c r="H100" s="80" t="s">
        <v>94</v>
      </c>
      <c r="I100" s="80" t="s">
        <v>38</v>
      </c>
      <c r="J100" s="80" t="s">
        <v>39</v>
      </c>
      <c r="K100" s="80" t="s">
        <v>249</v>
      </c>
      <c r="L100" s="107" t="s">
        <v>250</v>
      </c>
      <c r="M100" s="107" t="s">
        <v>42</v>
      </c>
      <c r="N100" s="152" t="s">
        <v>251</v>
      </c>
      <c r="O100" s="47" t="s">
        <v>44</v>
      </c>
      <c r="P100" s="84">
        <v>45412</v>
      </c>
      <c r="Q100" s="131" t="s">
        <v>128</v>
      </c>
      <c r="R100" s="99" t="s">
        <v>46</v>
      </c>
      <c r="S100" s="127" t="s">
        <v>147</v>
      </c>
      <c r="T100" s="87">
        <v>45394</v>
      </c>
      <c r="U100" s="87">
        <f t="shared" si="25"/>
        <v>45401</v>
      </c>
      <c r="V100" s="87">
        <v>45412</v>
      </c>
      <c r="W100" s="87">
        <f t="shared" si="27"/>
        <v>45419</v>
      </c>
      <c r="X100" s="60"/>
      <c r="Y100" s="315" t="s">
        <v>79</v>
      </c>
      <c r="Z100" s="151" t="s">
        <v>451</v>
      </c>
      <c r="AA100" s="151" t="s">
        <v>452</v>
      </c>
      <c r="AB100" s="89" t="s">
        <v>49</v>
      </c>
      <c r="AC100" s="73">
        <f t="shared" si="32"/>
        <v>2</v>
      </c>
      <c r="AD100" s="73">
        <f t="shared" si="33"/>
        <v>0</v>
      </c>
      <c r="AE100" s="101" t="s">
        <v>138</v>
      </c>
      <c r="AF100" s="90" t="s">
        <v>280</v>
      </c>
    </row>
    <row r="101" s="21" customFormat="1" ht="15" customHeight="1" spans="1:32">
      <c r="A101" s="75">
        <v>98</v>
      </c>
      <c r="B101" s="76" t="s">
        <v>453</v>
      </c>
      <c r="C101" s="60"/>
      <c r="D101" s="76" t="s">
        <v>34</v>
      </c>
      <c r="E101" s="78" t="s">
        <v>454</v>
      </c>
      <c r="F101" s="106" t="s">
        <v>455</v>
      </c>
      <c r="G101" s="79">
        <v>2</v>
      </c>
      <c r="H101" s="80" t="s">
        <v>94</v>
      </c>
      <c r="I101" s="80" t="s">
        <v>38</v>
      </c>
      <c r="J101" s="80" t="s">
        <v>39</v>
      </c>
      <c r="K101" s="80" t="s">
        <v>249</v>
      </c>
      <c r="L101" s="107" t="s">
        <v>250</v>
      </c>
      <c r="M101" s="107" t="s">
        <v>42</v>
      </c>
      <c r="N101" s="152" t="s">
        <v>251</v>
      </c>
      <c r="O101" s="47" t="s">
        <v>44</v>
      </c>
      <c r="P101" s="84">
        <v>45412</v>
      </c>
      <c r="Q101" s="131" t="s">
        <v>128</v>
      </c>
      <c r="R101" s="99" t="s">
        <v>46</v>
      </c>
      <c r="S101" s="127" t="s">
        <v>147</v>
      </c>
      <c r="T101" s="87">
        <v>45394</v>
      </c>
      <c r="U101" s="87">
        <f t="shared" si="25"/>
        <v>45401</v>
      </c>
      <c r="V101" s="87">
        <v>45412</v>
      </c>
      <c r="W101" s="87">
        <f t="shared" si="27"/>
        <v>45419</v>
      </c>
      <c r="X101" s="60"/>
      <c r="Y101" s="315" t="s">
        <v>79</v>
      </c>
      <c r="Z101" s="151" t="s">
        <v>455</v>
      </c>
      <c r="AA101" s="151" t="s">
        <v>456</v>
      </c>
      <c r="AB101" s="89" t="s">
        <v>49</v>
      </c>
      <c r="AC101" s="73">
        <f t="shared" si="32"/>
        <v>2</v>
      </c>
      <c r="AD101" s="73">
        <f t="shared" si="33"/>
        <v>0</v>
      </c>
      <c r="AE101" s="101" t="s">
        <v>138</v>
      </c>
      <c r="AF101" s="90" t="s">
        <v>280</v>
      </c>
    </row>
    <row r="102" s="21" customFormat="1" ht="15" customHeight="1" spans="1:32">
      <c r="A102" s="75">
        <v>99</v>
      </c>
      <c r="B102" s="76" t="s">
        <v>457</v>
      </c>
      <c r="C102" s="60"/>
      <c r="D102" s="76" t="s">
        <v>34</v>
      </c>
      <c r="E102" s="78" t="s">
        <v>458</v>
      </c>
      <c r="F102" s="76" t="s">
        <v>459</v>
      </c>
      <c r="G102" s="79">
        <v>1</v>
      </c>
      <c r="H102" s="80" t="s">
        <v>94</v>
      </c>
      <c r="I102" s="80" t="s">
        <v>38</v>
      </c>
      <c r="J102" s="80" t="s">
        <v>39</v>
      </c>
      <c r="K102" s="80" t="s">
        <v>249</v>
      </c>
      <c r="L102" s="107" t="s">
        <v>250</v>
      </c>
      <c r="M102" s="107" t="s">
        <v>42</v>
      </c>
      <c r="N102" s="152" t="s">
        <v>251</v>
      </c>
      <c r="O102" s="47" t="s">
        <v>44</v>
      </c>
      <c r="P102" s="84">
        <v>45412</v>
      </c>
      <c r="Q102" s="131" t="s">
        <v>128</v>
      </c>
      <c r="R102" s="99" t="s">
        <v>46</v>
      </c>
      <c r="S102" s="127" t="s">
        <v>147</v>
      </c>
      <c r="T102" s="87">
        <v>45394</v>
      </c>
      <c r="U102" s="87">
        <f t="shared" si="25"/>
        <v>45401</v>
      </c>
      <c r="V102" s="87">
        <v>45412</v>
      </c>
      <c r="W102" s="87">
        <f t="shared" si="27"/>
        <v>45419</v>
      </c>
      <c r="X102" s="60"/>
      <c r="Y102" s="315" t="s">
        <v>79</v>
      </c>
      <c r="Z102" s="151" t="s">
        <v>459</v>
      </c>
      <c r="AA102" s="151" t="s">
        <v>460</v>
      </c>
      <c r="AB102" s="89" t="s">
        <v>49</v>
      </c>
      <c r="AC102" s="73">
        <f t="shared" si="32"/>
        <v>1</v>
      </c>
      <c r="AD102" s="73">
        <f t="shared" si="33"/>
        <v>0</v>
      </c>
      <c r="AE102" s="101" t="s">
        <v>138</v>
      </c>
      <c r="AF102" s="90" t="s">
        <v>280</v>
      </c>
    </row>
    <row r="103" s="21" customFormat="1" ht="15" customHeight="1" spans="1:32">
      <c r="A103" s="75">
        <v>100</v>
      </c>
      <c r="B103" s="76" t="s">
        <v>461</v>
      </c>
      <c r="C103" s="60"/>
      <c r="D103" s="76" t="s">
        <v>34</v>
      </c>
      <c r="E103" s="149" t="s">
        <v>462</v>
      </c>
      <c r="F103" s="76" t="s">
        <v>463</v>
      </c>
      <c r="G103" s="79">
        <v>1</v>
      </c>
      <c r="H103" s="80" t="s">
        <v>94</v>
      </c>
      <c r="I103" s="80" t="s">
        <v>38</v>
      </c>
      <c r="J103" s="80" t="s">
        <v>39</v>
      </c>
      <c r="K103" s="80" t="s">
        <v>249</v>
      </c>
      <c r="L103" s="107" t="s">
        <v>250</v>
      </c>
      <c r="M103" s="107" t="s">
        <v>42</v>
      </c>
      <c r="N103" s="152" t="s">
        <v>251</v>
      </c>
      <c r="O103" s="47" t="s">
        <v>44</v>
      </c>
      <c r="P103" s="84">
        <v>45412</v>
      </c>
      <c r="Q103" s="131" t="s">
        <v>128</v>
      </c>
      <c r="R103" s="99" t="s">
        <v>46</v>
      </c>
      <c r="S103" s="127" t="s">
        <v>147</v>
      </c>
      <c r="T103" s="87">
        <v>45394</v>
      </c>
      <c r="U103" s="87">
        <f t="shared" si="25"/>
        <v>45401</v>
      </c>
      <c r="V103" s="87">
        <v>45412</v>
      </c>
      <c r="W103" s="87">
        <f t="shared" si="27"/>
        <v>45419</v>
      </c>
      <c r="X103" s="60"/>
      <c r="Y103" s="315" t="s">
        <v>79</v>
      </c>
      <c r="Z103" s="151" t="s">
        <v>463</v>
      </c>
      <c r="AA103" s="151" t="s">
        <v>464</v>
      </c>
      <c r="AB103" s="89" t="s">
        <v>49</v>
      </c>
      <c r="AC103" s="73">
        <f t="shared" si="32"/>
        <v>1</v>
      </c>
      <c r="AD103" s="73">
        <f t="shared" si="33"/>
        <v>0</v>
      </c>
      <c r="AE103" s="101" t="s">
        <v>138</v>
      </c>
      <c r="AF103" s="90" t="s">
        <v>280</v>
      </c>
    </row>
    <row r="104" s="21" customFormat="1" ht="15" customHeight="1" spans="1:32">
      <c r="A104" s="75">
        <v>101</v>
      </c>
      <c r="B104" s="76" t="s">
        <v>465</v>
      </c>
      <c r="C104" s="60"/>
      <c r="D104" s="76" t="s">
        <v>34</v>
      </c>
      <c r="E104" s="149" t="s">
        <v>466</v>
      </c>
      <c r="F104" s="76" t="s">
        <v>467</v>
      </c>
      <c r="G104" s="79">
        <v>1</v>
      </c>
      <c r="H104" s="80" t="s">
        <v>94</v>
      </c>
      <c r="I104" s="80" t="s">
        <v>38</v>
      </c>
      <c r="J104" s="80" t="s">
        <v>39</v>
      </c>
      <c r="K104" s="80" t="s">
        <v>249</v>
      </c>
      <c r="L104" s="107" t="s">
        <v>250</v>
      </c>
      <c r="M104" s="107" t="s">
        <v>42</v>
      </c>
      <c r="N104" s="152" t="s">
        <v>251</v>
      </c>
      <c r="O104" s="47" t="s">
        <v>44</v>
      </c>
      <c r="P104" s="84">
        <v>45412</v>
      </c>
      <c r="Q104" s="131" t="s">
        <v>128</v>
      </c>
      <c r="R104" s="99" t="s">
        <v>46</v>
      </c>
      <c r="S104" s="127" t="s">
        <v>147</v>
      </c>
      <c r="T104" s="87">
        <v>45394</v>
      </c>
      <c r="U104" s="87">
        <f t="shared" si="25"/>
        <v>45401</v>
      </c>
      <c r="V104" s="87">
        <v>45412</v>
      </c>
      <c r="W104" s="87">
        <f t="shared" si="27"/>
        <v>45419</v>
      </c>
      <c r="X104" s="60"/>
      <c r="Y104" s="315" t="s">
        <v>79</v>
      </c>
      <c r="Z104" s="151" t="s">
        <v>467</v>
      </c>
      <c r="AA104" s="151" t="s">
        <v>468</v>
      </c>
      <c r="AB104" s="89" t="s">
        <v>49</v>
      </c>
      <c r="AC104" s="73">
        <f t="shared" si="32"/>
        <v>1</v>
      </c>
      <c r="AD104" s="73">
        <f t="shared" si="33"/>
        <v>0</v>
      </c>
      <c r="AE104" s="101" t="s">
        <v>138</v>
      </c>
      <c r="AF104" s="90" t="s">
        <v>280</v>
      </c>
    </row>
    <row r="105" s="21" customFormat="1" ht="15" customHeight="1" spans="1:32">
      <c r="A105" s="75">
        <v>102</v>
      </c>
      <c r="B105" s="76" t="s">
        <v>469</v>
      </c>
      <c r="C105" s="60"/>
      <c r="D105" s="76" t="s">
        <v>34</v>
      </c>
      <c r="E105" s="149" t="s">
        <v>470</v>
      </c>
      <c r="F105" s="76" t="s">
        <v>471</v>
      </c>
      <c r="G105" s="79">
        <v>1</v>
      </c>
      <c r="H105" s="80" t="s">
        <v>94</v>
      </c>
      <c r="I105" s="80" t="s">
        <v>38</v>
      </c>
      <c r="J105" s="80" t="s">
        <v>39</v>
      </c>
      <c r="K105" s="80" t="s">
        <v>249</v>
      </c>
      <c r="L105" s="107" t="s">
        <v>250</v>
      </c>
      <c r="M105" s="107" t="s">
        <v>42</v>
      </c>
      <c r="N105" s="152" t="s">
        <v>251</v>
      </c>
      <c r="O105" s="47" t="s">
        <v>44</v>
      </c>
      <c r="P105" s="84">
        <v>45412</v>
      </c>
      <c r="Q105" s="131" t="s">
        <v>128</v>
      </c>
      <c r="R105" s="99" t="s">
        <v>46</v>
      </c>
      <c r="S105" s="127" t="s">
        <v>147</v>
      </c>
      <c r="T105" s="87">
        <v>45394</v>
      </c>
      <c r="U105" s="87">
        <f t="shared" si="25"/>
        <v>45401</v>
      </c>
      <c r="V105" s="87">
        <v>45412</v>
      </c>
      <c r="W105" s="87">
        <f t="shared" si="27"/>
        <v>45419</v>
      </c>
      <c r="X105" s="60"/>
      <c r="Y105" s="315" t="s">
        <v>79</v>
      </c>
      <c r="Z105" s="151" t="s">
        <v>471</v>
      </c>
      <c r="AA105" s="151" t="s">
        <v>472</v>
      </c>
      <c r="AB105" s="89" t="s">
        <v>49</v>
      </c>
      <c r="AC105" s="73">
        <f t="shared" si="32"/>
        <v>1</v>
      </c>
      <c r="AD105" s="73">
        <f t="shared" si="33"/>
        <v>0</v>
      </c>
      <c r="AE105" s="101" t="s">
        <v>138</v>
      </c>
      <c r="AF105" s="90" t="s">
        <v>280</v>
      </c>
    </row>
    <row r="106" s="21" customFormat="1" ht="15" customHeight="1" spans="1:32">
      <c r="A106" s="75">
        <v>103</v>
      </c>
      <c r="B106" s="76" t="s">
        <v>473</v>
      </c>
      <c r="C106" s="60"/>
      <c r="D106" s="76" t="s">
        <v>34</v>
      </c>
      <c r="E106" s="76" t="s">
        <v>474</v>
      </c>
      <c r="F106" s="76" t="s">
        <v>475</v>
      </c>
      <c r="G106" s="79">
        <v>1</v>
      </c>
      <c r="H106" s="80" t="s">
        <v>94</v>
      </c>
      <c r="I106" s="80" t="s">
        <v>38</v>
      </c>
      <c r="J106" s="80" t="s">
        <v>39</v>
      </c>
      <c r="K106" s="80" t="s">
        <v>249</v>
      </c>
      <c r="L106" s="107" t="s">
        <v>250</v>
      </c>
      <c r="M106" s="107" t="s">
        <v>42</v>
      </c>
      <c r="N106" s="152" t="s">
        <v>251</v>
      </c>
      <c r="O106" s="47" t="s">
        <v>44</v>
      </c>
      <c r="P106" s="84">
        <v>45412</v>
      </c>
      <c r="Q106" s="131" t="s">
        <v>128</v>
      </c>
      <c r="R106" s="99" t="s">
        <v>46</v>
      </c>
      <c r="S106" s="127" t="s">
        <v>147</v>
      </c>
      <c r="T106" s="87">
        <v>45394</v>
      </c>
      <c r="U106" s="87">
        <f t="shared" si="25"/>
        <v>45401</v>
      </c>
      <c r="V106" s="87">
        <v>45412</v>
      </c>
      <c r="W106" s="87">
        <f t="shared" si="27"/>
        <v>45419</v>
      </c>
      <c r="X106" s="60"/>
      <c r="Y106" s="315" t="s">
        <v>79</v>
      </c>
      <c r="Z106" s="151" t="s">
        <v>475</v>
      </c>
      <c r="AA106" s="151" t="s">
        <v>476</v>
      </c>
      <c r="AB106" s="89" t="s">
        <v>49</v>
      </c>
      <c r="AC106" s="73">
        <f t="shared" si="32"/>
        <v>1</v>
      </c>
      <c r="AD106" s="73">
        <f t="shared" si="33"/>
        <v>0</v>
      </c>
      <c r="AE106" s="101" t="s">
        <v>138</v>
      </c>
      <c r="AF106" s="90" t="s">
        <v>280</v>
      </c>
    </row>
    <row r="107" s="21" customFormat="1" ht="15" customHeight="1" spans="1:32">
      <c r="A107" s="75">
        <v>104</v>
      </c>
      <c r="B107" s="76" t="s">
        <v>477</v>
      </c>
      <c r="C107" s="60"/>
      <c r="D107" s="76" t="s">
        <v>34</v>
      </c>
      <c r="E107" s="149" t="s">
        <v>478</v>
      </c>
      <c r="F107" s="76" t="s">
        <v>479</v>
      </c>
      <c r="G107" s="79">
        <v>1</v>
      </c>
      <c r="H107" s="80" t="s">
        <v>94</v>
      </c>
      <c r="I107" s="80" t="s">
        <v>38</v>
      </c>
      <c r="J107" s="80" t="s">
        <v>39</v>
      </c>
      <c r="K107" s="80" t="s">
        <v>249</v>
      </c>
      <c r="L107" s="107" t="s">
        <v>250</v>
      </c>
      <c r="M107" s="107" t="s">
        <v>42</v>
      </c>
      <c r="N107" s="152" t="s">
        <v>251</v>
      </c>
      <c r="O107" s="47" t="s">
        <v>44</v>
      </c>
      <c r="P107" s="84">
        <v>45412</v>
      </c>
      <c r="Q107" s="131" t="s">
        <v>128</v>
      </c>
      <c r="R107" s="99" t="s">
        <v>46</v>
      </c>
      <c r="S107" s="127" t="s">
        <v>147</v>
      </c>
      <c r="T107" s="87">
        <v>45394</v>
      </c>
      <c r="U107" s="87">
        <f t="shared" si="25"/>
        <v>45401</v>
      </c>
      <c r="V107" s="87">
        <v>45412</v>
      </c>
      <c r="W107" s="87">
        <f t="shared" si="27"/>
        <v>45419</v>
      </c>
      <c r="X107" s="60"/>
      <c r="Y107" s="315" t="s">
        <v>79</v>
      </c>
      <c r="Z107" s="151" t="s">
        <v>479</v>
      </c>
      <c r="AA107" s="151" t="s">
        <v>480</v>
      </c>
      <c r="AB107" s="89" t="s">
        <v>49</v>
      </c>
      <c r="AC107" s="73">
        <f t="shared" si="32"/>
        <v>1</v>
      </c>
      <c r="AD107" s="73">
        <f t="shared" si="33"/>
        <v>0</v>
      </c>
      <c r="AE107" s="101" t="s">
        <v>138</v>
      </c>
      <c r="AF107" s="90" t="s">
        <v>280</v>
      </c>
    </row>
    <row r="108" s="21" customFormat="1" ht="21" customHeight="1" spans="1:32">
      <c r="A108" s="75">
        <v>105</v>
      </c>
      <c r="B108" s="76" t="s">
        <v>481</v>
      </c>
      <c r="C108" s="60"/>
      <c r="D108" s="76" t="s">
        <v>34</v>
      </c>
      <c r="E108" s="78" t="s">
        <v>482</v>
      </c>
      <c r="F108" s="76" t="s">
        <v>483</v>
      </c>
      <c r="G108" s="79">
        <v>1</v>
      </c>
      <c r="H108" s="80" t="s">
        <v>94</v>
      </c>
      <c r="I108" s="80" t="s">
        <v>38</v>
      </c>
      <c r="J108" s="80" t="s">
        <v>39</v>
      </c>
      <c r="K108" s="80" t="s">
        <v>249</v>
      </c>
      <c r="L108" s="107" t="s">
        <v>250</v>
      </c>
      <c r="M108" s="107" t="s">
        <v>42</v>
      </c>
      <c r="N108" s="152" t="s">
        <v>251</v>
      </c>
      <c r="O108" s="47" t="s">
        <v>44</v>
      </c>
      <c r="P108" s="84">
        <v>45366</v>
      </c>
      <c r="Q108" s="131" t="s">
        <v>128</v>
      </c>
      <c r="R108" s="85" t="s">
        <v>46</v>
      </c>
      <c r="S108" s="99" t="s">
        <v>47</v>
      </c>
      <c r="T108" s="87">
        <v>45361</v>
      </c>
      <c r="U108" s="87">
        <v>45378</v>
      </c>
      <c r="V108" s="87">
        <v>45388</v>
      </c>
      <c r="W108" s="87">
        <f t="shared" si="27"/>
        <v>45395</v>
      </c>
      <c r="X108" s="60"/>
      <c r="Y108" s="70" t="s">
        <v>125</v>
      </c>
      <c r="Z108" s="151" t="s">
        <v>483</v>
      </c>
      <c r="AA108" s="151" t="s">
        <v>484</v>
      </c>
      <c r="AB108" s="54" t="s">
        <v>253</v>
      </c>
      <c r="AC108" s="73">
        <v>1</v>
      </c>
      <c r="AD108" s="73">
        <v>0</v>
      </c>
      <c r="AE108" s="101" t="s">
        <v>254</v>
      </c>
      <c r="AF108" s="90" t="s">
        <v>272</v>
      </c>
    </row>
    <row r="109" s="22" customFormat="1" ht="15" customHeight="1" spans="1:32">
      <c r="A109" s="75">
        <v>106</v>
      </c>
      <c r="B109" s="76" t="s">
        <v>485</v>
      </c>
      <c r="C109" s="76" t="s">
        <v>486</v>
      </c>
      <c r="D109" s="76" t="s">
        <v>487</v>
      </c>
      <c r="E109" s="109" t="s">
        <v>488</v>
      </c>
      <c r="F109" s="76" t="s">
        <v>489</v>
      </c>
      <c r="G109" s="79">
        <v>2</v>
      </c>
      <c r="H109" s="80" t="s">
        <v>94</v>
      </c>
      <c r="I109" s="80" t="s">
        <v>38</v>
      </c>
      <c r="J109" s="80" t="s">
        <v>39</v>
      </c>
      <c r="K109" s="80" t="s">
        <v>249</v>
      </c>
      <c r="L109" s="107" t="s">
        <v>250</v>
      </c>
      <c r="M109" s="107" t="s">
        <v>42</v>
      </c>
      <c r="N109" s="156" t="s">
        <v>251</v>
      </c>
      <c r="O109" s="47" t="s">
        <v>44</v>
      </c>
      <c r="P109" s="84">
        <v>45397</v>
      </c>
      <c r="Q109" s="85" t="s">
        <v>128</v>
      </c>
      <c r="R109" s="85" t="s">
        <v>46</v>
      </c>
      <c r="S109" s="95" t="s">
        <v>147</v>
      </c>
      <c r="T109" s="157">
        <v>45457</v>
      </c>
      <c r="U109" s="87">
        <f t="shared" ref="U109:U116" si="34">T109+4</f>
        <v>45461</v>
      </c>
      <c r="V109" s="87">
        <f t="shared" ref="V109:V116" si="35">U109+14</f>
        <v>45475</v>
      </c>
      <c r="W109" s="87">
        <f t="shared" si="27"/>
        <v>45482</v>
      </c>
      <c r="X109" s="93"/>
      <c r="Y109" s="158" t="s">
        <v>48</v>
      </c>
      <c r="Z109" s="151" t="s">
        <v>490</v>
      </c>
      <c r="AA109" s="151" t="s">
        <v>491</v>
      </c>
      <c r="AB109" s="89" t="s">
        <v>49</v>
      </c>
      <c r="AC109" s="73">
        <f t="shared" ref="AC109:AC116" si="36">G109</f>
        <v>2</v>
      </c>
      <c r="AD109" s="73">
        <f t="shared" ref="AD109:AD116" si="37">G109-AC109</f>
        <v>0</v>
      </c>
      <c r="AE109" s="101" t="s">
        <v>50</v>
      </c>
      <c r="AF109" s="90" t="s">
        <v>492</v>
      </c>
    </row>
    <row r="110" s="22" customFormat="1" ht="15" customHeight="1" spans="1:32">
      <c r="A110" s="75">
        <v>107</v>
      </c>
      <c r="B110" s="76" t="s">
        <v>493</v>
      </c>
      <c r="C110" s="76" t="s">
        <v>494</v>
      </c>
      <c r="D110" s="76" t="s">
        <v>487</v>
      </c>
      <c r="E110" s="109" t="s">
        <v>495</v>
      </c>
      <c r="F110" s="76" t="s">
        <v>496</v>
      </c>
      <c r="G110" s="79">
        <v>2</v>
      </c>
      <c r="H110" s="80" t="s">
        <v>94</v>
      </c>
      <c r="I110" s="80" t="s">
        <v>38</v>
      </c>
      <c r="J110" s="80" t="s">
        <v>39</v>
      </c>
      <c r="K110" s="80" t="s">
        <v>249</v>
      </c>
      <c r="L110" s="107" t="s">
        <v>250</v>
      </c>
      <c r="M110" s="107" t="s">
        <v>42</v>
      </c>
      <c r="N110" s="156" t="s">
        <v>251</v>
      </c>
      <c r="O110" s="47" t="s">
        <v>44</v>
      </c>
      <c r="P110" s="84">
        <v>45442</v>
      </c>
      <c r="Q110" s="85" t="s">
        <v>128</v>
      </c>
      <c r="R110" s="85" t="s">
        <v>46</v>
      </c>
      <c r="S110" s="85" t="s">
        <v>47</v>
      </c>
      <c r="T110" s="157">
        <v>45457</v>
      </c>
      <c r="U110" s="87">
        <f t="shared" si="34"/>
        <v>45461</v>
      </c>
      <c r="V110" s="87">
        <f t="shared" si="35"/>
        <v>45475</v>
      </c>
      <c r="W110" s="87">
        <f t="shared" si="27"/>
        <v>45482</v>
      </c>
      <c r="X110" s="93"/>
      <c r="Y110" s="158" t="s">
        <v>48</v>
      </c>
      <c r="Z110" s="151" t="s">
        <v>496</v>
      </c>
      <c r="AA110" s="151" t="s">
        <v>497</v>
      </c>
      <c r="AB110" s="89" t="s">
        <v>49</v>
      </c>
      <c r="AC110" s="73">
        <f t="shared" si="36"/>
        <v>2</v>
      </c>
      <c r="AD110" s="73">
        <f t="shared" si="37"/>
        <v>0</v>
      </c>
      <c r="AE110" s="101" t="s">
        <v>50</v>
      </c>
      <c r="AF110" s="90" t="s">
        <v>492</v>
      </c>
    </row>
    <row r="111" s="22" customFormat="1" ht="15" customHeight="1" spans="1:32">
      <c r="A111" s="75">
        <v>108</v>
      </c>
      <c r="B111" s="76" t="s">
        <v>498</v>
      </c>
      <c r="C111" s="76" t="s">
        <v>499</v>
      </c>
      <c r="D111" s="76" t="s">
        <v>487</v>
      </c>
      <c r="E111" s="109" t="s">
        <v>500</v>
      </c>
      <c r="F111" s="76" t="s">
        <v>501</v>
      </c>
      <c r="G111" s="79">
        <v>2</v>
      </c>
      <c r="H111" s="80" t="s">
        <v>94</v>
      </c>
      <c r="I111" s="80" t="s">
        <v>38</v>
      </c>
      <c r="J111" s="80" t="s">
        <v>39</v>
      </c>
      <c r="K111" s="80" t="s">
        <v>249</v>
      </c>
      <c r="L111" s="107" t="s">
        <v>250</v>
      </c>
      <c r="M111" s="107" t="s">
        <v>42</v>
      </c>
      <c r="N111" s="156" t="s">
        <v>251</v>
      </c>
      <c r="O111" s="47" t="s">
        <v>44</v>
      </c>
      <c r="P111" s="84">
        <v>45442</v>
      </c>
      <c r="Q111" s="85" t="s">
        <v>128</v>
      </c>
      <c r="R111" s="85" t="s">
        <v>46</v>
      </c>
      <c r="S111" s="85" t="s">
        <v>47</v>
      </c>
      <c r="T111" s="157">
        <v>45457</v>
      </c>
      <c r="U111" s="87">
        <f t="shared" si="34"/>
        <v>45461</v>
      </c>
      <c r="V111" s="87">
        <f t="shared" si="35"/>
        <v>45475</v>
      </c>
      <c r="W111" s="87">
        <f t="shared" si="27"/>
        <v>45482</v>
      </c>
      <c r="X111" s="93"/>
      <c r="Y111" s="158" t="s">
        <v>48</v>
      </c>
      <c r="Z111" s="151" t="s">
        <v>501</v>
      </c>
      <c r="AA111" s="151" t="s">
        <v>502</v>
      </c>
      <c r="AB111" s="89" t="s">
        <v>49</v>
      </c>
      <c r="AC111" s="73">
        <f t="shared" si="36"/>
        <v>2</v>
      </c>
      <c r="AD111" s="73">
        <f t="shared" si="37"/>
        <v>0</v>
      </c>
      <c r="AE111" s="101" t="s">
        <v>50</v>
      </c>
      <c r="AF111" s="90" t="s">
        <v>492</v>
      </c>
    </row>
    <row r="112" s="22" customFormat="1" ht="15" customHeight="1" spans="1:32">
      <c r="A112" s="75">
        <v>109</v>
      </c>
      <c r="B112" s="76" t="s">
        <v>503</v>
      </c>
      <c r="C112" s="76" t="s">
        <v>504</v>
      </c>
      <c r="D112" s="76" t="s">
        <v>487</v>
      </c>
      <c r="E112" s="78" t="s">
        <v>505</v>
      </c>
      <c r="F112" s="76" t="s">
        <v>506</v>
      </c>
      <c r="G112" s="79">
        <v>2</v>
      </c>
      <c r="H112" s="80" t="s">
        <v>94</v>
      </c>
      <c r="I112" s="80" t="s">
        <v>38</v>
      </c>
      <c r="J112" s="80" t="s">
        <v>39</v>
      </c>
      <c r="K112" s="80" t="s">
        <v>249</v>
      </c>
      <c r="L112" s="107" t="s">
        <v>250</v>
      </c>
      <c r="M112" s="107" t="s">
        <v>42</v>
      </c>
      <c r="N112" s="156" t="s">
        <v>251</v>
      </c>
      <c r="O112" s="47" t="s">
        <v>44</v>
      </c>
      <c r="P112" s="84">
        <v>45442</v>
      </c>
      <c r="Q112" s="85" t="s">
        <v>128</v>
      </c>
      <c r="R112" s="85" t="s">
        <v>46</v>
      </c>
      <c r="S112" s="85" t="s">
        <v>47</v>
      </c>
      <c r="T112" s="157">
        <v>45457</v>
      </c>
      <c r="U112" s="87">
        <f t="shared" si="34"/>
        <v>45461</v>
      </c>
      <c r="V112" s="87">
        <f t="shared" si="35"/>
        <v>45475</v>
      </c>
      <c r="W112" s="87">
        <f t="shared" si="27"/>
        <v>45482</v>
      </c>
      <c r="X112" s="93"/>
      <c r="Y112" s="158" t="s">
        <v>48</v>
      </c>
      <c r="Z112" s="151" t="s">
        <v>506</v>
      </c>
      <c r="AA112" s="151" t="s">
        <v>507</v>
      </c>
      <c r="AB112" s="89" t="s">
        <v>49</v>
      </c>
      <c r="AC112" s="73">
        <f t="shared" si="36"/>
        <v>2</v>
      </c>
      <c r="AD112" s="73">
        <f t="shared" si="37"/>
        <v>0</v>
      </c>
      <c r="AE112" s="101" t="s">
        <v>50</v>
      </c>
      <c r="AF112" s="90" t="s">
        <v>492</v>
      </c>
    </row>
    <row r="113" s="22" customFormat="1" ht="15" customHeight="1" spans="1:32">
      <c r="A113" s="75">
        <v>110</v>
      </c>
      <c r="B113" s="76" t="s">
        <v>508</v>
      </c>
      <c r="C113" s="76" t="s">
        <v>509</v>
      </c>
      <c r="D113" s="76" t="s">
        <v>487</v>
      </c>
      <c r="E113" s="78" t="s">
        <v>510</v>
      </c>
      <c r="F113" s="76" t="s">
        <v>511</v>
      </c>
      <c r="G113" s="79">
        <v>2</v>
      </c>
      <c r="H113" s="80" t="s">
        <v>94</v>
      </c>
      <c r="I113" s="80" t="s">
        <v>38</v>
      </c>
      <c r="J113" s="80" t="s">
        <v>39</v>
      </c>
      <c r="K113" s="80" t="s">
        <v>249</v>
      </c>
      <c r="L113" s="107" t="s">
        <v>250</v>
      </c>
      <c r="M113" s="107" t="s">
        <v>42</v>
      </c>
      <c r="N113" s="156" t="s">
        <v>251</v>
      </c>
      <c r="O113" s="47" t="s">
        <v>44</v>
      </c>
      <c r="P113" s="84">
        <v>45442</v>
      </c>
      <c r="Q113" s="85" t="s">
        <v>128</v>
      </c>
      <c r="R113" s="85" t="s">
        <v>46</v>
      </c>
      <c r="S113" s="85" t="s">
        <v>47</v>
      </c>
      <c r="T113" s="157">
        <v>45457</v>
      </c>
      <c r="U113" s="87">
        <f t="shared" si="34"/>
        <v>45461</v>
      </c>
      <c r="V113" s="87">
        <f t="shared" si="35"/>
        <v>45475</v>
      </c>
      <c r="W113" s="87">
        <f t="shared" si="27"/>
        <v>45482</v>
      </c>
      <c r="X113" s="93"/>
      <c r="Y113" s="158" t="s">
        <v>48</v>
      </c>
      <c r="Z113" s="151" t="s">
        <v>511</v>
      </c>
      <c r="AA113" s="151" t="s">
        <v>512</v>
      </c>
      <c r="AB113" s="89" t="s">
        <v>49</v>
      </c>
      <c r="AC113" s="73">
        <f t="shared" si="36"/>
        <v>2</v>
      </c>
      <c r="AD113" s="73">
        <f t="shared" si="37"/>
        <v>0</v>
      </c>
      <c r="AE113" s="101" t="s">
        <v>50</v>
      </c>
      <c r="AF113" s="90" t="s">
        <v>492</v>
      </c>
    </row>
    <row r="114" s="22" customFormat="1" ht="15" customHeight="1" spans="1:32">
      <c r="A114" s="75">
        <v>111</v>
      </c>
      <c r="B114" s="76" t="s">
        <v>513</v>
      </c>
      <c r="C114" s="76" t="s">
        <v>514</v>
      </c>
      <c r="D114" s="76" t="s">
        <v>487</v>
      </c>
      <c r="E114" s="109" t="s">
        <v>515</v>
      </c>
      <c r="F114" s="76" t="s">
        <v>516</v>
      </c>
      <c r="G114" s="79">
        <v>2</v>
      </c>
      <c r="H114" s="80" t="s">
        <v>94</v>
      </c>
      <c r="I114" s="80" t="s">
        <v>38</v>
      </c>
      <c r="J114" s="80" t="s">
        <v>39</v>
      </c>
      <c r="K114" s="80" t="s">
        <v>249</v>
      </c>
      <c r="L114" s="107" t="s">
        <v>250</v>
      </c>
      <c r="M114" s="107" t="s">
        <v>42</v>
      </c>
      <c r="N114" s="156" t="s">
        <v>251</v>
      </c>
      <c r="O114" s="47" t="s">
        <v>44</v>
      </c>
      <c r="P114" s="84">
        <v>45397</v>
      </c>
      <c r="Q114" s="85" t="s">
        <v>128</v>
      </c>
      <c r="R114" s="85" t="s">
        <v>46</v>
      </c>
      <c r="S114" s="95" t="s">
        <v>147</v>
      </c>
      <c r="T114" s="157">
        <v>45457</v>
      </c>
      <c r="U114" s="87">
        <f t="shared" si="34"/>
        <v>45461</v>
      </c>
      <c r="V114" s="87">
        <f t="shared" si="35"/>
        <v>45475</v>
      </c>
      <c r="W114" s="87">
        <f t="shared" si="27"/>
        <v>45482</v>
      </c>
      <c r="X114" s="93"/>
      <c r="Y114" s="158" t="s">
        <v>48</v>
      </c>
      <c r="Z114" s="151" t="s">
        <v>516</v>
      </c>
      <c r="AA114" s="151" t="s">
        <v>517</v>
      </c>
      <c r="AB114" s="89" t="s">
        <v>49</v>
      </c>
      <c r="AC114" s="73">
        <f t="shared" si="36"/>
        <v>2</v>
      </c>
      <c r="AD114" s="73">
        <f t="shared" si="37"/>
        <v>0</v>
      </c>
      <c r="AE114" s="101" t="s">
        <v>50</v>
      </c>
      <c r="AF114" s="90" t="s">
        <v>492</v>
      </c>
    </row>
    <row r="115" s="22" customFormat="1" ht="15" customHeight="1" spans="1:32">
      <c r="A115" s="75">
        <v>112</v>
      </c>
      <c r="B115" s="76" t="s">
        <v>518</v>
      </c>
      <c r="C115" s="76" t="s">
        <v>519</v>
      </c>
      <c r="D115" s="76" t="s">
        <v>487</v>
      </c>
      <c r="E115" s="109" t="s">
        <v>520</v>
      </c>
      <c r="F115" s="76" t="s">
        <v>521</v>
      </c>
      <c r="G115" s="79">
        <v>2</v>
      </c>
      <c r="H115" s="80" t="s">
        <v>94</v>
      </c>
      <c r="I115" s="80" t="s">
        <v>38</v>
      </c>
      <c r="J115" s="80" t="s">
        <v>39</v>
      </c>
      <c r="K115" s="80" t="s">
        <v>249</v>
      </c>
      <c r="L115" s="107" t="s">
        <v>250</v>
      </c>
      <c r="M115" s="107" t="s">
        <v>42</v>
      </c>
      <c r="N115" s="156" t="s">
        <v>251</v>
      </c>
      <c r="O115" s="47" t="s">
        <v>44</v>
      </c>
      <c r="P115" s="84">
        <v>45442</v>
      </c>
      <c r="Q115" s="85" t="s">
        <v>128</v>
      </c>
      <c r="R115" s="85" t="s">
        <v>46</v>
      </c>
      <c r="S115" s="85" t="s">
        <v>47</v>
      </c>
      <c r="T115" s="157">
        <v>45457</v>
      </c>
      <c r="U115" s="87">
        <f t="shared" si="34"/>
        <v>45461</v>
      </c>
      <c r="V115" s="87">
        <f t="shared" si="35"/>
        <v>45475</v>
      </c>
      <c r="W115" s="87">
        <f t="shared" si="27"/>
        <v>45482</v>
      </c>
      <c r="X115" s="93"/>
      <c r="Y115" s="158" t="s">
        <v>48</v>
      </c>
      <c r="Z115" s="151" t="s">
        <v>521</v>
      </c>
      <c r="AA115" s="151" t="s">
        <v>522</v>
      </c>
      <c r="AB115" s="89" t="s">
        <v>49</v>
      </c>
      <c r="AC115" s="73">
        <f t="shared" si="36"/>
        <v>2</v>
      </c>
      <c r="AD115" s="73">
        <f t="shared" si="37"/>
        <v>0</v>
      </c>
      <c r="AE115" s="101" t="s">
        <v>50</v>
      </c>
      <c r="AF115" s="90" t="s">
        <v>492</v>
      </c>
    </row>
    <row r="116" s="22" customFormat="1" ht="15" customHeight="1" spans="1:32">
      <c r="A116" s="75">
        <v>113</v>
      </c>
      <c r="B116" s="76" t="s">
        <v>523</v>
      </c>
      <c r="C116" s="77"/>
      <c r="D116" s="76" t="s">
        <v>487</v>
      </c>
      <c r="E116" s="109" t="s">
        <v>524</v>
      </c>
      <c r="F116" s="76" t="s">
        <v>525</v>
      </c>
      <c r="G116" s="79">
        <v>3</v>
      </c>
      <c r="H116" s="80" t="s">
        <v>94</v>
      </c>
      <c r="I116" s="80" t="s">
        <v>38</v>
      </c>
      <c r="J116" s="80" t="s">
        <v>39</v>
      </c>
      <c r="K116" s="80" t="s">
        <v>249</v>
      </c>
      <c r="L116" s="107" t="s">
        <v>250</v>
      </c>
      <c r="M116" s="107" t="s">
        <v>42</v>
      </c>
      <c r="N116" s="156" t="s">
        <v>251</v>
      </c>
      <c r="O116" s="47" t="s">
        <v>44</v>
      </c>
      <c r="P116" s="84">
        <v>45397</v>
      </c>
      <c r="Q116" s="85" t="s">
        <v>128</v>
      </c>
      <c r="R116" s="85" t="s">
        <v>46</v>
      </c>
      <c r="S116" s="95" t="s">
        <v>147</v>
      </c>
      <c r="T116" s="157">
        <v>45457</v>
      </c>
      <c r="U116" s="87">
        <f t="shared" si="34"/>
        <v>45461</v>
      </c>
      <c r="V116" s="87">
        <f t="shared" si="35"/>
        <v>45475</v>
      </c>
      <c r="W116" s="87">
        <f t="shared" si="27"/>
        <v>45482</v>
      </c>
      <c r="X116" s="93"/>
      <c r="Y116" s="158" t="s">
        <v>48</v>
      </c>
      <c r="Z116" s="151" t="s">
        <v>526</v>
      </c>
      <c r="AA116" s="151" t="s">
        <v>527</v>
      </c>
      <c r="AB116" s="89" t="s">
        <v>49</v>
      </c>
      <c r="AC116" s="73">
        <f t="shared" si="36"/>
        <v>3</v>
      </c>
      <c r="AD116" s="73">
        <f t="shared" si="37"/>
        <v>0</v>
      </c>
      <c r="AE116" s="101" t="s">
        <v>50</v>
      </c>
      <c r="AF116" s="90" t="s">
        <v>492</v>
      </c>
    </row>
    <row r="117" s="21" customFormat="1" ht="21" customHeight="1" spans="1:32">
      <c r="A117" s="75">
        <v>114</v>
      </c>
      <c r="B117" s="76" t="s">
        <v>528</v>
      </c>
      <c r="C117" s="60"/>
      <c r="D117" s="76" t="s">
        <v>188</v>
      </c>
      <c r="E117" s="78" t="s">
        <v>529</v>
      </c>
      <c r="F117" s="106" t="s">
        <v>530</v>
      </c>
      <c r="G117" s="79">
        <v>1</v>
      </c>
      <c r="H117" s="80" t="s">
        <v>94</v>
      </c>
      <c r="I117" s="80" t="s">
        <v>38</v>
      </c>
      <c r="J117" s="80" t="s">
        <v>39</v>
      </c>
      <c r="K117" s="80" t="s">
        <v>249</v>
      </c>
      <c r="L117" s="107" t="s">
        <v>250</v>
      </c>
      <c r="M117" s="107" t="s">
        <v>42</v>
      </c>
      <c r="N117" s="152" t="s">
        <v>251</v>
      </c>
      <c r="O117" s="47" t="s">
        <v>44</v>
      </c>
      <c r="P117" s="84">
        <v>45361</v>
      </c>
      <c r="Q117" s="131" t="s">
        <v>128</v>
      </c>
      <c r="R117" s="85" t="s">
        <v>46</v>
      </c>
      <c r="S117" s="99" t="s">
        <v>47</v>
      </c>
      <c r="T117" s="87">
        <v>45361</v>
      </c>
      <c r="U117" s="87">
        <v>45378</v>
      </c>
      <c r="V117" s="87">
        <v>45388</v>
      </c>
      <c r="W117" s="87">
        <f t="shared" si="27"/>
        <v>45395</v>
      </c>
      <c r="X117" s="60"/>
      <c r="Y117" s="70" t="s">
        <v>125</v>
      </c>
      <c r="Z117" s="151" t="s">
        <v>530</v>
      </c>
      <c r="AA117" s="151" t="s">
        <v>531</v>
      </c>
      <c r="AB117" s="54" t="s">
        <v>253</v>
      </c>
      <c r="AC117" s="73">
        <v>1</v>
      </c>
      <c r="AD117" s="73">
        <v>0</v>
      </c>
      <c r="AE117" s="101" t="s">
        <v>254</v>
      </c>
      <c r="AF117" s="90" t="s">
        <v>272</v>
      </c>
    </row>
    <row r="118" s="21" customFormat="1" ht="21" customHeight="1" spans="1:32">
      <c r="A118" s="75">
        <v>115</v>
      </c>
      <c r="B118" s="76" t="s">
        <v>532</v>
      </c>
      <c r="C118" s="60"/>
      <c r="D118" s="76" t="s">
        <v>188</v>
      </c>
      <c r="E118" s="78" t="s">
        <v>533</v>
      </c>
      <c r="F118" s="106" t="s">
        <v>534</v>
      </c>
      <c r="G118" s="79">
        <v>1</v>
      </c>
      <c r="H118" s="80" t="s">
        <v>94</v>
      </c>
      <c r="I118" s="80" t="s">
        <v>38</v>
      </c>
      <c r="J118" s="80" t="s">
        <v>39</v>
      </c>
      <c r="K118" s="80" t="s">
        <v>535</v>
      </c>
      <c r="L118" s="107" t="s">
        <v>56</v>
      </c>
      <c r="M118" s="107" t="s">
        <v>42</v>
      </c>
      <c r="N118" s="159" t="s">
        <v>536</v>
      </c>
      <c r="O118" s="47" t="s">
        <v>44</v>
      </c>
      <c r="P118" s="84">
        <v>45361</v>
      </c>
      <c r="Q118" s="131" t="s">
        <v>537</v>
      </c>
      <c r="R118" s="99" t="s">
        <v>66</v>
      </c>
      <c r="S118" s="127" t="s">
        <v>147</v>
      </c>
      <c r="T118" s="87">
        <v>45390</v>
      </c>
      <c r="U118" s="87">
        <f t="shared" si="25"/>
        <v>45397</v>
      </c>
      <c r="V118" s="87">
        <v>45399</v>
      </c>
      <c r="W118" s="87">
        <f t="shared" si="27"/>
        <v>45406</v>
      </c>
      <c r="X118" s="60"/>
      <c r="Y118" s="315" t="s">
        <v>538</v>
      </c>
      <c r="Z118" s="151" t="s">
        <v>539</v>
      </c>
      <c r="AA118" s="151" t="s">
        <v>540</v>
      </c>
      <c r="AB118" s="89" t="s">
        <v>49</v>
      </c>
      <c r="AC118" s="73">
        <f t="shared" ref="AC118:AC127" si="38">G118</f>
        <v>1</v>
      </c>
      <c r="AD118" s="73">
        <f t="shared" ref="AD118:AD127" si="39">G118-AC118</f>
        <v>0</v>
      </c>
      <c r="AE118" s="101" t="s">
        <v>541</v>
      </c>
      <c r="AF118" s="90" t="s">
        <v>542</v>
      </c>
    </row>
    <row r="119" s="21" customFormat="1" ht="21" customHeight="1" spans="1:32">
      <c r="A119" s="75">
        <v>116</v>
      </c>
      <c r="B119" s="76" t="s">
        <v>543</v>
      </c>
      <c r="C119" s="60"/>
      <c r="D119" s="76" t="s">
        <v>188</v>
      </c>
      <c r="E119" s="78" t="s">
        <v>544</v>
      </c>
      <c r="F119" s="76" t="s">
        <v>545</v>
      </c>
      <c r="G119" s="79">
        <v>2</v>
      </c>
      <c r="H119" s="80" t="s">
        <v>94</v>
      </c>
      <c r="I119" s="80" t="s">
        <v>38</v>
      </c>
      <c r="J119" s="80" t="s">
        <v>39</v>
      </c>
      <c r="K119" s="80" t="s">
        <v>535</v>
      </c>
      <c r="L119" s="94" t="s">
        <v>56</v>
      </c>
      <c r="M119" s="94" t="s">
        <v>42</v>
      </c>
      <c r="N119" s="152" t="s">
        <v>546</v>
      </c>
      <c r="O119" s="47" t="s">
        <v>44</v>
      </c>
      <c r="P119" s="84">
        <v>45361</v>
      </c>
      <c r="Q119" s="131" t="s">
        <v>537</v>
      </c>
      <c r="R119" s="99" t="s">
        <v>66</v>
      </c>
      <c r="S119" s="127" t="s">
        <v>147</v>
      </c>
      <c r="T119" s="87">
        <v>45390</v>
      </c>
      <c r="U119" s="87">
        <f t="shared" si="25"/>
        <v>45397</v>
      </c>
      <c r="V119" s="87">
        <v>45399</v>
      </c>
      <c r="W119" s="87">
        <f t="shared" si="27"/>
        <v>45406</v>
      </c>
      <c r="X119" s="60"/>
      <c r="Y119" s="315" t="s">
        <v>538</v>
      </c>
      <c r="Z119" s="151" t="s">
        <v>547</v>
      </c>
      <c r="AA119" s="151" t="s">
        <v>548</v>
      </c>
      <c r="AB119" s="89" t="s">
        <v>49</v>
      </c>
      <c r="AC119" s="73">
        <f t="shared" si="38"/>
        <v>2</v>
      </c>
      <c r="AD119" s="73">
        <f t="shared" si="39"/>
        <v>0</v>
      </c>
      <c r="AE119" s="101" t="s">
        <v>541</v>
      </c>
      <c r="AF119" s="90" t="s">
        <v>542</v>
      </c>
    </row>
    <row r="120" s="21" customFormat="1" ht="21" customHeight="1" spans="1:32">
      <c r="A120" s="75">
        <v>117</v>
      </c>
      <c r="B120" s="76" t="s">
        <v>549</v>
      </c>
      <c r="C120" s="60"/>
      <c r="D120" s="76" t="s">
        <v>188</v>
      </c>
      <c r="E120" s="78" t="s">
        <v>550</v>
      </c>
      <c r="F120" s="76" t="s">
        <v>551</v>
      </c>
      <c r="G120" s="79">
        <v>1</v>
      </c>
      <c r="H120" s="80" t="s">
        <v>94</v>
      </c>
      <c r="I120" s="80" t="s">
        <v>38</v>
      </c>
      <c r="J120" s="80" t="s">
        <v>39</v>
      </c>
      <c r="K120" s="80" t="s">
        <v>535</v>
      </c>
      <c r="L120" s="107" t="s">
        <v>56</v>
      </c>
      <c r="M120" s="107" t="s">
        <v>42</v>
      </c>
      <c r="N120" s="152" t="s">
        <v>546</v>
      </c>
      <c r="O120" s="47" t="s">
        <v>44</v>
      </c>
      <c r="P120" s="84">
        <v>45361</v>
      </c>
      <c r="Q120" s="131" t="s">
        <v>537</v>
      </c>
      <c r="R120" s="99" t="s">
        <v>66</v>
      </c>
      <c r="S120" s="127" t="s">
        <v>147</v>
      </c>
      <c r="T120" s="87">
        <v>45390</v>
      </c>
      <c r="U120" s="87">
        <f t="shared" si="25"/>
        <v>45397</v>
      </c>
      <c r="V120" s="87">
        <v>45399</v>
      </c>
      <c r="W120" s="87">
        <f t="shared" si="27"/>
        <v>45406</v>
      </c>
      <c r="X120" s="60"/>
      <c r="Y120" s="315" t="s">
        <v>538</v>
      </c>
      <c r="Z120" s="151" t="s">
        <v>551</v>
      </c>
      <c r="AA120" s="151" t="s">
        <v>552</v>
      </c>
      <c r="AB120" s="89" t="s">
        <v>49</v>
      </c>
      <c r="AC120" s="73">
        <f t="shared" si="38"/>
        <v>1</v>
      </c>
      <c r="AD120" s="73">
        <f t="shared" si="39"/>
        <v>0</v>
      </c>
      <c r="AE120" s="101" t="s">
        <v>541</v>
      </c>
      <c r="AF120" s="90" t="s">
        <v>542</v>
      </c>
    </row>
    <row r="121" s="21" customFormat="1" ht="21" customHeight="1" spans="1:32">
      <c r="A121" s="75">
        <v>118</v>
      </c>
      <c r="B121" s="76" t="s">
        <v>553</v>
      </c>
      <c r="C121" s="60"/>
      <c r="D121" s="76" t="s">
        <v>188</v>
      </c>
      <c r="E121" s="78" t="s">
        <v>554</v>
      </c>
      <c r="F121" s="76" t="s">
        <v>555</v>
      </c>
      <c r="G121" s="79">
        <v>10</v>
      </c>
      <c r="H121" s="80" t="s">
        <v>94</v>
      </c>
      <c r="I121" s="80" t="s">
        <v>38</v>
      </c>
      <c r="J121" s="80" t="s">
        <v>39</v>
      </c>
      <c r="K121" s="80" t="s">
        <v>535</v>
      </c>
      <c r="L121" s="94" t="s">
        <v>56</v>
      </c>
      <c r="M121" s="94" t="s">
        <v>42</v>
      </c>
      <c r="N121" s="152" t="s">
        <v>546</v>
      </c>
      <c r="O121" s="47" t="s">
        <v>44</v>
      </c>
      <c r="P121" s="84">
        <v>45361</v>
      </c>
      <c r="Q121" s="85" t="s">
        <v>128</v>
      </c>
      <c r="R121" s="99" t="s">
        <v>46</v>
      </c>
      <c r="S121" s="127" t="s">
        <v>147</v>
      </c>
      <c r="T121" s="86">
        <v>45413</v>
      </c>
      <c r="U121" s="86">
        <f t="shared" si="25"/>
        <v>45420</v>
      </c>
      <c r="V121" s="86">
        <v>45429</v>
      </c>
      <c r="W121" s="86">
        <v>45432</v>
      </c>
      <c r="X121" s="160"/>
      <c r="Y121" s="315" t="s">
        <v>150</v>
      </c>
      <c r="Z121" s="151" t="s">
        <v>556</v>
      </c>
      <c r="AA121" s="151" t="s">
        <v>557</v>
      </c>
      <c r="AB121" s="89" t="s">
        <v>49</v>
      </c>
      <c r="AC121" s="73">
        <f t="shared" si="38"/>
        <v>10</v>
      </c>
      <c r="AD121" s="73">
        <f t="shared" si="39"/>
        <v>0</v>
      </c>
      <c r="AE121" s="101" t="s">
        <v>151</v>
      </c>
      <c r="AF121" s="90"/>
    </row>
    <row r="122" s="21" customFormat="1" ht="15" customHeight="1" spans="1:32">
      <c r="A122" s="75">
        <v>119</v>
      </c>
      <c r="B122" s="76" t="s">
        <v>558</v>
      </c>
      <c r="C122" s="76" t="s">
        <v>559</v>
      </c>
      <c r="D122" s="76" t="s">
        <v>487</v>
      </c>
      <c r="E122" s="78" t="s">
        <v>560</v>
      </c>
      <c r="F122" s="76" t="s">
        <v>561</v>
      </c>
      <c r="G122" s="79">
        <v>2</v>
      </c>
      <c r="H122" s="80" t="s">
        <v>94</v>
      </c>
      <c r="I122" s="80" t="s">
        <v>38</v>
      </c>
      <c r="J122" s="80" t="s">
        <v>39</v>
      </c>
      <c r="K122" s="80" t="s">
        <v>535</v>
      </c>
      <c r="L122" s="107" t="s">
        <v>56</v>
      </c>
      <c r="M122" s="107" t="s">
        <v>42</v>
      </c>
      <c r="N122" s="152" t="s">
        <v>546</v>
      </c>
      <c r="O122" s="98" t="s">
        <v>44</v>
      </c>
      <c r="P122" s="84">
        <v>45442</v>
      </c>
      <c r="Q122" s="131" t="s">
        <v>128</v>
      </c>
      <c r="R122" s="99" t="s">
        <v>46</v>
      </c>
      <c r="S122" s="99" t="s">
        <v>47</v>
      </c>
      <c r="T122" s="87">
        <v>45413</v>
      </c>
      <c r="U122" s="87">
        <f t="shared" si="25"/>
        <v>45420</v>
      </c>
      <c r="V122" s="87">
        <v>45429</v>
      </c>
      <c r="W122" s="87">
        <v>45432</v>
      </c>
      <c r="X122" s="60"/>
      <c r="Y122" s="315" t="s">
        <v>150</v>
      </c>
      <c r="Z122" s="151" t="s">
        <v>561</v>
      </c>
      <c r="AA122" s="151" t="s">
        <v>562</v>
      </c>
      <c r="AB122" s="89" t="s">
        <v>49</v>
      </c>
      <c r="AC122" s="73">
        <f t="shared" si="38"/>
        <v>2</v>
      </c>
      <c r="AD122" s="73">
        <f t="shared" si="39"/>
        <v>0</v>
      </c>
      <c r="AE122" s="101" t="s">
        <v>151</v>
      </c>
      <c r="AF122" s="90"/>
    </row>
    <row r="123" s="21" customFormat="1" ht="15" customHeight="1" spans="1:32">
      <c r="A123" s="75">
        <v>120</v>
      </c>
      <c r="B123" s="76" t="s">
        <v>563</v>
      </c>
      <c r="C123" s="76" t="s">
        <v>564</v>
      </c>
      <c r="D123" s="76" t="s">
        <v>487</v>
      </c>
      <c r="E123" s="78" t="s">
        <v>565</v>
      </c>
      <c r="F123" s="76" t="s">
        <v>566</v>
      </c>
      <c r="G123" s="79">
        <v>2</v>
      </c>
      <c r="H123" s="80" t="s">
        <v>94</v>
      </c>
      <c r="I123" s="80" t="s">
        <v>38</v>
      </c>
      <c r="J123" s="80" t="s">
        <v>39</v>
      </c>
      <c r="K123" s="80" t="s">
        <v>535</v>
      </c>
      <c r="L123" s="107" t="s">
        <v>56</v>
      </c>
      <c r="M123" s="107" t="s">
        <v>42</v>
      </c>
      <c r="N123" s="152" t="s">
        <v>546</v>
      </c>
      <c r="O123" s="98" t="s">
        <v>44</v>
      </c>
      <c r="P123" s="84">
        <v>45442</v>
      </c>
      <c r="Q123" s="131" t="s">
        <v>128</v>
      </c>
      <c r="R123" s="99" t="s">
        <v>46</v>
      </c>
      <c r="S123" s="99" t="s">
        <v>47</v>
      </c>
      <c r="T123" s="87">
        <v>45413</v>
      </c>
      <c r="U123" s="87">
        <f t="shared" si="25"/>
        <v>45420</v>
      </c>
      <c r="V123" s="87">
        <v>45429</v>
      </c>
      <c r="W123" s="87">
        <v>45432</v>
      </c>
      <c r="X123" s="60"/>
      <c r="Y123" s="315" t="s">
        <v>150</v>
      </c>
      <c r="Z123" s="151" t="s">
        <v>566</v>
      </c>
      <c r="AA123" s="151" t="s">
        <v>567</v>
      </c>
      <c r="AB123" s="89" t="s">
        <v>49</v>
      </c>
      <c r="AC123" s="73">
        <f t="shared" si="38"/>
        <v>2</v>
      </c>
      <c r="AD123" s="73">
        <f t="shared" si="39"/>
        <v>0</v>
      </c>
      <c r="AE123" s="101" t="s">
        <v>151</v>
      </c>
      <c r="AF123" s="90"/>
    </row>
    <row r="124" s="21" customFormat="1" ht="15" customHeight="1" spans="1:32">
      <c r="A124" s="75">
        <v>121</v>
      </c>
      <c r="B124" s="76" t="s">
        <v>568</v>
      </c>
      <c r="C124" s="76" t="s">
        <v>569</v>
      </c>
      <c r="D124" s="76" t="s">
        <v>487</v>
      </c>
      <c r="E124" s="76" t="s">
        <v>570</v>
      </c>
      <c r="F124" s="76" t="s">
        <v>571</v>
      </c>
      <c r="G124" s="79">
        <v>2</v>
      </c>
      <c r="H124" s="80" t="s">
        <v>94</v>
      </c>
      <c r="I124" s="80" t="s">
        <v>38</v>
      </c>
      <c r="J124" s="80" t="s">
        <v>39</v>
      </c>
      <c r="K124" s="80" t="s">
        <v>535</v>
      </c>
      <c r="L124" s="94" t="s">
        <v>56</v>
      </c>
      <c r="M124" s="94" t="s">
        <v>42</v>
      </c>
      <c r="N124" s="152" t="s">
        <v>546</v>
      </c>
      <c r="O124" s="98" t="s">
        <v>44</v>
      </c>
      <c r="P124" s="84">
        <v>45397</v>
      </c>
      <c r="Q124" s="85" t="s">
        <v>128</v>
      </c>
      <c r="R124" s="99" t="s">
        <v>46</v>
      </c>
      <c r="S124" s="127" t="s">
        <v>147</v>
      </c>
      <c r="T124" s="86">
        <v>45413</v>
      </c>
      <c r="U124" s="86">
        <f t="shared" si="25"/>
        <v>45420</v>
      </c>
      <c r="V124" s="86">
        <v>45429</v>
      </c>
      <c r="W124" s="86">
        <v>45432</v>
      </c>
      <c r="X124" s="160"/>
      <c r="Y124" s="315" t="s">
        <v>150</v>
      </c>
      <c r="Z124" s="151" t="s">
        <v>571</v>
      </c>
      <c r="AA124" s="151" t="s">
        <v>572</v>
      </c>
      <c r="AB124" s="89" t="s">
        <v>49</v>
      </c>
      <c r="AC124" s="73">
        <f t="shared" si="38"/>
        <v>2</v>
      </c>
      <c r="AD124" s="73">
        <f t="shared" si="39"/>
        <v>0</v>
      </c>
      <c r="AE124" s="101" t="s">
        <v>151</v>
      </c>
      <c r="AF124" s="90"/>
    </row>
    <row r="125" s="21" customFormat="1" ht="15" customHeight="1" spans="1:32">
      <c r="A125" s="75">
        <v>122</v>
      </c>
      <c r="B125" s="76" t="s">
        <v>573</v>
      </c>
      <c r="C125" s="76" t="s">
        <v>574</v>
      </c>
      <c r="D125" s="76" t="s">
        <v>487</v>
      </c>
      <c r="E125" s="76" t="s">
        <v>575</v>
      </c>
      <c r="F125" s="76" t="s">
        <v>576</v>
      </c>
      <c r="G125" s="79">
        <v>2</v>
      </c>
      <c r="H125" s="80" t="s">
        <v>94</v>
      </c>
      <c r="I125" s="80" t="s">
        <v>38</v>
      </c>
      <c r="J125" s="80" t="s">
        <v>39</v>
      </c>
      <c r="K125" s="80" t="s">
        <v>535</v>
      </c>
      <c r="L125" s="94" t="s">
        <v>56</v>
      </c>
      <c r="M125" s="94" t="s">
        <v>42</v>
      </c>
      <c r="N125" s="152" t="s">
        <v>546</v>
      </c>
      <c r="O125" s="98" t="s">
        <v>44</v>
      </c>
      <c r="P125" s="84">
        <v>45397</v>
      </c>
      <c r="Q125" s="85" t="s">
        <v>128</v>
      </c>
      <c r="R125" s="99" t="s">
        <v>46</v>
      </c>
      <c r="S125" s="127" t="s">
        <v>147</v>
      </c>
      <c r="T125" s="86">
        <v>45413</v>
      </c>
      <c r="U125" s="86">
        <f t="shared" si="25"/>
        <v>45420</v>
      </c>
      <c r="V125" s="86">
        <v>45429</v>
      </c>
      <c r="W125" s="86">
        <v>45432</v>
      </c>
      <c r="X125" s="160"/>
      <c r="Y125" s="315" t="s">
        <v>150</v>
      </c>
      <c r="Z125" s="151" t="s">
        <v>576</v>
      </c>
      <c r="AA125" s="151" t="s">
        <v>577</v>
      </c>
      <c r="AB125" s="89" t="s">
        <v>49</v>
      </c>
      <c r="AC125" s="73">
        <f t="shared" si="38"/>
        <v>2</v>
      </c>
      <c r="AD125" s="73">
        <f t="shared" si="39"/>
        <v>0</v>
      </c>
      <c r="AE125" s="101" t="s">
        <v>151</v>
      </c>
      <c r="AF125" s="90"/>
    </row>
    <row r="126" s="21" customFormat="1" ht="15" customHeight="1" spans="1:32">
      <c r="A126" s="75">
        <v>123</v>
      </c>
      <c r="B126" s="76" t="s">
        <v>578</v>
      </c>
      <c r="C126" s="76" t="s">
        <v>579</v>
      </c>
      <c r="D126" s="76" t="s">
        <v>487</v>
      </c>
      <c r="E126" s="78" t="s">
        <v>580</v>
      </c>
      <c r="F126" s="76" t="s">
        <v>581</v>
      </c>
      <c r="G126" s="79">
        <v>2</v>
      </c>
      <c r="H126" s="80" t="s">
        <v>94</v>
      </c>
      <c r="I126" s="80" t="s">
        <v>38</v>
      </c>
      <c r="J126" s="80" t="s">
        <v>39</v>
      </c>
      <c r="K126" s="80" t="s">
        <v>535</v>
      </c>
      <c r="L126" s="107" t="s">
        <v>56</v>
      </c>
      <c r="M126" s="107" t="s">
        <v>42</v>
      </c>
      <c r="N126" s="152" t="s">
        <v>546</v>
      </c>
      <c r="O126" s="98" t="s">
        <v>44</v>
      </c>
      <c r="P126" s="84">
        <v>45397</v>
      </c>
      <c r="Q126" s="131" t="s">
        <v>128</v>
      </c>
      <c r="R126" s="99" t="s">
        <v>46</v>
      </c>
      <c r="S126" s="127" t="s">
        <v>147</v>
      </c>
      <c r="T126" s="86">
        <v>45413</v>
      </c>
      <c r="U126" s="86">
        <f t="shared" si="25"/>
        <v>45420</v>
      </c>
      <c r="V126" s="86">
        <v>45429</v>
      </c>
      <c r="W126" s="86">
        <v>45432</v>
      </c>
      <c r="X126" s="160"/>
      <c r="Y126" s="315" t="s">
        <v>150</v>
      </c>
      <c r="Z126" s="151" t="s">
        <v>581</v>
      </c>
      <c r="AA126" s="151" t="s">
        <v>582</v>
      </c>
      <c r="AB126" s="89" t="s">
        <v>49</v>
      </c>
      <c r="AC126" s="73">
        <f t="shared" si="38"/>
        <v>2</v>
      </c>
      <c r="AD126" s="73">
        <f t="shared" si="39"/>
        <v>0</v>
      </c>
      <c r="AE126" s="101" t="s">
        <v>151</v>
      </c>
      <c r="AF126" s="90"/>
    </row>
    <row r="127" s="22" customFormat="1" ht="15" customHeight="1" spans="1:32">
      <c r="A127" s="75">
        <v>124</v>
      </c>
      <c r="B127" s="76" t="s">
        <v>583</v>
      </c>
      <c r="C127" s="76" t="s">
        <v>584</v>
      </c>
      <c r="D127" s="76" t="s">
        <v>487</v>
      </c>
      <c r="E127" s="78" t="s">
        <v>585</v>
      </c>
      <c r="F127" s="76" t="s">
        <v>586</v>
      </c>
      <c r="G127" s="79">
        <v>2</v>
      </c>
      <c r="H127" s="80" t="s">
        <v>94</v>
      </c>
      <c r="I127" s="80" t="s">
        <v>38</v>
      </c>
      <c r="J127" s="80" t="s">
        <v>39</v>
      </c>
      <c r="K127" s="80" t="s">
        <v>535</v>
      </c>
      <c r="L127" s="107" t="s">
        <v>56</v>
      </c>
      <c r="M127" s="107" t="s">
        <v>42</v>
      </c>
      <c r="N127" s="156" t="s">
        <v>546</v>
      </c>
      <c r="O127" s="98" t="s">
        <v>44</v>
      </c>
      <c r="P127" s="84">
        <v>45442</v>
      </c>
      <c r="Q127" s="85" t="s">
        <v>128</v>
      </c>
      <c r="R127" s="85" t="s">
        <v>46</v>
      </c>
      <c r="S127" s="85" t="s">
        <v>47</v>
      </c>
      <c r="T127" s="86">
        <v>45457</v>
      </c>
      <c r="U127" s="87">
        <f>T127+4</f>
        <v>45461</v>
      </c>
      <c r="V127" s="87">
        <f>U127+14</f>
        <v>45475</v>
      </c>
      <c r="W127" s="87">
        <f t="shared" si="27"/>
        <v>45482</v>
      </c>
      <c r="X127" s="93"/>
      <c r="Y127" s="88" t="s">
        <v>48</v>
      </c>
      <c r="Z127" s="151" t="s">
        <v>586</v>
      </c>
      <c r="AA127" s="151" t="s">
        <v>587</v>
      </c>
      <c r="AB127" s="89" t="s">
        <v>49</v>
      </c>
      <c r="AC127" s="73">
        <f t="shared" si="38"/>
        <v>2</v>
      </c>
      <c r="AD127" s="73">
        <f t="shared" si="39"/>
        <v>0</v>
      </c>
      <c r="AE127" s="101" t="s">
        <v>50</v>
      </c>
      <c r="AF127" s="90" t="s">
        <v>588</v>
      </c>
    </row>
    <row r="128" s="21" customFormat="1" ht="15" customHeight="1" spans="1:32">
      <c r="A128" s="75">
        <v>125</v>
      </c>
      <c r="B128" s="76" t="s">
        <v>589</v>
      </c>
      <c r="C128" s="60"/>
      <c r="D128" s="76" t="s">
        <v>487</v>
      </c>
      <c r="E128" s="78" t="s">
        <v>590</v>
      </c>
      <c r="F128" s="76" t="s">
        <v>591</v>
      </c>
      <c r="G128" s="79">
        <v>1</v>
      </c>
      <c r="H128" s="80" t="s">
        <v>94</v>
      </c>
      <c r="I128" s="80" t="s">
        <v>38</v>
      </c>
      <c r="J128" s="80" t="s">
        <v>39</v>
      </c>
      <c r="K128" s="80" t="s">
        <v>535</v>
      </c>
      <c r="L128" s="107" t="s">
        <v>56</v>
      </c>
      <c r="M128" s="107" t="s">
        <v>42</v>
      </c>
      <c r="N128" s="152" t="s">
        <v>546</v>
      </c>
      <c r="O128" s="98" t="s">
        <v>44</v>
      </c>
      <c r="P128" s="84">
        <v>45442</v>
      </c>
      <c r="Q128" s="131" t="s">
        <v>128</v>
      </c>
      <c r="R128" s="99" t="s">
        <v>46</v>
      </c>
      <c r="S128" s="99" t="s">
        <v>47</v>
      </c>
      <c r="T128" s="87">
        <v>45413</v>
      </c>
      <c r="U128" s="87">
        <f t="shared" si="25"/>
        <v>45420</v>
      </c>
      <c r="V128" s="87">
        <v>45429</v>
      </c>
      <c r="W128" s="87">
        <v>45432</v>
      </c>
      <c r="X128" s="60"/>
      <c r="Y128" s="315" t="s">
        <v>150</v>
      </c>
      <c r="Z128" s="151" t="s">
        <v>591</v>
      </c>
      <c r="AA128" s="151" t="s">
        <v>592</v>
      </c>
      <c r="AB128" s="89" t="s">
        <v>49</v>
      </c>
      <c r="AC128" s="73">
        <f t="shared" ref="AC128:AC137" si="40">G128</f>
        <v>1</v>
      </c>
      <c r="AD128" s="73">
        <f t="shared" ref="AD128:AD137" si="41">G128-AC128</f>
        <v>0</v>
      </c>
      <c r="AE128" s="101" t="s">
        <v>151</v>
      </c>
      <c r="AF128" s="90"/>
    </row>
    <row r="129" s="21" customFormat="1" ht="15" customHeight="1" spans="1:32">
      <c r="A129" s="75">
        <v>126</v>
      </c>
      <c r="B129" s="76" t="s">
        <v>593</v>
      </c>
      <c r="C129" s="76" t="s">
        <v>594</v>
      </c>
      <c r="D129" s="76" t="s">
        <v>487</v>
      </c>
      <c r="E129" s="78" t="s">
        <v>595</v>
      </c>
      <c r="F129" s="76" t="s">
        <v>596</v>
      </c>
      <c r="G129" s="79">
        <v>2</v>
      </c>
      <c r="H129" s="80" t="s">
        <v>94</v>
      </c>
      <c r="I129" s="80" t="s">
        <v>38</v>
      </c>
      <c r="J129" s="80" t="s">
        <v>39</v>
      </c>
      <c r="K129" s="80" t="s">
        <v>535</v>
      </c>
      <c r="L129" s="107" t="s">
        <v>56</v>
      </c>
      <c r="M129" s="107" t="s">
        <v>42</v>
      </c>
      <c r="N129" s="152" t="s">
        <v>546</v>
      </c>
      <c r="O129" s="98" t="s">
        <v>44</v>
      </c>
      <c r="P129" s="84">
        <v>45397</v>
      </c>
      <c r="Q129" s="131" t="s">
        <v>128</v>
      </c>
      <c r="R129" s="99" t="s">
        <v>46</v>
      </c>
      <c r="S129" s="127" t="s">
        <v>147</v>
      </c>
      <c r="T129" s="86">
        <v>45413</v>
      </c>
      <c r="U129" s="86">
        <f t="shared" si="25"/>
        <v>45420</v>
      </c>
      <c r="V129" s="86">
        <v>45429</v>
      </c>
      <c r="W129" s="86">
        <v>45432</v>
      </c>
      <c r="X129" s="160"/>
      <c r="Y129" s="315" t="s">
        <v>150</v>
      </c>
      <c r="Z129" s="151" t="s">
        <v>596</v>
      </c>
      <c r="AA129" s="151" t="s">
        <v>597</v>
      </c>
      <c r="AB129" s="89" t="s">
        <v>49</v>
      </c>
      <c r="AC129" s="73">
        <f t="shared" si="40"/>
        <v>2</v>
      </c>
      <c r="AD129" s="73">
        <f t="shared" si="41"/>
        <v>0</v>
      </c>
      <c r="AE129" s="101" t="s">
        <v>151</v>
      </c>
      <c r="AF129" s="90"/>
    </row>
    <row r="130" s="21" customFormat="1" ht="15" customHeight="1" spans="1:32">
      <c r="A130" s="75">
        <v>127</v>
      </c>
      <c r="B130" s="76" t="s">
        <v>598</v>
      </c>
      <c r="C130" s="76" t="s">
        <v>599</v>
      </c>
      <c r="D130" s="76" t="s">
        <v>487</v>
      </c>
      <c r="E130" s="78" t="s">
        <v>600</v>
      </c>
      <c r="F130" s="76" t="s">
        <v>601</v>
      </c>
      <c r="G130" s="79">
        <v>2</v>
      </c>
      <c r="H130" s="80" t="s">
        <v>94</v>
      </c>
      <c r="I130" s="80" t="s">
        <v>38</v>
      </c>
      <c r="J130" s="80" t="s">
        <v>39</v>
      </c>
      <c r="K130" s="80" t="s">
        <v>535</v>
      </c>
      <c r="L130" s="107" t="s">
        <v>56</v>
      </c>
      <c r="M130" s="107" t="s">
        <v>42</v>
      </c>
      <c r="N130" s="152" t="s">
        <v>546</v>
      </c>
      <c r="O130" s="98" t="s">
        <v>44</v>
      </c>
      <c r="P130" s="84">
        <v>45397</v>
      </c>
      <c r="Q130" s="131" t="s">
        <v>128</v>
      </c>
      <c r="R130" s="99" t="s">
        <v>46</v>
      </c>
      <c r="S130" s="127" t="s">
        <v>147</v>
      </c>
      <c r="T130" s="86">
        <v>45413</v>
      </c>
      <c r="U130" s="86">
        <f t="shared" si="25"/>
        <v>45420</v>
      </c>
      <c r="V130" s="86">
        <v>45429</v>
      </c>
      <c r="W130" s="86">
        <v>45432</v>
      </c>
      <c r="X130" s="160"/>
      <c r="Y130" s="315" t="s">
        <v>150</v>
      </c>
      <c r="Z130" s="151" t="s">
        <v>601</v>
      </c>
      <c r="AA130" s="151" t="s">
        <v>602</v>
      </c>
      <c r="AB130" s="89" t="s">
        <v>49</v>
      </c>
      <c r="AC130" s="73">
        <f t="shared" si="40"/>
        <v>2</v>
      </c>
      <c r="AD130" s="73">
        <f t="shared" si="41"/>
        <v>0</v>
      </c>
      <c r="AE130" s="101" t="s">
        <v>151</v>
      </c>
      <c r="AF130" s="90"/>
    </row>
    <row r="131" s="21" customFormat="1" ht="15" customHeight="1" spans="1:32">
      <c r="A131" s="75">
        <v>128</v>
      </c>
      <c r="B131" s="76" t="s">
        <v>603</v>
      </c>
      <c r="C131" s="76" t="s">
        <v>604</v>
      </c>
      <c r="D131" s="76" t="s">
        <v>487</v>
      </c>
      <c r="E131" s="78" t="s">
        <v>605</v>
      </c>
      <c r="F131" s="76" t="s">
        <v>606</v>
      </c>
      <c r="G131" s="79">
        <v>4</v>
      </c>
      <c r="H131" s="80" t="s">
        <v>94</v>
      </c>
      <c r="I131" s="80" t="s">
        <v>38</v>
      </c>
      <c r="J131" s="80" t="s">
        <v>39</v>
      </c>
      <c r="K131" s="80" t="s">
        <v>535</v>
      </c>
      <c r="L131" s="107" t="s">
        <v>56</v>
      </c>
      <c r="M131" s="107" t="s">
        <v>42</v>
      </c>
      <c r="N131" s="152" t="s">
        <v>546</v>
      </c>
      <c r="O131" s="98" t="s">
        <v>44</v>
      </c>
      <c r="P131" s="84">
        <v>45397</v>
      </c>
      <c r="Q131" s="131" t="s">
        <v>128</v>
      </c>
      <c r="R131" s="99" t="s">
        <v>46</v>
      </c>
      <c r="S131" s="127" t="s">
        <v>147</v>
      </c>
      <c r="T131" s="86">
        <v>45413</v>
      </c>
      <c r="U131" s="86">
        <f t="shared" si="25"/>
        <v>45420</v>
      </c>
      <c r="V131" s="86">
        <v>45429</v>
      </c>
      <c r="W131" s="86">
        <v>45432</v>
      </c>
      <c r="X131" s="160"/>
      <c r="Y131" s="315" t="s">
        <v>150</v>
      </c>
      <c r="Z131" s="151" t="s">
        <v>607</v>
      </c>
      <c r="AA131" s="151" t="s">
        <v>608</v>
      </c>
      <c r="AB131" s="89" t="s">
        <v>49</v>
      </c>
      <c r="AC131" s="73">
        <f t="shared" si="40"/>
        <v>4</v>
      </c>
      <c r="AD131" s="73">
        <f t="shared" si="41"/>
        <v>0</v>
      </c>
      <c r="AE131" s="101" t="s">
        <v>151</v>
      </c>
      <c r="AF131" s="90"/>
    </row>
    <row r="132" s="21" customFormat="1" ht="15" customHeight="1" spans="1:32">
      <c r="A132" s="75">
        <v>129</v>
      </c>
      <c r="B132" s="76" t="s">
        <v>609</v>
      </c>
      <c r="C132" s="76" t="s">
        <v>610</v>
      </c>
      <c r="D132" s="76" t="s">
        <v>487</v>
      </c>
      <c r="E132" s="78" t="s">
        <v>611</v>
      </c>
      <c r="F132" s="76" t="s">
        <v>612</v>
      </c>
      <c r="G132" s="79">
        <v>4</v>
      </c>
      <c r="H132" s="80" t="s">
        <v>94</v>
      </c>
      <c r="I132" s="80" t="s">
        <v>38</v>
      </c>
      <c r="J132" s="80" t="s">
        <v>39</v>
      </c>
      <c r="K132" s="80" t="s">
        <v>535</v>
      </c>
      <c r="L132" s="107" t="s">
        <v>56</v>
      </c>
      <c r="M132" s="107" t="s">
        <v>42</v>
      </c>
      <c r="N132" s="152" t="s">
        <v>546</v>
      </c>
      <c r="O132" s="98" t="s">
        <v>44</v>
      </c>
      <c r="P132" s="84">
        <v>45442</v>
      </c>
      <c r="Q132" s="131" t="s">
        <v>128</v>
      </c>
      <c r="R132" s="99" t="s">
        <v>46</v>
      </c>
      <c r="S132" s="99" t="s">
        <v>47</v>
      </c>
      <c r="T132" s="87">
        <v>45413</v>
      </c>
      <c r="U132" s="87">
        <f t="shared" si="25"/>
        <v>45420</v>
      </c>
      <c r="V132" s="87">
        <v>45429</v>
      </c>
      <c r="W132" s="87">
        <v>45432</v>
      </c>
      <c r="X132" s="60"/>
      <c r="Y132" s="315" t="s">
        <v>150</v>
      </c>
      <c r="Z132" s="151" t="s">
        <v>613</v>
      </c>
      <c r="AA132" s="151" t="s">
        <v>614</v>
      </c>
      <c r="AB132" s="89" t="s">
        <v>49</v>
      </c>
      <c r="AC132" s="73">
        <f t="shared" si="40"/>
        <v>4</v>
      </c>
      <c r="AD132" s="73">
        <f t="shared" si="41"/>
        <v>0</v>
      </c>
      <c r="AE132" s="101" t="s">
        <v>151</v>
      </c>
      <c r="AF132" s="90"/>
    </row>
    <row r="133" s="21" customFormat="1" ht="15" customHeight="1" spans="1:32">
      <c r="A133" s="75">
        <v>130</v>
      </c>
      <c r="B133" s="76" t="s">
        <v>615</v>
      </c>
      <c r="C133" s="76" t="s">
        <v>616</v>
      </c>
      <c r="D133" s="76" t="s">
        <v>487</v>
      </c>
      <c r="E133" s="78" t="s">
        <v>617</v>
      </c>
      <c r="F133" s="106" t="s">
        <v>618</v>
      </c>
      <c r="G133" s="79">
        <v>8</v>
      </c>
      <c r="H133" s="80" t="s">
        <v>94</v>
      </c>
      <c r="I133" s="80" t="s">
        <v>38</v>
      </c>
      <c r="J133" s="80" t="s">
        <v>39</v>
      </c>
      <c r="K133" s="80" t="s">
        <v>535</v>
      </c>
      <c r="L133" s="107" t="s">
        <v>56</v>
      </c>
      <c r="M133" s="107" t="s">
        <v>42</v>
      </c>
      <c r="N133" s="152" t="s">
        <v>546</v>
      </c>
      <c r="O133" s="98" t="s">
        <v>44</v>
      </c>
      <c r="P133" s="84">
        <v>45442</v>
      </c>
      <c r="Q133" s="131" t="s">
        <v>128</v>
      </c>
      <c r="R133" s="99" t="s">
        <v>46</v>
      </c>
      <c r="S133" s="99" t="s">
        <v>47</v>
      </c>
      <c r="T133" s="87">
        <v>45413</v>
      </c>
      <c r="U133" s="87">
        <f t="shared" si="25"/>
        <v>45420</v>
      </c>
      <c r="V133" s="87">
        <v>45429</v>
      </c>
      <c r="W133" s="87">
        <v>45432</v>
      </c>
      <c r="X133" s="60"/>
      <c r="Y133" s="315" t="s">
        <v>150</v>
      </c>
      <c r="Z133" s="151" t="s">
        <v>619</v>
      </c>
      <c r="AA133" s="151" t="s">
        <v>620</v>
      </c>
      <c r="AB133" s="89" t="s">
        <v>49</v>
      </c>
      <c r="AC133" s="73">
        <f t="shared" si="40"/>
        <v>8</v>
      </c>
      <c r="AD133" s="73">
        <f t="shared" si="41"/>
        <v>0</v>
      </c>
      <c r="AE133" s="101" t="s">
        <v>151</v>
      </c>
      <c r="AF133" s="90"/>
    </row>
    <row r="134" s="21" customFormat="1" ht="15" customHeight="1" spans="1:32">
      <c r="A134" s="75">
        <v>131</v>
      </c>
      <c r="B134" s="76" t="s">
        <v>621</v>
      </c>
      <c r="C134" s="76" t="s">
        <v>622</v>
      </c>
      <c r="D134" s="76" t="s">
        <v>487</v>
      </c>
      <c r="E134" s="78" t="s">
        <v>623</v>
      </c>
      <c r="F134" s="106" t="s">
        <v>624</v>
      </c>
      <c r="G134" s="79">
        <v>2</v>
      </c>
      <c r="H134" s="80" t="s">
        <v>94</v>
      </c>
      <c r="I134" s="80" t="s">
        <v>38</v>
      </c>
      <c r="J134" s="80" t="s">
        <v>39</v>
      </c>
      <c r="K134" s="80" t="s">
        <v>535</v>
      </c>
      <c r="L134" s="107" t="s">
        <v>56</v>
      </c>
      <c r="M134" s="107" t="s">
        <v>42</v>
      </c>
      <c r="N134" s="152" t="s">
        <v>546</v>
      </c>
      <c r="O134" s="98" t="s">
        <v>44</v>
      </c>
      <c r="P134" s="84">
        <v>45442</v>
      </c>
      <c r="Q134" s="131" t="s">
        <v>128</v>
      </c>
      <c r="R134" s="99" t="s">
        <v>46</v>
      </c>
      <c r="S134" s="99" t="s">
        <v>47</v>
      </c>
      <c r="T134" s="87">
        <v>45413</v>
      </c>
      <c r="U134" s="87">
        <f t="shared" si="25"/>
        <v>45420</v>
      </c>
      <c r="V134" s="87">
        <v>45429</v>
      </c>
      <c r="W134" s="87">
        <v>45432</v>
      </c>
      <c r="X134" s="60"/>
      <c r="Y134" s="315" t="s">
        <v>150</v>
      </c>
      <c r="Z134" s="151" t="s">
        <v>625</v>
      </c>
      <c r="AA134" s="151" t="s">
        <v>626</v>
      </c>
      <c r="AB134" s="89" t="s">
        <v>49</v>
      </c>
      <c r="AC134" s="73">
        <f t="shared" si="40"/>
        <v>2</v>
      </c>
      <c r="AD134" s="73">
        <f t="shared" si="41"/>
        <v>0</v>
      </c>
      <c r="AE134" s="101" t="s">
        <v>151</v>
      </c>
      <c r="AF134" s="90"/>
    </row>
    <row r="135" s="21" customFormat="1" ht="15" customHeight="1" spans="1:32">
      <c r="A135" s="75">
        <v>132</v>
      </c>
      <c r="B135" s="76" t="s">
        <v>627</v>
      </c>
      <c r="C135" s="76" t="s">
        <v>628</v>
      </c>
      <c r="D135" s="76" t="s">
        <v>487</v>
      </c>
      <c r="E135" s="78" t="s">
        <v>629</v>
      </c>
      <c r="F135" s="76" t="s">
        <v>630</v>
      </c>
      <c r="G135" s="79">
        <v>2</v>
      </c>
      <c r="H135" s="80" t="s">
        <v>94</v>
      </c>
      <c r="I135" s="80" t="s">
        <v>38</v>
      </c>
      <c r="J135" s="80" t="s">
        <v>39</v>
      </c>
      <c r="K135" s="80" t="s">
        <v>535</v>
      </c>
      <c r="L135" s="107" t="s">
        <v>56</v>
      </c>
      <c r="M135" s="107" t="s">
        <v>42</v>
      </c>
      <c r="N135" s="152" t="s">
        <v>546</v>
      </c>
      <c r="O135" s="98" t="s">
        <v>44</v>
      </c>
      <c r="P135" s="84">
        <v>45442</v>
      </c>
      <c r="Q135" s="131" t="s">
        <v>128</v>
      </c>
      <c r="R135" s="99" t="s">
        <v>46</v>
      </c>
      <c r="S135" s="99" t="s">
        <v>47</v>
      </c>
      <c r="T135" s="87">
        <v>45413</v>
      </c>
      <c r="U135" s="87">
        <f t="shared" si="25"/>
        <v>45420</v>
      </c>
      <c r="V135" s="87">
        <v>45429</v>
      </c>
      <c r="W135" s="87">
        <v>45432</v>
      </c>
      <c r="X135" s="60"/>
      <c r="Y135" s="315" t="s">
        <v>150</v>
      </c>
      <c r="Z135" s="151" t="s">
        <v>631</v>
      </c>
      <c r="AA135" s="151" t="s">
        <v>632</v>
      </c>
      <c r="AB135" s="89" t="s">
        <v>49</v>
      </c>
      <c r="AC135" s="73">
        <f t="shared" si="40"/>
        <v>2</v>
      </c>
      <c r="AD135" s="73">
        <f t="shared" si="41"/>
        <v>0</v>
      </c>
      <c r="AE135" s="101" t="s">
        <v>151</v>
      </c>
      <c r="AF135" s="90"/>
    </row>
    <row r="136" s="21" customFormat="1" ht="15" customHeight="1" spans="1:32">
      <c r="A136" s="75">
        <v>133</v>
      </c>
      <c r="B136" s="76" t="s">
        <v>633</v>
      </c>
      <c r="C136" s="76" t="s">
        <v>634</v>
      </c>
      <c r="D136" s="76" t="s">
        <v>487</v>
      </c>
      <c r="E136" s="78" t="s">
        <v>635</v>
      </c>
      <c r="F136" s="106" t="s">
        <v>636</v>
      </c>
      <c r="G136" s="79">
        <v>2</v>
      </c>
      <c r="H136" s="80" t="s">
        <v>94</v>
      </c>
      <c r="I136" s="80" t="s">
        <v>38</v>
      </c>
      <c r="J136" s="80" t="s">
        <v>39</v>
      </c>
      <c r="K136" s="80" t="s">
        <v>535</v>
      </c>
      <c r="L136" s="107" t="s">
        <v>56</v>
      </c>
      <c r="M136" s="107" t="s">
        <v>42</v>
      </c>
      <c r="N136" s="152" t="s">
        <v>546</v>
      </c>
      <c r="O136" s="98" t="s">
        <v>44</v>
      </c>
      <c r="P136" s="84">
        <v>45442</v>
      </c>
      <c r="Q136" s="131" t="s">
        <v>128</v>
      </c>
      <c r="R136" s="99" t="s">
        <v>46</v>
      </c>
      <c r="S136" s="99" t="s">
        <v>47</v>
      </c>
      <c r="T136" s="87">
        <v>45413</v>
      </c>
      <c r="U136" s="87">
        <f t="shared" si="25"/>
        <v>45420</v>
      </c>
      <c r="V136" s="87">
        <v>45429</v>
      </c>
      <c r="W136" s="87">
        <v>45432</v>
      </c>
      <c r="X136" s="60"/>
      <c r="Y136" s="315" t="s">
        <v>150</v>
      </c>
      <c r="Z136" s="151" t="s">
        <v>636</v>
      </c>
      <c r="AA136" s="151" t="s">
        <v>637</v>
      </c>
      <c r="AB136" s="89" t="s">
        <v>49</v>
      </c>
      <c r="AC136" s="73">
        <f t="shared" si="40"/>
        <v>2</v>
      </c>
      <c r="AD136" s="73">
        <f t="shared" si="41"/>
        <v>0</v>
      </c>
      <c r="AE136" s="101" t="s">
        <v>151</v>
      </c>
      <c r="AF136" s="90"/>
    </row>
    <row r="137" s="21" customFormat="1" ht="15" customHeight="1" spans="1:32">
      <c r="A137" s="75">
        <v>134</v>
      </c>
      <c r="B137" s="76" t="s">
        <v>638</v>
      </c>
      <c r="C137" s="76" t="s">
        <v>639</v>
      </c>
      <c r="D137" s="76" t="s">
        <v>487</v>
      </c>
      <c r="E137" s="78" t="s">
        <v>640</v>
      </c>
      <c r="F137" s="76" t="s">
        <v>641</v>
      </c>
      <c r="G137" s="79">
        <v>2</v>
      </c>
      <c r="H137" s="80" t="s">
        <v>94</v>
      </c>
      <c r="I137" s="80" t="s">
        <v>38</v>
      </c>
      <c r="J137" s="80" t="s">
        <v>39</v>
      </c>
      <c r="K137" s="80" t="s">
        <v>535</v>
      </c>
      <c r="L137" s="107" t="s">
        <v>56</v>
      </c>
      <c r="M137" s="107" t="s">
        <v>42</v>
      </c>
      <c r="N137" s="152" t="s">
        <v>546</v>
      </c>
      <c r="O137" s="98" t="s">
        <v>44</v>
      </c>
      <c r="P137" s="84">
        <v>45442</v>
      </c>
      <c r="Q137" s="131" t="s">
        <v>128</v>
      </c>
      <c r="R137" s="99" t="s">
        <v>46</v>
      </c>
      <c r="S137" s="99" t="s">
        <v>47</v>
      </c>
      <c r="T137" s="87">
        <v>45413</v>
      </c>
      <c r="U137" s="87">
        <f t="shared" si="25"/>
        <v>45420</v>
      </c>
      <c r="V137" s="87">
        <v>45429</v>
      </c>
      <c r="W137" s="87">
        <v>45432</v>
      </c>
      <c r="X137" s="60"/>
      <c r="Y137" s="315" t="s">
        <v>150</v>
      </c>
      <c r="Z137" s="151" t="s">
        <v>641</v>
      </c>
      <c r="AA137" s="151" t="s">
        <v>642</v>
      </c>
      <c r="AB137" s="89" t="s">
        <v>49</v>
      </c>
      <c r="AC137" s="73">
        <f t="shared" si="40"/>
        <v>2</v>
      </c>
      <c r="AD137" s="73">
        <f t="shared" si="41"/>
        <v>0</v>
      </c>
      <c r="AE137" s="101" t="s">
        <v>151</v>
      </c>
      <c r="AF137" s="90"/>
    </row>
    <row r="138" s="21" customFormat="1" ht="15" customHeight="1" spans="1:32">
      <c r="A138" s="75">
        <v>135</v>
      </c>
      <c r="B138" s="76" t="s">
        <v>643</v>
      </c>
      <c r="C138" s="60"/>
      <c r="D138" s="76" t="s">
        <v>188</v>
      </c>
      <c r="E138" s="78" t="s">
        <v>644</v>
      </c>
      <c r="F138" s="76" t="s">
        <v>645</v>
      </c>
      <c r="G138" s="79">
        <v>1</v>
      </c>
      <c r="H138" s="80" t="s">
        <v>94</v>
      </c>
      <c r="I138" s="80" t="s">
        <v>38</v>
      </c>
      <c r="J138" s="80" t="s">
        <v>39</v>
      </c>
      <c r="K138" s="80" t="s">
        <v>535</v>
      </c>
      <c r="L138" s="94" t="s">
        <v>56</v>
      </c>
      <c r="M138" s="94" t="s">
        <v>42</v>
      </c>
      <c r="N138" s="152" t="s">
        <v>546</v>
      </c>
      <c r="O138" s="98" t="s">
        <v>44</v>
      </c>
      <c r="P138" s="84">
        <v>45397</v>
      </c>
      <c r="Q138" s="131" t="s">
        <v>537</v>
      </c>
      <c r="R138" s="99" t="s">
        <v>66</v>
      </c>
      <c r="S138" s="127" t="s">
        <v>147</v>
      </c>
      <c r="T138" s="87">
        <v>45390</v>
      </c>
      <c r="U138" s="87">
        <f t="shared" si="25"/>
        <v>45397</v>
      </c>
      <c r="V138" s="87">
        <v>45399</v>
      </c>
      <c r="W138" s="87">
        <f t="shared" ref="W131:W194" si="42">V138+7</f>
        <v>45406</v>
      </c>
      <c r="X138" s="60"/>
      <c r="Y138" s="315" t="s">
        <v>538</v>
      </c>
      <c r="Z138" s="151" t="s">
        <v>645</v>
      </c>
      <c r="AA138" s="151" t="s">
        <v>646</v>
      </c>
      <c r="AB138" s="89" t="s">
        <v>49</v>
      </c>
      <c r="AC138" s="73">
        <f t="shared" ref="AC138:AC141" si="43">G138</f>
        <v>1</v>
      </c>
      <c r="AD138" s="73">
        <f t="shared" ref="AD138:AD141" si="44">G138-AC138</f>
        <v>0</v>
      </c>
      <c r="AE138" s="101" t="s">
        <v>541</v>
      </c>
      <c r="AF138" s="90" t="s">
        <v>542</v>
      </c>
    </row>
    <row r="139" s="21" customFormat="1" ht="15" customHeight="1" spans="1:32">
      <c r="A139" s="75">
        <v>136</v>
      </c>
      <c r="B139" s="76" t="s">
        <v>647</v>
      </c>
      <c r="C139" s="60"/>
      <c r="D139" s="76" t="s">
        <v>188</v>
      </c>
      <c r="E139" s="78" t="s">
        <v>648</v>
      </c>
      <c r="F139" s="76" t="s">
        <v>649</v>
      </c>
      <c r="G139" s="79">
        <v>1</v>
      </c>
      <c r="H139" s="80" t="s">
        <v>94</v>
      </c>
      <c r="I139" s="80" t="s">
        <v>38</v>
      </c>
      <c r="J139" s="80" t="s">
        <v>39</v>
      </c>
      <c r="K139" s="80" t="s">
        <v>535</v>
      </c>
      <c r="L139" s="94" t="s">
        <v>56</v>
      </c>
      <c r="M139" s="94" t="s">
        <v>42</v>
      </c>
      <c r="N139" s="152" t="s">
        <v>546</v>
      </c>
      <c r="O139" s="98" t="s">
        <v>44</v>
      </c>
      <c r="P139" s="84">
        <v>45397</v>
      </c>
      <c r="Q139" s="131" t="s">
        <v>537</v>
      </c>
      <c r="R139" s="99" t="s">
        <v>66</v>
      </c>
      <c r="S139" s="127" t="s">
        <v>147</v>
      </c>
      <c r="T139" s="87">
        <v>45390</v>
      </c>
      <c r="U139" s="87">
        <f t="shared" si="25"/>
        <v>45397</v>
      </c>
      <c r="V139" s="87">
        <v>45399</v>
      </c>
      <c r="W139" s="87">
        <f t="shared" si="42"/>
        <v>45406</v>
      </c>
      <c r="X139" s="60"/>
      <c r="Y139" s="315" t="s">
        <v>538</v>
      </c>
      <c r="Z139" s="151" t="s">
        <v>649</v>
      </c>
      <c r="AA139" s="151" t="s">
        <v>650</v>
      </c>
      <c r="AB139" s="89" t="s">
        <v>49</v>
      </c>
      <c r="AC139" s="73">
        <f t="shared" si="43"/>
        <v>1</v>
      </c>
      <c r="AD139" s="73">
        <f t="shared" si="44"/>
        <v>0</v>
      </c>
      <c r="AE139" s="101" t="s">
        <v>541</v>
      </c>
      <c r="AF139" s="90" t="s">
        <v>542</v>
      </c>
    </row>
    <row r="140" s="21" customFormat="1" ht="15" customHeight="1" spans="1:32">
      <c r="A140" s="75">
        <v>137</v>
      </c>
      <c r="B140" s="76" t="s">
        <v>651</v>
      </c>
      <c r="C140" s="60"/>
      <c r="D140" s="76" t="s">
        <v>188</v>
      </c>
      <c r="E140" s="78" t="s">
        <v>652</v>
      </c>
      <c r="F140" s="76" t="s">
        <v>653</v>
      </c>
      <c r="G140" s="79">
        <v>1</v>
      </c>
      <c r="H140" s="80" t="s">
        <v>94</v>
      </c>
      <c r="I140" s="80" t="s">
        <v>38</v>
      </c>
      <c r="J140" s="80" t="s">
        <v>39</v>
      </c>
      <c r="K140" s="80" t="s">
        <v>535</v>
      </c>
      <c r="L140" s="94" t="s">
        <v>56</v>
      </c>
      <c r="M140" s="94" t="s">
        <v>42</v>
      </c>
      <c r="N140" s="152" t="s">
        <v>546</v>
      </c>
      <c r="O140" s="98" t="s">
        <v>44</v>
      </c>
      <c r="P140" s="84">
        <v>45397</v>
      </c>
      <c r="Q140" s="131" t="s">
        <v>537</v>
      </c>
      <c r="R140" s="99" t="s">
        <v>66</v>
      </c>
      <c r="S140" s="127" t="s">
        <v>147</v>
      </c>
      <c r="T140" s="87">
        <v>45390</v>
      </c>
      <c r="U140" s="87">
        <f t="shared" si="25"/>
        <v>45397</v>
      </c>
      <c r="V140" s="87">
        <v>45399</v>
      </c>
      <c r="W140" s="87">
        <f t="shared" si="42"/>
        <v>45406</v>
      </c>
      <c r="X140" s="60"/>
      <c r="Y140" s="315" t="s">
        <v>538</v>
      </c>
      <c r="Z140" s="151" t="s">
        <v>654</v>
      </c>
      <c r="AA140" s="151" t="s">
        <v>655</v>
      </c>
      <c r="AB140" s="89" t="s">
        <v>49</v>
      </c>
      <c r="AC140" s="73">
        <f t="shared" si="43"/>
        <v>1</v>
      </c>
      <c r="AD140" s="73">
        <f t="shared" si="44"/>
        <v>0</v>
      </c>
      <c r="AE140" s="101" t="s">
        <v>541</v>
      </c>
      <c r="AF140" s="90" t="s">
        <v>542</v>
      </c>
    </row>
    <row r="141" s="21" customFormat="1" ht="15" customHeight="1" spans="1:32">
      <c r="A141" s="75">
        <v>138</v>
      </c>
      <c r="B141" s="106" t="s">
        <v>656</v>
      </c>
      <c r="C141" s="60"/>
      <c r="D141" s="76" t="s">
        <v>188</v>
      </c>
      <c r="E141" s="78" t="s">
        <v>657</v>
      </c>
      <c r="F141" s="76" t="s">
        <v>658</v>
      </c>
      <c r="G141" s="79">
        <v>2</v>
      </c>
      <c r="H141" s="80" t="s">
        <v>94</v>
      </c>
      <c r="I141" s="80" t="s">
        <v>38</v>
      </c>
      <c r="J141" s="80" t="s">
        <v>39</v>
      </c>
      <c r="K141" s="80" t="s">
        <v>535</v>
      </c>
      <c r="L141" s="107" t="s">
        <v>56</v>
      </c>
      <c r="M141" s="107" t="s">
        <v>42</v>
      </c>
      <c r="N141" s="152" t="s">
        <v>546</v>
      </c>
      <c r="O141" s="98" t="s">
        <v>44</v>
      </c>
      <c r="P141" s="84">
        <v>45397</v>
      </c>
      <c r="Q141" s="131" t="s">
        <v>128</v>
      </c>
      <c r="R141" s="99" t="s">
        <v>46</v>
      </c>
      <c r="S141" s="127" t="s">
        <v>147</v>
      </c>
      <c r="T141" s="86">
        <v>45413</v>
      </c>
      <c r="U141" s="86">
        <f t="shared" si="25"/>
        <v>45420</v>
      </c>
      <c r="V141" s="86">
        <v>45429</v>
      </c>
      <c r="W141" s="86">
        <v>45432</v>
      </c>
      <c r="X141" s="160"/>
      <c r="Y141" s="315" t="s">
        <v>150</v>
      </c>
      <c r="Z141" s="151" t="s">
        <v>659</v>
      </c>
      <c r="AA141" s="151" t="s">
        <v>660</v>
      </c>
      <c r="AB141" s="89" t="s">
        <v>49</v>
      </c>
      <c r="AC141" s="73">
        <f t="shared" si="43"/>
        <v>2</v>
      </c>
      <c r="AD141" s="73">
        <f t="shared" si="44"/>
        <v>0</v>
      </c>
      <c r="AE141" s="101" t="s">
        <v>151</v>
      </c>
      <c r="AF141" s="90"/>
    </row>
    <row r="142" s="21" customFormat="1" ht="15" customHeight="1" spans="1:32">
      <c r="A142" s="75">
        <v>139</v>
      </c>
      <c r="B142" s="76" t="s">
        <v>661</v>
      </c>
      <c r="C142" s="60"/>
      <c r="D142" s="76" t="s">
        <v>188</v>
      </c>
      <c r="E142" s="78" t="s">
        <v>662</v>
      </c>
      <c r="F142" s="76" t="s">
        <v>663</v>
      </c>
      <c r="G142" s="79">
        <v>1</v>
      </c>
      <c r="H142" s="80" t="s">
        <v>94</v>
      </c>
      <c r="I142" s="80" t="s">
        <v>38</v>
      </c>
      <c r="J142" s="80" t="s">
        <v>39</v>
      </c>
      <c r="K142" s="80" t="s">
        <v>535</v>
      </c>
      <c r="L142" s="107" t="s">
        <v>56</v>
      </c>
      <c r="M142" s="107" t="s">
        <v>42</v>
      </c>
      <c r="N142" s="152" t="s">
        <v>546</v>
      </c>
      <c r="O142" s="98" t="s">
        <v>44</v>
      </c>
      <c r="P142" s="84">
        <v>45397</v>
      </c>
      <c r="Q142" s="131" t="s">
        <v>537</v>
      </c>
      <c r="R142" s="99" t="s">
        <v>66</v>
      </c>
      <c r="S142" s="127" t="s">
        <v>147</v>
      </c>
      <c r="T142" s="87">
        <v>45390</v>
      </c>
      <c r="U142" s="87">
        <f t="shared" si="25"/>
        <v>45397</v>
      </c>
      <c r="V142" s="87">
        <v>45399</v>
      </c>
      <c r="W142" s="87">
        <f t="shared" si="42"/>
        <v>45406</v>
      </c>
      <c r="X142" s="60"/>
      <c r="Y142" s="315" t="s">
        <v>538</v>
      </c>
      <c r="Z142" s="151" t="s">
        <v>663</v>
      </c>
      <c r="AA142" s="151" t="s">
        <v>664</v>
      </c>
      <c r="AB142" s="89" t="s">
        <v>49</v>
      </c>
      <c r="AC142" s="73">
        <f t="shared" ref="AC142:AC150" si="45">G142</f>
        <v>1</v>
      </c>
      <c r="AD142" s="73">
        <f t="shared" ref="AD142:AD150" si="46">G142-AC142</f>
        <v>0</v>
      </c>
      <c r="AE142" s="101" t="s">
        <v>541</v>
      </c>
      <c r="AF142" s="90" t="s">
        <v>542</v>
      </c>
    </row>
    <row r="143" s="21" customFormat="1" ht="15" customHeight="1" spans="1:32">
      <c r="A143" s="75">
        <v>140</v>
      </c>
      <c r="B143" s="76" t="s">
        <v>665</v>
      </c>
      <c r="C143" s="60"/>
      <c r="D143" s="76" t="s">
        <v>188</v>
      </c>
      <c r="E143" s="78" t="s">
        <v>666</v>
      </c>
      <c r="F143" s="76" t="s">
        <v>667</v>
      </c>
      <c r="G143" s="79">
        <v>1</v>
      </c>
      <c r="H143" s="80" t="s">
        <v>94</v>
      </c>
      <c r="I143" s="80" t="s">
        <v>38</v>
      </c>
      <c r="J143" s="80" t="s">
        <v>39</v>
      </c>
      <c r="K143" s="80" t="s">
        <v>535</v>
      </c>
      <c r="L143" s="107" t="s">
        <v>56</v>
      </c>
      <c r="M143" s="107" t="s">
        <v>42</v>
      </c>
      <c r="N143" s="152" t="s">
        <v>546</v>
      </c>
      <c r="O143" s="98" t="s">
        <v>44</v>
      </c>
      <c r="P143" s="84">
        <v>45397</v>
      </c>
      <c r="Q143" s="131" t="s">
        <v>537</v>
      </c>
      <c r="R143" s="99" t="s">
        <v>66</v>
      </c>
      <c r="S143" s="127" t="s">
        <v>147</v>
      </c>
      <c r="T143" s="87">
        <v>45390</v>
      </c>
      <c r="U143" s="87">
        <f t="shared" si="25"/>
        <v>45397</v>
      </c>
      <c r="V143" s="87">
        <v>45399</v>
      </c>
      <c r="W143" s="87">
        <f t="shared" si="42"/>
        <v>45406</v>
      </c>
      <c r="X143" s="60"/>
      <c r="Y143" s="315" t="s">
        <v>538</v>
      </c>
      <c r="Z143" s="151" t="s">
        <v>667</v>
      </c>
      <c r="AA143" s="151" t="s">
        <v>668</v>
      </c>
      <c r="AB143" s="89" t="s">
        <v>49</v>
      </c>
      <c r="AC143" s="73">
        <f t="shared" si="45"/>
        <v>1</v>
      </c>
      <c r="AD143" s="73">
        <f t="shared" si="46"/>
        <v>0</v>
      </c>
      <c r="AE143" s="101" t="s">
        <v>541</v>
      </c>
      <c r="AF143" s="90" t="s">
        <v>542</v>
      </c>
    </row>
    <row r="144" s="21" customFormat="1" ht="21" customHeight="1" spans="1:32">
      <c r="A144" s="75">
        <v>141</v>
      </c>
      <c r="B144" s="76" t="s">
        <v>669</v>
      </c>
      <c r="C144" s="60"/>
      <c r="D144" s="76" t="s">
        <v>188</v>
      </c>
      <c r="E144" s="78" t="s">
        <v>670</v>
      </c>
      <c r="F144" s="76" t="s">
        <v>671</v>
      </c>
      <c r="G144" s="79">
        <v>2</v>
      </c>
      <c r="H144" s="80" t="s">
        <v>94</v>
      </c>
      <c r="I144" s="80" t="s">
        <v>38</v>
      </c>
      <c r="J144" s="80" t="s">
        <v>39</v>
      </c>
      <c r="K144" s="80" t="s">
        <v>535</v>
      </c>
      <c r="L144" s="94" t="s">
        <v>56</v>
      </c>
      <c r="M144" s="94" t="s">
        <v>42</v>
      </c>
      <c r="N144" s="152" t="s">
        <v>546</v>
      </c>
      <c r="O144" s="47" t="s">
        <v>44</v>
      </c>
      <c r="P144" s="84">
        <v>45361</v>
      </c>
      <c r="Q144" s="85" t="s">
        <v>128</v>
      </c>
      <c r="R144" s="99" t="s">
        <v>46</v>
      </c>
      <c r="S144" s="127" t="s">
        <v>147</v>
      </c>
      <c r="T144" s="86">
        <v>45413</v>
      </c>
      <c r="U144" s="86">
        <f t="shared" ref="U144:U159" si="47">T144+7</f>
        <v>45420</v>
      </c>
      <c r="V144" s="86">
        <v>45429</v>
      </c>
      <c r="W144" s="86">
        <v>45432</v>
      </c>
      <c r="X144" s="160"/>
      <c r="Y144" s="315" t="s">
        <v>150</v>
      </c>
      <c r="Z144" s="151" t="s">
        <v>671</v>
      </c>
      <c r="AA144" s="151" t="s">
        <v>672</v>
      </c>
      <c r="AB144" s="89" t="s">
        <v>49</v>
      </c>
      <c r="AC144" s="73">
        <f t="shared" si="45"/>
        <v>2</v>
      </c>
      <c r="AD144" s="73">
        <f t="shared" si="46"/>
        <v>0</v>
      </c>
      <c r="AE144" s="101" t="s">
        <v>151</v>
      </c>
      <c r="AF144" s="90"/>
    </row>
    <row r="145" s="21" customFormat="1" ht="15" customHeight="1" spans="1:32">
      <c r="A145" s="75">
        <v>142</v>
      </c>
      <c r="B145" s="76" t="s">
        <v>673</v>
      </c>
      <c r="C145" s="60"/>
      <c r="D145" s="76" t="s">
        <v>188</v>
      </c>
      <c r="E145" s="78" t="s">
        <v>674</v>
      </c>
      <c r="F145" s="76" t="s">
        <v>675</v>
      </c>
      <c r="G145" s="79">
        <v>1</v>
      </c>
      <c r="H145" s="80" t="s">
        <v>94</v>
      </c>
      <c r="I145" s="80" t="s">
        <v>38</v>
      </c>
      <c r="J145" s="80" t="s">
        <v>39</v>
      </c>
      <c r="K145" s="80" t="s">
        <v>535</v>
      </c>
      <c r="L145" s="107" t="s">
        <v>56</v>
      </c>
      <c r="M145" s="107" t="s">
        <v>42</v>
      </c>
      <c r="N145" s="152" t="s">
        <v>546</v>
      </c>
      <c r="O145" s="98" t="s">
        <v>44</v>
      </c>
      <c r="P145" s="84">
        <v>45397</v>
      </c>
      <c r="Q145" s="131" t="s">
        <v>128</v>
      </c>
      <c r="R145" s="99" t="s">
        <v>46</v>
      </c>
      <c r="S145" s="127" t="s">
        <v>147</v>
      </c>
      <c r="T145" s="86">
        <v>45413</v>
      </c>
      <c r="U145" s="86">
        <f t="shared" si="47"/>
        <v>45420</v>
      </c>
      <c r="V145" s="86">
        <v>45429</v>
      </c>
      <c r="W145" s="86">
        <v>45432</v>
      </c>
      <c r="X145" s="160"/>
      <c r="Y145" s="315" t="s">
        <v>150</v>
      </c>
      <c r="Z145" s="151" t="s">
        <v>676</v>
      </c>
      <c r="AA145" s="151" t="s">
        <v>677</v>
      </c>
      <c r="AB145" s="89" t="s">
        <v>49</v>
      </c>
      <c r="AC145" s="73">
        <f t="shared" si="45"/>
        <v>1</v>
      </c>
      <c r="AD145" s="73">
        <f t="shared" si="46"/>
        <v>0</v>
      </c>
      <c r="AE145" s="101" t="s">
        <v>151</v>
      </c>
      <c r="AF145" s="90"/>
    </row>
    <row r="146" s="21" customFormat="1" ht="21" customHeight="1" spans="1:32">
      <c r="A146" s="75">
        <v>143</v>
      </c>
      <c r="B146" s="76" t="s">
        <v>678</v>
      </c>
      <c r="C146" s="60"/>
      <c r="D146" s="76" t="s">
        <v>188</v>
      </c>
      <c r="E146" s="78" t="s">
        <v>679</v>
      </c>
      <c r="F146" s="76" t="s">
        <v>680</v>
      </c>
      <c r="G146" s="79">
        <v>1</v>
      </c>
      <c r="H146" s="80" t="s">
        <v>94</v>
      </c>
      <c r="I146" s="80" t="s">
        <v>38</v>
      </c>
      <c r="J146" s="80" t="s">
        <v>39</v>
      </c>
      <c r="K146" s="80" t="s">
        <v>535</v>
      </c>
      <c r="L146" s="94" t="s">
        <v>56</v>
      </c>
      <c r="M146" s="94" t="s">
        <v>42</v>
      </c>
      <c r="N146" s="152" t="s">
        <v>546</v>
      </c>
      <c r="O146" s="47" t="s">
        <v>44</v>
      </c>
      <c r="P146" s="84">
        <v>45361</v>
      </c>
      <c r="Q146" s="131" t="s">
        <v>537</v>
      </c>
      <c r="R146" s="99" t="s">
        <v>66</v>
      </c>
      <c r="S146" s="127" t="s">
        <v>147</v>
      </c>
      <c r="T146" s="87">
        <v>45390</v>
      </c>
      <c r="U146" s="87">
        <f t="shared" si="47"/>
        <v>45397</v>
      </c>
      <c r="V146" s="87">
        <v>45399</v>
      </c>
      <c r="W146" s="87">
        <f t="shared" si="42"/>
        <v>45406</v>
      </c>
      <c r="X146" s="60"/>
      <c r="Y146" s="315" t="s">
        <v>538</v>
      </c>
      <c r="Z146" s="151" t="s">
        <v>680</v>
      </c>
      <c r="AA146" s="151" t="s">
        <v>681</v>
      </c>
      <c r="AB146" s="89" t="s">
        <v>49</v>
      </c>
      <c r="AC146" s="73">
        <f t="shared" si="45"/>
        <v>1</v>
      </c>
      <c r="AD146" s="73">
        <f t="shared" si="46"/>
        <v>0</v>
      </c>
      <c r="AE146" s="101" t="s">
        <v>541</v>
      </c>
      <c r="AF146" s="90" t="s">
        <v>542</v>
      </c>
    </row>
    <row r="147" s="21" customFormat="1" ht="15" customHeight="1" spans="1:32">
      <c r="A147" s="75">
        <v>144</v>
      </c>
      <c r="B147" s="76" t="s">
        <v>682</v>
      </c>
      <c r="C147" s="60"/>
      <c r="D147" s="76" t="s">
        <v>188</v>
      </c>
      <c r="E147" s="78" t="s">
        <v>683</v>
      </c>
      <c r="F147" s="76" t="s">
        <v>684</v>
      </c>
      <c r="G147" s="79">
        <v>1</v>
      </c>
      <c r="H147" s="80" t="s">
        <v>94</v>
      </c>
      <c r="I147" s="80" t="s">
        <v>38</v>
      </c>
      <c r="J147" s="80" t="s">
        <v>39</v>
      </c>
      <c r="K147" s="80" t="s">
        <v>535</v>
      </c>
      <c r="L147" s="94" t="s">
        <v>56</v>
      </c>
      <c r="M147" s="94" t="s">
        <v>42</v>
      </c>
      <c r="N147" s="152" t="s">
        <v>546</v>
      </c>
      <c r="O147" s="98" t="s">
        <v>44</v>
      </c>
      <c r="P147" s="84">
        <v>45397</v>
      </c>
      <c r="Q147" s="131" t="s">
        <v>537</v>
      </c>
      <c r="R147" s="99" t="s">
        <v>66</v>
      </c>
      <c r="S147" s="127" t="s">
        <v>147</v>
      </c>
      <c r="T147" s="87">
        <v>45390</v>
      </c>
      <c r="U147" s="87">
        <f t="shared" si="47"/>
        <v>45397</v>
      </c>
      <c r="V147" s="87">
        <v>45399</v>
      </c>
      <c r="W147" s="87">
        <f t="shared" si="42"/>
        <v>45406</v>
      </c>
      <c r="X147" s="60"/>
      <c r="Y147" s="315" t="s">
        <v>538</v>
      </c>
      <c r="Z147" s="151" t="s">
        <v>684</v>
      </c>
      <c r="AA147" s="151" t="s">
        <v>685</v>
      </c>
      <c r="AB147" s="89" t="s">
        <v>49</v>
      </c>
      <c r="AC147" s="73">
        <f t="shared" si="45"/>
        <v>1</v>
      </c>
      <c r="AD147" s="73">
        <f t="shared" si="46"/>
        <v>0</v>
      </c>
      <c r="AE147" s="101" t="s">
        <v>541</v>
      </c>
      <c r="AF147" s="90" t="s">
        <v>542</v>
      </c>
    </row>
    <row r="148" s="21" customFormat="1" ht="15" customHeight="1" spans="1:32">
      <c r="A148" s="75">
        <v>145</v>
      </c>
      <c r="B148" s="76" t="s">
        <v>686</v>
      </c>
      <c r="C148" s="60"/>
      <c r="D148" s="76" t="s">
        <v>188</v>
      </c>
      <c r="E148" s="78" t="s">
        <v>687</v>
      </c>
      <c r="F148" s="76" t="s">
        <v>688</v>
      </c>
      <c r="G148" s="79">
        <v>1</v>
      </c>
      <c r="H148" s="80" t="s">
        <v>94</v>
      </c>
      <c r="I148" s="80" t="s">
        <v>38</v>
      </c>
      <c r="J148" s="80" t="s">
        <v>39</v>
      </c>
      <c r="K148" s="80" t="s">
        <v>535</v>
      </c>
      <c r="L148" s="94" t="s">
        <v>56</v>
      </c>
      <c r="M148" s="94" t="s">
        <v>42</v>
      </c>
      <c r="N148" s="152" t="s">
        <v>546</v>
      </c>
      <c r="O148" s="98" t="s">
        <v>44</v>
      </c>
      <c r="P148" s="84">
        <v>45397</v>
      </c>
      <c r="Q148" s="131" t="s">
        <v>537</v>
      </c>
      <c r="R148" s="99" t="s">
        <v>66</v>
      </c>
      <c r="S148" s="127" t="s">
        <v>147</v>
      </c>
      <c r="T148" s="87">
        <v>45390</v>
      </c>
      <c r="U148" s="87">
        <f t="shared" si="47"/>
        <v>45397</v>
      </c>
      <c r="V148" s="87">
        <v>45399</v>
      </c>
      <c r="W148" s="87">
        <f t="shared" si="42"/>
        <v>45406</v>
      </c>
      <c r="X148" s="60"/>
      <c r="Y148" s="315" t="s">
        <v>538</v>
      </c>
      <c r="Z148" s="151" t="s">
        <v>689</v>
      </c>
      <c r="AA148" s="151" t="s">
        <v>690</v>
      </c>
      <c r="AB148" s="89" t="s">
        <v>49</v>
      </c>
      <c r="AC148" s="73">
        <f t="shared" si="45"/>
        <v>1</v>
      </c>
      <c r="AD148" s="73">
        <f t="shared" si="46"/>
        <v>0</v>
      </c>
      <c r="AE148" s="101" t="s">
        <v>541</v>
      </c>
      <c r="AF148" s="90" t="s">
        <v>542</v>
      </c>
    </row>
    <row r="149" s="21" customFormat="1" ht="21" customHeight="1" spans="1:32">
      <c r="A149" s="75">
        <v>146</v>
      </c>
      <c r="B149" s="76" t="s">
        <v>691</v>
      </c>
      <c r="C149" s="60"/>
      <c r="D149" s="76" t="s">
        <v>188</v>
      </c>
      <c r="E149" s="78" t="s">
        <v>692</v>
      </c>
      <c r="F149" s="76" t="s">
        <v>693</v>
      </c>
      <c r="G149" s="79">
        <v>1</v>
      </c>
      <c r="H149" s="80" t="s">
        <v>94</v>
      </c>
      <c r="I149" s="80" t="s">
        <v>38</v>
      </c>
      <c r="J149" s="80" t="s">
        <v>39</v>
      </c>
      <c r="K149" s="80" t="s">
        <v>535</v>
      </c>
      <c r="L149" s="94" t="s">
        <v>56</v>
      </c>
      <c r="M149" s="94" t="s">
        <v>42</v>
      </c>
      <c r="N149" s="152" t="s">
        <v>546</v>
      </c>
      <c r="O149" s="47" t="s">
        <v>44</v>
      </c>
      <c r="P149" s="84">
        <v>45361</v>
      </c>
      <c r="Q149" s="131" t="s">
        <v>537</v>
      </c>
      <c r="R149" s="99" t="s">
        <v>66</v>
      </c>
      <c r="S149" s="127" t="s">
        <v>147</v>
      </c>
      <c r="T149" s="87">
        <v>45390</v>
      </c>
      <c r="U149" s="87">
        <f t="shared" si="47"/>
        <v>45397</v>
      </c>
      <c r="V149" s="87">
        <v>45399</v>
      </c>
      <c r="W149" s="87">
        <f t="shared" si="42"/>
        <v>45406</v>
      </c>
      <c r="X149" s="60"/>
      <c r="Y149" s="315" t="s">
        <v>538</v>
      </c>
      <c r="Z149" s="151" t="s">
        <v>693</v>
      </c>
      <c r="AA149" s="151" t="s">
        <v>694</v>
      </c>
      <c r="AB149" s="89" t="s">
        <v>49</v>
      </c>
      <c r="AC149" s="73">
        <f t="shared" si="45"/>
        <v>1</v>
      </c>
      <c r="AD149" s="73">
        <f t="shared" si="46"/>
        <v>0</v>
      </c>
      <c r="AE149" s="101" t="s">
        <v>541</v>
      </c>
      <c r="AF149" s="90" t="s">
        <v>542</v>
      </c>
    </row>
    <row r="150" s="21" customFormat="1" ht="15" customHeight="1" spans="1:32">
      <c r="A150" s="75">
        <v>147</v>
      </c>
      <c r="B150" s="76" t="s">
        <v>695</v>
      </c>
      <c r="C150" s="60"/>
      <c r="D150" s="76" t="s">
        <v>188</v>
      </c>
      <c r="E150" s="78" t="s">
        <v>696</v>
      </c>
      <c r="F150" s="76" t="s">
        <v>697</v>
      </c>
      <c r="G150" s="79">
        <v>1</v>
      </c>
      <c r="H150" s="80" t="s">
        <v>94</v>
      </c>
      <c r="I150" s="80" t="s">
        <v>38</v>
      </c>
      <c r="J150" s="80" t="s">
        <v>39</v>
      </c>
      <c r="K150" s="80" t="s">
        <v>535</v>
      </c>
      <c r="L150" s="94" t="s">
        <v>56</v>
      </c>
      <c r="M150" s="94" t="s">
        <v>42</v>
      </c>
      <c r="N150" s="152" t="s">
        <v>546</v>
      </c>
      <c r="O150" s="98" t="s">
        <v>44</v>
      </c>
      <c r="P150" s="84">
        <v>45397</v>
      </c>
      <c r="Q150" s="85" t="s">
        <v>128</v>
      </c>
      <c r="R150" s="99" t="s">
        <v>46</v>
      </c>
      <c r="S150" s="127" t="s">
        <v>147</v>
      </c>
      <c r="T150" s="86">
        <v>45413</v>
      </c>
      <c r="U150" s="86">
        <f t="shared" si="47"/>
        <v>45420</v>
      </c>
      <c r="V150" s="86">
        <v>45429</v>
      </c>
      <c r="W150" s="86">
        <v>45432</v>
      </c>
      <c r="X150" s="160"/>
      <c r="Y150" s="315" t="s">
        <v>150</v>
      </c>
      <c r="Z150" s="151" t="s">
        <v>697</v>
      </c>
      <c r="AA150" s="151" t="s">
        <v>698</v>
      </c>
      <c r="AB150" s="89" t="s">
        <v>49</v>
      </c>
      <c r="AC150" s="73">
        <f t="shared" si="45"/>
        <v>1</v>
      </c>
      <c r="AD150" s="73">
        <f t="shared" si="46"/>
        <v>0</v>
      </c>
      <c r="AE150" s="101" t="s">
        <v>151</v>
      </c>
      <c r="AF150" s="90"/>
    </row>
    <row r="151" s="21" customFormat="1" ht="21" customHeight="1" spans="1:32">
      <c r="A151" s="75">
        <v>148</v>
      </c>
      <c r="B151" s="76" t="s">
        <v>699</v>
      </c>
      <c r="C151" s="60"/>
      <c r="D151" s="76" t="s">
        <v>188</v>
      </c>
      <c r="E151" s="78" t="s">
        <v>700</v>
      </c>
      <c r="F151" s="76" t="s">
        <v>701</v>
      </c>
      <c r="G151" s="79">
        <v>1</v>
      </c>
      <c r="H151" s="80" t="s">
        <v>94</v>
      </c>
      <c r="I151" s="80" t="s">
        <v>38</v>
      </c>
      <c r="J151" s="80" t="s">
        <v>39</v>
      </c>
      <c r="K151" s="80" t="s">
        <v>535</v>
      </c>
      <c r="L151" s="94" t="s">
        <v>56</v>
      </c>
      <c r="M151" s="94" t="s">
        <v>42</v>
      </c>
      <c r="N151" s="152" t="s">
        <v>546</v>
      </c>
      <c r="O151" s="47" t="s">
        <v>44</v>
      </c>
      <c r="P151" s="84">
        <v>45361</v>
      </c>
      <c r="Q151" s="131" t="s">
        <v>537</v>
      </c>
      <c r="R151" s="99" t="s">
        <v>66</v>
      </c>
      <c r="S151" s="127" t="s">
        <v>147</v>
      </c>
      <c r="T151" s="87">
        <v>45390</v>
      </c>
      <c r="U151" s="87">
        <f t="shared" si="47"/>
        <v>45397</v>
      </c>
      <c r="V151" s="87">
        <v>45399</v>
      </c>
      <c r="W151" s="87">
        <f t="shared" si="42"/>
        <v>45406</v>
      </c>
      <c r="X151" s="60"/>
      <c r="Y151" s="315" t="s">
        <v>538</v>
      </c>
      <c r="Z151" s="151" t="s">
        <v>701</v>
      </c>
      <c r="AA151" s="151" t="s">
        <v>702</v>
      </c>
      <c r="AB151" s="89" t="s">
        <v>49</v>
      </c>
      <c r="AC151" s="73">
        <f t="shared" ref="AC151:AC159" si="48">G151</f>
        <v>1</v>
      </c>
      <c r="AD151" s="73">
        <f t="shared" ref="AD151:AD159" si="49">G151-AC151</f>
        <v>0</v>
      </c>
      <c r="AE151" s="101" t="s">
        <v>541</v>
      </c>
      <c r="AF151" s="90" t="s">
        <v>542</v>
      </c>
    </row>
    <row r="152" s="21" customFormat="1" ht="21" customHeight="1" spans="1:32">
      <c r="A152" s="75">
        <v>149</v>
      </c>
      <c r="B152" s="76" t="s">
        <v>703</v>
      </c>
      <c r="C152" s="60"/>
      <c r="D152" s="76" t="s">
        <v>188</v>
      </c>
      <c r="E152" s="78" t="s">
        <v>704</v>
      </c>
      <c r="F152" s="76" t="s">
        <v>705</v>
      </c>
      <c r="G152" s="79">
        <v>1</v>
      </c>
      <c r="H152" s="80" t="s">
        <v>94</v>
      </c>
      <c r="I152" s="80" t="s">
        <v>38</v>
      </c>
      <c r="J152" s="80" t="s">
        <v>39</v>
      </c>
      <c r="K152" s="80" t="s">
        <v>535</v>
      </c>
      <c r="L152" s="94" t="s">
        <v>56</v>
      </c>
      <c r="M152" s="94" t="s">
        <v>42</v>
      </c>
      <c r="N152" s="152" t="s">
        <v>546</v>
      </c>
      <c r="O152" s="47" t="s">
        <v>44</v>
      </c>
      <c r="P152" s="84">
        <v>45361</v>
      </c>
      <c r="Q152" s="131" t="s">
        <v>537</v>
      </c>
      <c r="R152" s="99" t="s">
        <v>66</v>
      </c>
      <c r="S152" s="127" t="s">
        <v>147</v>
      </c>
      <c r="T152" s="87">
        <v>45390</v>
      </c>
      <c r="U152" s="87">
        <f t="shared" si="47"/>
        <v>45397</v>
      </c>
      <c r="V152" s="87">
        <v>45399</v>
      </c>
      <c r="W152" s="87">
        <f t="shared" si="42"/>
        <v>45406</v>
      </c>
      <c r="X152" s="60"/>
      <c r="Y152" s="315" t="s">
        <v>538</v>
      </c>
      <c r="Z152" s="151" t="s">
        <v>705</v>
      </c>
      <c r="AA152" s="151" t="s">
        <v>706</v>
      </c>
      <c r="AB152" s="89" t="s">
        <v>49</v>
      </c>
      <c r="AC152" s="73">
        <f t="shared" si="48"/>
        <v>1</v>
      </c>
      <c r="AD152" s="73">
        <f t="shared" si="49"/>
        <v>0</v>
      </c>
      <c r="AE152" s="101" t="s">
        <v>541</v>
      </c>
      <c r="AF152" s="90" t="s">
        <v>542</v>
      </c>
    </row>
    <row r="153" s="21" customFormat="1" ht="21" customHeight="1" spans="1:32">
      <c r="A153" s="75">
        <v>150</v>
      </c>
      <c r="B153" s="76" t="s">
        <v>707</v>
      </c>
      <c r="C153" s="60"/>
      <c r="D153" s="76" t="s">
        <v>188</v>
      </c>
      <c r="E153" s="78" t="s">
        <v>708</v>
      </c>
      <c r="F153" s="76" t="s">
        <v>709</v>
      </c>
      <c r="G153" s="79">
        <v>1</v>
      </c>
      <c r="H153" s="80" t="s">
        <v>94</v>
      </c>
      <c r="I153" s="80" t="s">
        <v>38</v>
      </c>
      <c r="J153" s="80" t="s">
        <v>39</v>
      </c>
      <c r="K153" s="80" t="s">
        <v>535</v>
      </c>
      <c r="L153" s="94" t="s">
        <v>56</v>
      </c>
      <c r="M153" s="94" t="s">
        <v>42</v>
      </c>
      <c r="N153" s="159" t="s">
        <v>536</v>
      </c>
      <c r="O153" s="47" t="s">
        <v>44</v>
      </c>
      <c r="P153" s="84">
        <v>45361</v>
      </c>
      <c r="Q153" s="131" t="s">
        <v>537</v>
      </c>
      <c r="R153" s="99" t="s">
        <v>66</v>
      </c>
      <c r="S153" s="127" t="s">
        <v>147</v>
      </c>
      <c r="T153" s="87">
        <v>45390</v>
      </c>
      <c r="U153" s="87">
        <f t="shared" si="47"/>
        <v>45397</v>
      </c>
      <c r="V153" s="87">
        <v>45399</v>
      </c>
      <c r="W153" s="87">
        <f t="shared" si="42"/>
        <v>45406</v>
      </c>
      <c r="X153" s="60"/>
      <c r="Y153" s="315" t="s">
        <v>538</v>
      </c>
      <c r="Z153" s="151" t="s">
        <v>709</v>
      </c>
      <c r="AA153" s="151" t="s">
        <v>710</v>
      </c>
      <c r="AB153" s="89" t="s">
        <v>49</v>
      </c>
      <c r="AC153" s="73">
        <f t="shared" si="48"/>
        <v>1</v>
      </c>
      <c r="AD153" s="73">
        <f t="shared" si="49"/>
        <v>0</v>
      </c>
      <c r="AE153" s="101" t="s">
        <v>541</v>
      </c>
      <c r="AF153" s="90" t="s">
        <v>542</v>
      </c>
    </row>
    <row r="154" s="21" customFormat="1" ht="21" customHeight="1" spans="1:32">
      <c r="A154" s="75">
        <v>151</v>
      </c>
      <c r="B154" s="76" t="s">
        <v>711</v>
      </c>
      <c r="C154" s="60"/>
      <c r="D154" s="76" t="s">
        <v>188</v>
      </c>
      <c r="E154" s="78" t="s">
        <v>712</v>
      </c>
      <c r="F154" s="76" t="s">
        <v>713</v>
      </c>
      <c r="G154" s="79">
        <v>1</v>
      </c>
      <c r="H154" s="80" t="s">
        <v>94</v>
      </c>
      <c r="I154" s="80" t="s">
        <v>38</v>
      </c>
      <c r="J154" s="80" t="s">
        <v>39</v>
      </c>
      <c r="K154" s="80" t="s">
        <v>535</v>
      </c>
      <c r="L154" s="94" t="s">
        <v>56</v>
      </c>
      <c r="M154" s="94" t="s">
        <v>42</v>
      </c>
      <c r="N154" s="152" t="s">
        <v>546</v>
      </c>
      <c r="O154" s="47" t="s">
        <v>44</v>
      </c>
      <c r="P154" s="84">
        <v>45361</v>
      </c>
      <c r="Q154" s="131" t="s">
        <v>537</v>
      </c>
      <c r="R154" s="99" t="s">
        <v>66</v>
      </c>
      <c r="S154" s="127" t="s">
        <v>147</v>
      </c>
      <c r="T154" s="87">
        <v>45390</v>
      </c>
      <c r="U154" s="87">
        <f t="shared" si="47"/>
        <v>45397</v>
      </c>
      <c r="V154" s="87">
        <v>45399</v>
      </c>
      <c r="W154" s="87">
        <f t="shared" si="42"/>
        <v>45406</v>
      </c>
      <c r="X154" s="60"/>
      <c r="Y154" s="315" t="s">
        <v>538</v>
      </c>
      <c r="Z154" s="151" t="s">
        <v>713</v>
      </c>
      <c r="AA154" s="151" t="s">
        <v>714</v>
      </c>
      <c r="AB154" s="89" t="s">
        <v>49</v>
      </c>
      <c r="AC154" s="73">
        <f t="shared" si="48"/>
        <v>1</v>
      </c>
      <c r="AD154" s="73">
        <f t="shared" si="49"/>
        <v>0</v>
      </c>
      <c r="AE154" s="101" t="s">
        <v>541</v>
      </c>
      <c r="AF154" s="90" t="s">
        <v>542</v>
      </c>
    </row>
    <row r="155" s="21" customFormat="1" ht="21" customHeight="1" spans="1:32">
      <c r="A155" s="75">
        <v>152</v>
      </c>
      <c r="B155" s="76" t="s">
        <v>715</v>
      </c>
      <c r="C155" s="60"/>
      <c r="D155" s="76" t="s">
        <v>188</v>
      </c>
      <c r="E155" s="78" t="s">
        <v>716</v>
      </c>
      <c r="F155" s="76" t="s">
        <v>717</v>
      </c>
      <c r="G155" s="79">
        <v>1</v>
      </c>
      <c r="H155" s="80" t="s">
        <v>94</v>
      </c>
      <c r="I155" s="80" t="s">
        <v>38</v>
      </c>
      <c r="J155" s="80" t="s">
        <v>39</v>
      </c>
      <c r="K155" s="80" t="s">
        <v>535</v>
      </c>
      <c r="L155" s="94" t="s">
        <v>56</v>
      </c>
      <c r="M155" s="94" t="s">
        <v>42</v>
      </c>
      <c r="N155" s="152" t="s">
        <v>546</v>
      </c>
      <c r="O155" s="47" t="s">
        <v>44</v>
      </c>
      <c r="P155" s="84">
        <v>45361</v>
      </c>
      <c r="Q155" s="131" t="s">
        <v>537</v>
      </c>
      <c r="R155" s="99" t="s">
        <v>66</v>
      </c>
      <c r="S155" s="127" t="s">
        <v>147</v>
      </c>
      <c r="T155" s="87">
        <v>45390</v>
      </c>
      <c r="U155" s="87">
        <f t="shared" si="47"/>
        <v>45397</v>
      </c>
      <c r="V155" s="87">
        <v>45399</v>
      </c>
      <c r="W155" s="87">
        <f t="shared" si="42"/>
        <v>45406</v>
      </c>
      <c r="X155" s="60"/>
      <c r="Y155" s="315" t="s">
        <v>538</v>
      </c>
      <c r="Z155" s="151" t="s">
        <v>717</v>
      </c>
      <c r="AA155" s="151" t="s">
        <v>718</v>
      </c>
      <c r="AB155" s="89" t="s">
        <v>49</v>
      </c>
      <c r="AC155" s="73">
        <f t="shared" si="48"/>
        <v>1</v>
      </c>
      <c r="AD155" s="73">
        <f t="shared" si="49"/>
        <v>0</v>
      </c>
      <c r="AE155" s="101" t="s">
        <v>541</v>
      </c>
      <c r="AF155" s="90" t="s">
        <v>542</v>
      </c>
    </row>
    <row r="156" s="21" customFormat="1" ht="21" customHeight="1" spans="1:32">
      <c r="A156" s="75">
        <v>153</v>
      </c>
      <c r="B156" s="76" t="s">
        <v>719</v>
      </c>
      <c r="C156" s="60"/>
      <c r="D156" s="76" t="s">
        <v>188</v>
      </c>
      <c r="E156" s="78" t="s">
        <v>720</v>
      </c>
      <c r="F156" s="76" t="s">
        <v>721</v>
      </c>
      <c r="G156" s="79">
        <v>1</v>
      </c>
      <c r="H156" s="80" t="s">
        <v>94</v>
      </c>
      <c r="I156" s="80" t="s">
        <v>38</v>
      </c>
      <c r="J156" s="80" t="s">
        <v>39</v>
      </c>
      <c r="K156" s="80" t="s">
        <v>535</v>
      </c>
      <c r="L156" s="94" t="s">
        <v>56</v>
      </c>
      <c r="M156" s="94" t="s">
        <v>42</v>
      </c>
      <c r="N156" s="152" t="s">
        <v>546</v>
      </c>
      <c r="O156" s="47" t="s">
        <v>44</v>
      </c>
      <c r="P156" s="84">
        <v>45361</v>
      </c>
      <c r="Q156" s="131" t="s">
        <v>537</v>
      </c>
      <c r="R156" s="99" t="s">
        <v>66</v>
      </c>
      <c r="S156" s="127" t="s">
        <v>147</v>
      </c>
      <c r="T156" s="87">
        <v>45390</v>
      </c>
      <c r="U156" s="87">
        <f t="shared" si="47"/>
        <v>45397</v>
      </c>
      <c r="V156" s="87">
        <v>45399</v>
      </c>
      <c r="W156" s="87">
        <f t="shared" si="42"/>
        <v>45406</v>
      </c>
      <c r="X156" s="60"/>
      <c r="Y156" s="315" t="s">
        <v>538</v>
      </c>
      <c r="Z156" s="151" t="s">
        <v>721</v>
      </c>
      <c r="AA156" s="151" t="s">
        <v>722</v>
      </c>
      <c r="AB156" s="89" t="s">
        <v>49</v>
      </c>
      <c r="AC156" s="73">
        <f t="shared" si="48"/>
        <v>1</v>
      </c>
      <c r="AD156" s="73">
        <f t="shared" si="49"/>
        <v>0</v>
      </c>
      <c r="AE156" s="101" t="s">
        <v>541</v>
      </c>
      <c r="AF156" s="90" t="s">
        <v>542</v>
      </c>
    </row>
    <row r="157" s="21" customFormat="1" ht="21" customHeight="1" spans="1:32">
      <c r="A157" s="75">
        <v>154</v>
      </c>
      <c r="B157" s="76" t="s">
        <v>723</v>
      </c>
      <c r="C157" s="60"/>
      <c r="D157" s="76" t="s">
        <v>188</v>
      </c>
      <c r="E157" s="78" t="s">
        <v>724</v>
      </c>
      <c r="F157" s="76" t="s">
        <v>725</v>
      </c>
      <c r="G157" s="79">
        <v>1</v>
      </c>
      <c r="H157" s="80" t="s">
        <v>94</v>
      </c>
      <c r="I157" s="80" t="s">
        <v>38</v>
      </c>
      <c r="J157" s="80" t="s">
        <v>39</v>
      </c>
      <c r="K157" s="80" t="s">
        <v>535</v>
      </c>
      <c r="L157" s="94" t="s">
        <v>56</v>
      </c>
      <c r="M157" s="94" t="s">
        <v>42</v>
      </c>
      <c r="N157" s="152" t="s">
        <v>546</v>
      </c>
      <c r="O157" s="47" t="s">
        <v>44</v>
      </c>
      <c r="P157" s="84">
        <v>45361</v>
      </c>
      <c r="Q157" s="131" t="s">
        <v>537</v>
      </c>
      <c r="R157" s="99" t="s">
        <v>66</v>
      </c>
      <c r="S157" s="127" t="s">
        <v>147</v>
      </c>
      <c r="T157" s="87">
        <v>45390</v>
      </c>
      <c r="U157" s="87">
        <f t="shared" si="47"/>
        <v>45397</v>
      </c>
      <c r="V157" s="87">
        <v>45399</v>
      </c>
      <c r="W157" s="87">
        <f t="shared" si="42"/>
        <v>45406</v>
      </c>
      <c r="X157" s="60"/>
      <c r="Y157" s="315" t="s">
        <v>538</v>
      </c>
      <c r="Z157" s="151" t="s">
        <v>725</v>
      </c>
      <c r="AA157" s="151" t="s">
        <v>726</v>
      </c>
      <c r="AB157" s="89" t="s">
        <v>49</v>
      </c>
      <c r="AC157" s="73">
        <f t="shared" si="48"/>
        <v>1</v>
      </c>
      <c r="AD157" s="73">
        <f t="shared" si="49"/>
        <v>0</v>
      </c>
      <c r="AE157" s="101" t="s">
        <v>541</v>
      </c>
      <c r="AF157" s="90" t="s">
        <v>542</v>
      </c>
    </row>
    <row r="158" s="21" customFormat="1" ht="21" customHeight="1" spans="1:32">
      <c r="A158" s="75">
        <v>155</v>
      </c>
      <c r="B158" s="76" t="s">
        <v>727</v>
      </c>
      <c r="C158" s="60"/>
      <c r="D158" s="76" t="s">
        <v>188</v>
      </c>
      <c r="E158" s="78" t="s">
        <v>728</v>
      </c>
      <c r="F158" s="76" t="s">
        <v>729</v>
      </c>
      <c r="G158" s="79">
        <v>1</v>
      </c>
      <c r="H158" s="80" t="s">
        <v>94</v>
      </c>
      <c r="I158" s="80" t="s">
        <v>38</v>
      </c>
      <c r="J158" s="80" t="s">
        <v>39</v>
      </c>
      <c r="K158" s="80" t="s">
        <v>535</v>
      </c>
      <c r="L158" s="94" t="s">
        <v>56</v>
      </c>
      <c r="M158" s="94" t="s">
        <v>42</v>
      </c>
      <c r="N158" s="152" t="s">
        <v>546</v>
      </c>
      <c r="O158" s="47" t="s">
        <v>44</v>
      </c>
      <c r="P158" s="84">
        <v>45361</v>
      </c>
      <c r="Q158" s="131" t="s">
        <v>537</v>
      </c>
      <c r="R158" s="99" t="s">
        <v>66</v>
      </c>
      <c r="S158" s="127" t="s">
        <v>147</v>
      </c>
      <c r="T158" s="87">
        <v>45390</v>
      </c>
      <c r="U158" s="87">
        <f t="shared" si="47"/>
        <v>45397</v>
      </c>
      <c r="V158" s="87">
        <v>45399</v>
      </c>
      <c r="W158" s="87">
        <f t="shared" si="42"/>
        <v>45406</v>
      </c>
      <c r="X158" s="60"/>
      <c r="Y158" s="315" t="s">
        <v>538</v>
      </c>
      <c r="Z158" s="151" t="s">
        <v>729</v>
      </c>
      <c r="AA158" s="151" t="s">
        <v>730</v>
      </c>
      <c r="AB158" s="89" t="s">
        <v>49</v>
      </c>
      <c r="AC158" s="73">
        <f t="shared" si="48"/>
        <v>1</v>
      </c>
      <c r="AD158" s="73">
        <f t="shared" si="49"/>
        <v>0</v>
      </c>
      <c r="AE158" s="101" t="s">
        <v>541</v>
      </c>
      <c r="AF158" s="90" t="s">
        <v>542</v>
      </c>
    </row>
    <row r="159" s="21" customFormat="1" ht="21" customHeight="1" spans="1:32">
      <c r="A159" s="75">
        <v>156</v>
      </c>
      <c r="B159" s="76" t="s">
        <v>731</v>
      </c>
      <c r="C159" s="60"/>
      <c r="D159" s="76" t="s">
        <v>188</v>
      </c>
      <c r="E159" s="78" t="s">
        <v>732</v>
      </c>
      <c r="F159" s="76" t="s">
        <v>733</v>
      </c>
      <c r="G159" s="79">
        <v>1</v>
      </c>
      <c r="H159" s="80" t="s">
        <v>94</v>
      </c>
      <c r="I159" s="80" t="s">
        <v>38</v>
      </c>
      <c r="J159" s="80" t="s">
        <v>39</v>
      </c>
      <c r="K159" s="80" t="s">
        <v>535</v>
      </c>
      <c r="L159" s="94" t="s">
        <v>56</v>
      </c>
      <c r="M159" s="94" t="s">
        <v>42</v>
      </c>
      <c r="N159" s="152" t="s">
        <v>546</v>
      </c>
      <c r="O159" s="47" t="s">
        <v>44</v>
      </c>
      <c r="P159" s="84">
        <v>45361</v>
      </c>
      <c r="Q159" s="131" t="s">
        <v>537</v>
      </c>
      <c r="R159" s="99" t="s">
        <v>66</v>
      </c>
      <c r="S159" s="127" t="s">
        <v>147</v>
      </c>
      <c r="T159" s="87">
        <v>45390</v>
      </c>
      <c r="U159" s="87">
        <f t="shared" si="47"/>
        <v>45397</v>
      </c>
      <c r="V159" s="87">
        <v>45399</v>
      </c>
      <c r="W159" s="87">
        <f t="shared" si="42"/>
        <v>45406</v>
      </c>
      <c r="X159" s="60"/>
      <c r="Y159" s="315" t="s">
        <v>538</v>
      </c>
      <c r="Z159" s="151" t="s">
        <v>733</v>
      </c>
      <c r="AA159" s="151" t="s">
        <v>734</v>
      </c>
      <c r="AB159" s="89" t="s">
        <v>49</v>
      </c>
      <c r="AC159" s="73">
        <f t="shared" si="48"/>
        <v>1</v>
      </c>
      <c r="AD159" s="73">
        <f t="shared" si="49"/>
        <v>0</v>
      </c>
      <c r="AE159" s="101" t="s">
        <v>541</v>
      </c>
      <c r="AF159" s="90" t="s">
        <v>542</v>
      </c>
    </row>
    <row r="160" s="21" customFormat="1" ht="21" customHeight="1" spans="1:32">
      <c r="A160" s="58">
        <v>157</v>
      </c>
      <c r="B160" s="59" t="s">
        <v>735</v>
      </c>
      <c r="C160" s="60"/>
      <c r="D160" s="59" t="s">
        <v>34</v>
      </c>
      <c r="E160" s="96" t="s">
        <v>736</v>
      </c>
      <c r="F160" s="59" t="s">
        <v>737</v>
      </c>
      <c r="G160" s="97">
        <v>2</v>
      </c>
      <c r="H160" s="81" t="s">
        <v>94</v>
      </c>
      <c r="I160" s="81" t="s">
        <v>38</v>
      </c>
      <c r="J160" s="81" t="s">
        <v>39</v>
      </c>
      <c r="K160" s="81" t="s">
        <v>738</v>
      </c>
      <c r="L160" s="82" t="s">
        <v>77</v>
      </c>
      <c r="M160" s="82" t="s">
        <v>42</v>
      </c>
      <c r="N160" s="64" t="s">
        <v>739</v>
      </c>
      <c r="O160" s="47" t="s">
        <v>44</v>
      </c>
      <c r="P160" s="84">
        <v>45361</v>
      </c>
      <c r="Q160" s="131" t="s">
        <v>128</v>
      </c>
      <c r="R160" s="85" t="s">
        <v>46</v>
      </c>
      <c r="S160" s="99" t="s">
        <v>47</v>
      </c>
      <c r="T160" s="87">
        <v>45361</v>
      </c>
      <c r="U160" s="87">
        <v>45378</v>
      </c>
      <c r="V160" s="87">
        <v>45388</v>
      </c>
      <c r="W160" s="87">
        <f t="shared" si="42"/>
        <v>45395</v>
      </c>
      <c r="X160" s="60"/>
      <c r="Y160" s="70" t="s">
        <v>125</v>
      </c>
      <c r="Z160" s="71" t="s">
        <v>737</v>
      </c>
      <c r="AA160" s="71">
        <v>112</v>
      </c>
      <c r="AB160" s="54" t="s">
        <v>253</v>
      </c>
      <c r="AC160" s="73">
        <v>2</v>
      </c>
      <c r="AD160" s="73">
        <v>0</v>
      </c>
      <c r="AE160" s="101" t="s">
        <v>254</v>
      </c>
      <c r="AF160" s="90" t="s">
        <v>740</v>
      </c>
    </row>
    <row r="161" s="21" customFormat="1" ht="21" customHeight="1" spans="1:32">
      <c r="A161" s="58">
        <v>158</v>
      </c>
      <c r="B161" s="59" t="s">
        <v>741</v>
      </c>
      <c r="C161" s="60"/>
      <c r="D161" s="59" t="s">
        <v>34</v>
      </c>
      <c r="E161" s="96" t="s">
        <v>742</v>
      </c>
      <c r="F161" s="59" t="s">
        <v>743</v>
      </c>
      <c r="G161" s="97">
        <v>2</v>
      </c>
      <c r="H161" s="81" t="s">
        <v>94</v>
      </c>
      <c r="I161" s="81" t="s">
        <v>38</v>
      </c>
      <c r="J161" s="81" t="s">
        <v>39</v>
      </c>
      <c r="K161" s="81" t="s">
        <v>738</v>
      </c>
      <c r="L161" s="82" t="s">
        <v>77</v>
      </c>
      <c r="M161" s="82" t="s">
        <v>42</v>
      </c>
      <c r="N161" s="64" t="s">
        <v>739</v>
      </c>
      <c r="O161" s="47" t="s">
        <v>44</v>
      </c>
      <c r="P161" s="84">
        <v>45361</v>
      </c>
      <c r="Q161" s="131" t="s">
        <v>128</v>
      </c>
      <c r="R161" s="85" t="s">
        <v>46</v>
      </c>
      <c r="S161" s="99" t="s">
        <v>47</v>
      </c>
      <c r="T161" s="87">
        <v>45361</v>
      </c>
      <c r="U161" s="87">
        <v>45378</v>
      </c>
      <c r="V161" s="87">
        <v>45388</v>
      </c>
      <c r="W161" s="87">
        <f t="shared" si="42"/>
        <v>45395</v>
      </c>
      <c r="X161" s="60"/>
      <c r="Y161" s="70" t="s">
        <v>125</v>
      </c>
      <c r="Z161" s="71" t="s">
        <v>743</v>
      </c>
      <c r="AA161" s="71">
        <v>113</v>
      </c>
      <c r="AB161" s="54" t="s">
        <v>253</v>
      </c>
      <c r="AC161" s="73">
        <v>2</v>
      </c>
      <c r="AD161" s="73">
        <v>0</v>
      </c>
      <c r="AE161" s="101" t="s">
        <v>254</v>
      </c>
      <c r="AF161" s="90" t="s">
        <v>740</v>
      </c>
    </row>
    <row r="162" s="21" customFormat="1" ht="21" customHeight="1" spans="1:32">
      <c r="A162" s="58">
        <v>159</v>
      </c>
      <c r="B162" s="59" t="s">
        <v>744</v>
      </c>
      <c r="C162" s="60"/>
      <c r="D162" s="59" t="s">
        <v>34</v>
      </c>
      <c r="E162" s="59" t="s">
        <v>745</v>
      </c>
      <c r="F162" s="59" t="s">
        <v>746</v>
      </c>
      <c r="G162" s="97">
        <v>2</v>
      </c>
      <c r="H162" s="81" t="s">
        <v>94</v>
      </c>
      <c r="I162" s="81" t="s">
        <v>38</v>
      </c>
      <c r="J162" s="81" t="s">
        <v>39</v>
      </c>
      <c r="K162" s="81" t="s">
        <v>738</v>
      </c>
      <c r="L162" s="82" t="s">
        <v>77</v>
      </c>
      <c r="M162" s="82" t="s">
        <v>42</v>
      </c>
      <c r="N162" s="64" t="s">
        <v>739</v>
      </c>
      <c r="O162" s="47" t="s">
        <v>44</v>
      </c>
      <c r="P162" s="84">
        <v>45361</v>
      </c>
      <c r="Q162" s="131" t="s">
        <v>128</v>
      </c>
      <c r="R162" s="85" t="s">
        <v>46</v>
      </c>
      <c r="S162" s="99" t="s">
        <v>47</v>
      </c>
      <c r="T162" s="87">
        <v>45361</v>
      </c>
      <c r="U162" s="87">
        <v>45378</v>
      </c>
      <c r="V162" s="87">
        <v>45388</v>
      </c>
      <c r="W162" s="87">
        <f t="shared" si="42"/>
        <v>45395</v>
      </c>
      <c r="X162" s="60"/>
      <c r="Y162" s="70" t="s">
        <v>125</v>
      </c>
      <c r="Z162" s="71" t="s">
        <v>746</v>
      </c>
      <c r="AA162" s="71">
        <v>114</v>
      </c>
      <c r="AB162" s="54" t="s">
        <v>253</v>
      </c>
      <c r="AC162" s="73">
        <v>2</v>
      </c>
      <c r="AD162" s="73">
        <v>0</v>
      </c>
      <c r="AE162" s="101" t="s">
        <v>254</v>
      </c>
      <c r="AF162" s="90" t="s">
        <v>740</v>
      </c>
    </row>
    <row r="163" s="21" customFormat="1" ht="21" customHeight="1" spans="1:32">
      <c r="A163" s="58">
        <v>160</v>
      </c>
      <c r="B163" s="59" t="s">
        <v>747</v>
      </c>
      <c r="C163" s="60"/>
      <c r="D163" s="59" t="s">
        <v>34</v>
      </c>
      <c r="E163" s="59" t="s">
        <v>748</v>
      </c>
      <c r="F163" s="59" t="s">
        <v>749</v>
      </c>
      <c r="G163" s="97">
        <v>2</v>
      </c>
      <c r="H163" s="81" t="s">
        <v>94</v>
      </c>
      <c r="I163" s="81" t="s">
        <v>38</v>
      </c>
      <c r="J163" s="81" t="s">
        <v>39</v>
      </c>
      <c r="K163" s="81" t="s">
        <v>738</v>
      </c>
      <c r="L163" s="82" t="s">
        <v>77</v>
      </c>
      <c r="M163" s="82" t="s">
        <v>42</v>
      </c>
      <c r="N163" s="64" t="s">
        <v>739</v>
      </c>
      <c r="O163" s="47" t="s">
        <v>44</v>
      </c>
      <c r="P163" s="84">
        <v>45361</v>
      </c>
      <c r="Q163" s="131" t="s">
        <v>128</v>
      </c>
      <c r="R163" s="85" t="s">
        <v>46</v>
      </c>
      <c r="S163" s="99" t="s">
        <v>47</v>
      </c>
      <c r="T163" s="87">
        <v>45361</v>
      </c>
      <c r="U163" s="87">
        <v>45378</v>
      </c>
      <c r="V163" s="87">
        <v>45388</v>
      </c>
      <c r="W163" s="87">
        <f t="shared" si="42"/>
        <v>45395</v>
      </c>
      <c r="X163" s="60"/>
      <c r="Y163" s="70" t="s">
        <v>125</v>
      </c>
      <c r="Z163" s="71" t="s">
        <v>749</v>
      </c>
      <c r="AA163" s="71">
        <v>115</v>
      </c>
      <c r="AB163" s="54" t="s">
        <v>253</v>
      </c>
      <c r="AC163" s="73">
        <v>2</v>
      </c>
      <c r="AD163" s="73">
        <v>0</v>
      </c>
      <c r="AE163" s="101" t="s">
        <v>254</v>
      </c>
      <c r="AF163" s="90" t="s">
        <v>740</v>
      </c>
    </row>
    <row r="164" s="21" customFormat="1" ht="21" customHeight="1" spans="1:32">
      <c r="A164" s="58">
        <v>161</v>
      </c>
      <c r="B164" s="59" t="s">
        <v>750</v>
      </c>
      <c r="C164" s="60"/>
      <c r="D164" s="59" t="s">
        <v>34</v>
      </c>
      <c r="E164" s="96" t="s">
        <v>751</v>
      </c>
      <c r="F164" s="59" t="s">
        <v>752</v>
      </c>
      <c r="G164" s="97">
        <v>2</v>
      </c>
      <c r="H164" s="81" t="s">
        <v>94</v>
      </c>
      <c r="I164" s="81" t="s">
        <v>38</v>
      </c>
      <c r="J164" s="81" t="s">
        <v>39</v>
      </c>
      <c r="K164" s="81" t="s">
        <v>738</v>
      </c>
      <c r="L164" s="82" t="s">
        <v>77</v>
      </c>
      <c r="M164" s="82" t="s">
        <v>42</v>
      </c>
      <c r="N164" s="64" t="s">
        <v>739</v>
      </c>
      <c r="O164" s="47" t="s">
        <v>44</v>
      </c>
      <c r="P164" s="84">
        <v>45361</v>
      </c>
      <c r="Q164" s="131" t="s">
        <v>128</v>
      </c>
      <c r="R164" s="85" t="s">
        <v>46</v>
      </c>
      <c r="S164" s="99" t="s">
        <v>47</v>
      </c>
      <c r="T164" s="87">
        <v>45361</v>
      </c>
      <c r="U164" s="87">
        <v>45378</v>
      </c>
      <c r="V164" s="87">
        <v>45388</v>
      </c>
      <c r="W164" s="87">
        <f t="shared" si="42"/>
        <v>45395</v>
      </c>
      <c r="X164" s="60"/>
      <c r="Y164" s="70" t="s">
        <v>125</v>
      </c>
      <c r="Z164" s="71" t="s">
        <v>752</v>
      </c>
      <c r="AA164" s="71">
        <v>116</v>
      </c>
      <c r="AB164" s="54" t="s">
        <v>253</v>
      </c>
      <c r="AC164" s="73">
        <v>2</v>
      </c>
      <c r="AD164" s="73">
        <v>0</v>
      </c>
      <c r="AE164" s="101" t="s">
        <v>254</v>
      </c>
      <c r="AF164" s="90" t="s">
        <v>740</v>
      </c>
    </row>
    <row r="165" s="21" customFormat="1" ht="21" customHeight="1" spans="1:32">
      <c r="A165" s="58">
        <v>162</v>
      </c>
      <c r="B165" s="59" t="s">
        <v>753</v>
      </c>
      <c r="C165" s="60"/>
      <c r="D165" s="59" t="s">
        <v>34</v>
      </c>
      <c r="E165" s="96" t="s">
        <v>754</v>
      </c>
      <c r="F165" s="59" t="s">
        <v>755</v>
      </c>
      <c r="G165" s="97">
        <v>2</v>
      </c>
      <c r="H165" s="81" t="s">
        <v>94</v>
      </c>
      <c r="I165" s="81" t="s">
        <v>38</v>
      </c>
      <c r="J165" s="81" t="s">
        <v>39</v>
      </c>
      <c r="K165" s="81" t="s">
        <v>738</v>
      </c>
      <c r="L165" s="82" t="s">
        <v>77</v>
      </c>
      <c r="M165" s="82" t="s">
        <v>42</v>
      </c>
      <c r="N165" s="64" t="s">
        <v>739</v>
      </c>
      <c r="O165" s="47" t="s">
        <v>44</v>
      </c>
      <c r="P165" s="84">
        <v>45361</v>
      </c>
      <c r="Q165" s="131" t="s">
        <v>128</v>
      </c>
      <c r="R165" s="85" t="s">
        <v>46</v>
      </c>
      <c r="S165" s="99" t="s">
        <v>47</v>
      </c>
      <c r="T165" s="87">
        <v>45361</v>
      </c>
      <c r="U165" s="87">
        <v>45378</v>
      </c>
      <c r="V165" s="87">
        <v>45388</v>
      </c>
      <c r="W165" s="87">
        <f t="shared" si="42"/>
        <v>45395</v>
      </c>
      <c r="X165" s="60"/>
      <c r="Y165" s="70" t="s">
        <v>125</v>
      </c>
      <c r="Z165" s="71" t="s">
        <v>755</v>
      </c>
      <c r="AA165" s="71">
        <v>117</v>
      </c>
      <c r="AB165" s="54" t="s">
        <v>253</v>
      </c>
      <c r="AC165" s="73">
        <v>2</v>
      </c>
      <c r="AD165" s="73">
        <v>0</v>
      </c>
      <c r="AE165" s="101" t="s">
        <v>254</v>
      </c>
      <c r="AF165" s="90" t="s">
        <v>740</v>
      </c>
    </row>
    <row r="166" s="21" customFormat="1" ht="21" customHeight="1" spans="1:32">
      <c r="A166" s="58">
        <v>163</v>
      </c>
      <c r="B166" s="59" t="s">
        <v>756</v>
      </c>
      <c r="C166" s="60"/>
      <c r="D166" s="59" t="s">
        <v>34</v>
      </c>
      <c r="E166" s="96" t="s">
        <v>757</v>
      </c>
      <c r="F166" s="59" t="s">
        <v>758</v>
      </c>
      <c r="G166" s="97">
        <v>2</v>
      </c>
      <c r="H166" s="81" t="s">
        <v>94</v>
      </c>
      <c r="I166" s="81" t="s">
        <v>38</v>
      </c>
      <c r="J166" s="81" t="s">
        <v>39</v>
      </c>
      <c r="K166" s="81" t="s">
        <v>738</v>
      </c>
      <c r="L166" s="82" t="s">
        <v>77</v>
      </c>
      <c r="M166" s="82" t="s">
        <v>42</v>
      </c>
      <c r="N166" s="64" t="s">
        <v>739</v>
      </c>
      <c r="O166" s="47" t="s">
        <v>44</v>
      </c>
      <c r="P166" s="84">
        <v>45361</v>
      </c>
      <c r="Q166" s="131" t="s">
        <v>128</v>
      </c>
      <c r="R166" s="85" t="s">
        <v>46</v>
      </c>
      <c r="S166" s="99" t="s">
        <v>47</v>
      </c>
      <c r="T166" s="87">
        <v>45361</v>
      </c>
      <c r="U166" s="87">
        <v>45378</v>
      </c>
      <c r="V166" s="87">
        <v>45388</v>
      </c>
      <c r="W166" s="87">
        <f t="shared" si="42"/>
        <v>45395</v>
      </c>
      <c r="X166" s="60"/>
      <c r="Y166" s="70" t="s">
        <v>125</v>
      </c>
      <c r="Z166" s="71" t="s">
        <v>758</v>
      </c>
      <c r="AA166" s="71">
        <v>118</v>
      </c>
      <c r="AB166" s="54" t="s">
        <v>253</v>
      </c>
      <c r="AC166" s="73">
        <v>2</v>
      </c>
      <c r="AD166" s="73">
        <v>0</v>
      </c>
      <c r="AE166" s="101" t="s">
        <v>254</v>
      </c>
      <c r="AF166" s="90" t="s">
        <v>740</v>
      </c>
    </row>
    <row r="167" s="21" customFormat="1" ht="21" customHeight="1" spans="1:32">
      <c r="A167" s="58">
        <v>164</v>
      </c>
      <c r="B167" s="59" t="s">
        <v>759</v>
      </c>
      <c r="C167" s="60"/>
      <c r="D167" s="59" t="s">
        <v>34</v>
      </c>
      <c r="E167" s="96" t="s">
        <v>760</v>
      </c>
      <c r="F167" s="59" t="s">
        <v>761</v>
      </c>
      <c r="G167" s="97">
        <v>2</v>
      </c>
      <c r="H167" s="81" t="s">
        <v>94</v>
      </c>
      <c r="I167" s="81" t="s">
        <v>38</v>
      </c>
      <c r="J167" s="81" t="s">
        <v>39</v>
      </c>
      <c r="K167" s="81" t="s">
        <v>738</v>
      </c>
      <c r="L167" s="82" t="s">
        <v>77</v>
      </c>
      <c r="M167" s="82" t="s">
        <v>42</v>
      </c>
      <c r="N167" s="64" t="s">
        <v>739</v>
      </c>
      <c r="O167" s="47" t="s">
        <v>44</v>
      </c>
      <c r="P167" s="84">
        <v>45361</v>
      </c>
      <c r="Q167" s="131" t="s">
        <v>128</v>
      </c>
      <c r="R167" s="85" t="s">
        <v>46</v>
      </c>
      <c r="S167" s="99" t="s">
        <v>47</v>
      </c>
      <c r="T167" s="87">
        <v>45361</v>
      </c>
      <c r="U167" s="87">
        <v>45378</v>
      </c>
      <c r="V167" s="87">
        <v>45388</v>
      </c>
      <c r="W167" s="87">
        <f t="shared" si="42"/>
        <v>45395</v>
      </c>
      <c r="X167" s="60"/>
      <c r="Y167" s="70" t="s">
        <v>125</v>
      </c>
      <c r="Z167" s="71" t="s">
        <v>761</v>
      </c>
      <c r="AA167" s="71">
        <v>121</v>
      </c>
      <c r="AB167" s="54" t="s">
        <v>253</v>
      </c>
      <c r="AC167" s="73">
        <v>2</v>
      </c>
      <c r="AD167" s="73">
        <v>0</v>
      </c>
      <c r="AE167" s="101" t="s">
        <v>254</v>
      </c>
      <c r="AF167" s="90" t="s">
        <v>740</v>
      </c>
    </row>
    <row r="168" s="21" customFormat="1" ht="21" customHeight="1" spans="1:32">
      <c r="A168" s="58">
        <v>165</v>
      </c>
      <c r="B168" s="59" t="s">
        <v>762</v>
      </c>
      <c r="C168" s="60"/>
      <c r="D168" s="59" t="s">
        <v>34</v>
      </c>
      <c r="E168" s="96" t="s">
        <v>763</v>
      </c>
      <c r="F168" s="59" t="s">
        <v>764</v>
      </c>
      <c r="G168" s="97">
        <v>1</v>
      </c>
      <c r="H168" s="81" t="s">
        <v>94</v>
      </c>
      <c r="I168" s="81" t="s">
        <v>38</v>
      </c>
      <c r="J168" s="81" t="s">
        <v>39</v>
      </c>
      <c r="K168" s="81" t="s">
        <v>738</v>
      </c>
      <c r="L168" s="82" t="s">
        <v>77</v>
      </c>
      <c r="M168" s="82" t="s">
        <v>42</v>
      </c>
      <c r="N168" s="64" t="s">
        <v>739</v>
      </c>
      <c r="O168" s="47" t="s">
        <v>44</v>
      </c>
      <c r="P168" s="84">
        <v>45361</v>
      </c>
      <c r="Q168" s="131" t="s">
        <v>128</v>
      </c>
      <c r="R168" s="85" t="s">
        <v>46</v>
      </c>
      <c r="S168" s="99" t="s">
        <v>47</v>
      </c>
      <c r="T168" s="87">
        <v>45361</v>
      </c>
      <c r="U168" s="87">
        <v>45378</v>
      </c>
      <c r="V168" s="87">
        <v>45388</v>
      </c>
      <c r="W168" s="87">
        <f t="shared" si="42"/>
        <v>45395</v>
      </c>
      <c r="X168" s="60"/>
      <c r="Y168" s="70" t="s">
        <v>125</v>
      </c>
      <c r="Z168" s="71" t="s">
        <v>764</v>
      </c>
      <c r="AA168" s="71">
        <v>122</v>
      </c>
      <c r="AB168" s="54" t="s">
        <v>253</v>
      </c>
      <c r="AC168" s="73">
        <v>1</v>
      </c>
      <c r="AD168" s="73">
        <v>0</v>
      </c>
      <c r="AE168" s="101" t="s">
        <v>254</v>
      </c>
      <c r="AF168" s="90" t="s">
        <v>740</v>
      </c>
    </row>
    <row r="169" s="21" customFormat="1" ht="21" customHeight="1" spans="1:32">
      <c r="A169" s="58">
        <v>166</v>
      </c>
      <c r="B169" s="59" t="s">
        <v>765</v>
      </c>
      <c r="C169" s="60"/>
      <c r="D169" s="59" t="s">
        <v>34</v>
      </c>
      <c r="E169" s="96" t="s">
        <v>766</v>
      </c>
      <c r="F169" s="59" t="s">
        <v>767</v>
      </c>
      <c r="G169" s="97">
        <v>2</v>
      </c>
      <c r="H169" s="81" t="s">
        <v>94</v>
      </c>
      <c r="I169" s="81" t="s">
        <v>38</v>
      </c>
      <c r="J169" s="81" t="s">
        <v>39</v>
      </c>
      <c r="K169" s="81" t="s">
        <v>738</v>
      </c>
      <c r="L169" s="82" t="s">
        <v>77</v>
      </c>
      <c r="M169" s="82" t="s">
        <v>42</v>
      </c>
      <c r="N169" s="64" t="s">
        <v>739</v>
      </c>
      <c r="O169" s="47" t="s">
        <v>44</v>
      </c>
      <c r="P169" s="84">
        <v>45361</v>
      </c>
      <c r="Q169" s="131" t="s">
        <v>128</v>
      </c>
      <c r="R169" s="85" t="s">
        <v>46</v>
      </c>
      <c r="S169" s="99" t="s">
        <v>47</v>
      </c>
      <c r="T169" s="87">
        <v>45361</v>
      </c>
      <c r="U169" s="87">
        <v>45378</v>
      </c>
      <c r="V169" s="87">
        <v>45388</v>
      </c>
      <c r="W169" s="87">
        <f t="shared" si="42"/>
        <v>45395</v>
      </c>
      <c r="X169" s="60"/>
      <c r="Y169" s="70" t="s">
        <v>125</v>
      </c>
      <c r="Z169" s="71" t="s">
        <v>767</v>
      </c>
      <c r="AA169" s="71">
        <v>123</v>
      </c>
      <c r="AB169" s="54" t="s">
        <v>253</v>
      </c>
      <c r="AC169" s="73">
        <v>2</v>
      </c>
      <c r="AD169" s="73">
        <v>0</v>
      </c>
      <c r="AE169" s="101" t="s">
        <v>254</v>
      </c>
      <c r="AF169" s="90" t="s">
        <v>740</v>
      </c>
    </row>
    <row r="170" s="21" customFormat="1" ht="21" customHeight="1" spans="1:32">
      <c r="A170" s="58">
        <v>167</v>
      </c>
      <c r="B170" s="59" t="s">
        <v>768</v>
      </c>
      <c r="C170" s="60"/>
      <c r="D170" s="59" t="s">
        <v>34</v>
      </c>
      <c r="E170" s="96" t="s">
        <v>769</v>
      </c>
      <c r="F170" s="59" t="s">
        <v>770</v>
      </c>
      <c r="G170" s="97">
        <v>2</v>
      </c>
      <c r="H170" s="81" t="s">
        <v>94</v>
      </c>
      <c r="I170" s="81" t="s">
        <v>38</v>
      </c>
      <c r="J170" s="81" t="s">
        <v>39</v>
      </c>
      <c r="K170" s="81" t="s">
        <v>738</v>
      </c>
      <c r="L170" s="82" t="s">
        <v>77</v>
      </c>
      <c r="M170" s="82" t="s">
        <v>42</v>
      </c>
      <c r="N170" s="64" t="s">
        <v>739</v>
      </c>
      <c r="O170" s="47" t="s">
        <v>44</v>
      </c>
      <c r="P170" s="84">
        <v>45361</v>
      </c>
      <c r="Q170" s="131" t="s">
        <v>128</v>
      </c>
      <c r="R170" s="85" t="s">
        <v>46</v>
      </c>
      <c r="S170" s="99" t="s">
        <v>47</v>
      </c>
      <c r="T170" s="87">
        <v>45361</v>
      </c>
      <c r="U170" s="87">
        <v>45378</v>
      </c>
      <c r="V170" s="87">
        <v>45388</v>
      </c>
      <c r="W170" s="87">
        <f t="shared" si="42"/>
        <v>45395</v>
      </c>
      <c r="X170" s="60"/>
      <c r="Y170" s="70" t="s">
        <v>125</v>
      </c>
      <c r="Z170" s="71" t="s">
        <v>770</v>
      </c>
      <c r="AA170" s="71">
        <v>119</v>
      </c>
      <c r="AB170" s="54" t="s">
        <v>253</v>
      </c>
      <c r="AC170" s="73">
        <v>2</v>
      </c>
      <c r="AD170" s="73">
        <v>0</v>
      </c>
      <c r="AE170" s="101" t="s">
        <v>254</v>
      </c>
      <c r="AF170" s="90" t="s">
        <v>740</v>
      </c>
    </row>
    <row r="171" s="21" customFormat="1" ht="21" customHeight="1" spans="1:32">
      <c r="A171" s="58">
        <v>168</v>
      </c>
      <c r="B171" s="59" t="s">
        <v>771</v>
      </c>
      <c r="C171" s="60"/>
      <c r="D171" s="59" t="s">
        <v>34</v>
      </c>
      <c r="E171" s="96" t="s">
        <v>772</v>
      </c>
      <c r="F171" s="59" t="s">
        <v>773</v>
      </c>
      <c r="G171" s="97">
        <v>2</v>
      </c>
      <c r="H171" s="81" t="s">
        <v>94</v>
      </c>
      <c r="I171" s="81" t="s">
        <v>38</v>
      </c>
      <c r="J171" s="81" t="s">
        <v>39</v>
      </c>
      <c r="K171" s="81" t="s">
        <v>738</v>
      </c>
      <c r="L171" s="82" t="s">
        <v>77</v>
      </c>
      <c r="M171" s="82" t="s">
        <v>42</v>
      </c>
      <c r="N171" s="64" t="s">
        <v>739</v>
      </c>
      <c r="O171" s="47" t="s">
        <v>44</v>
      </c>
      <c r="P171" s="84">
        <v>45361</v>
      </c>
      <c r="Q171" s="131" t="s">
        <v>128</v>
      </c>
      <c r="R171" s="85" t="s">
        <v>46</v>
      </c>
      <c r="S171" s="99" t="s">
        <v>47</v>
      </c>
      <c r="T171" s="87">
        <v>45361</v>
      </c>
      <c r="U171" s="87">
        <v>45378</v>
      </c>
      <c r="V171" s="87">
        <v>45388</v>
      </c>
      <c r="W171" s="87">
        <f t="shared" si="42"/>
        <v>45395</v>
      </c>
      <c r="X171" s="60"/>
      <c r="Y171" s="70" t="s">
        <v>125</v>
      </c>
      <c r="Z171" s="71" t="s">
        <v>773</v>
      </c>
      <c r="AA171" s="71">
        <v>120</v>
      </c>
      <c r="AB171" s="54" t="s">
        <v>253</v>
      </c>
      <c r="AC171" s="73">
        <v>2</v>
      </c>
      <c r="AD171" s="73">
        <v>0</v>
      </c>
      <c r="AE171" s="101" t="s">
        <v>254</v>
      </c>
      <c r="AF171" s="90" t="s">
        <v>740</v>
      </c>
    </row>
    <row r="172" s="21" customFormat="1" ht="15" customHeight="1" spans="1:32">
      <c r="A172" s="58">
        <v>169</v>
      </c>
      <c r="B172" s="59" t="s">
        <v>774</v>
      </c>
      <c r="C172" s="59" t="s">
        <v>775</v>
      </c>
      <c r="D172" s="59" t="s">
        <v>487</v>
      </c>
      <c r="E172" s="96" t="s">
        <v>776</v>
      </c>
      <c r="F172" s="59" t="s">
        <v>777</v>
      </c>
      <c r="G172" s="97">
        <v>4</v>
      </c>
      <c r="H172" s="81" t="s">
        <v>94</v>
      </c>
      <c r="I172" s="81" t="s">
        <v>38</v>
      </c>
      <c r="J172" s="81" t="s">
        <v>39</v>
      </c>
      <c r="K172" s="81" t="s">
        <v>738</v>
      </c>
      <c r="L172" s="82" t="s">
        <v>77</v>
      </c>
      <c r="M172" s="82" t="s">
        <v>42</v>
      </c>
      <c r="N172" s="64" t="s">
        <v>739</v>
      </c>
      <c r="O172" s="47" t="s">
        <v>44</v>
      </c>
      <c r="P172" s="84">
        <v>45392</v>
      </c>
      <c r="Q172" s="131" t="s">
        <v>128</v>
      </c>
      <c r="R172" s="85" t="s">
        <v>46</v>
      </c>
      <c r="S172" s="99" t="s">
        <v>47</v>
      </c>
      <c r="T172" s="87">
        <v>45361</v>
      </c>
      <c r="U172" s="87">
        <v>45378</v>
      </c>
      <c r="V172" s="87">
        <v>45388</v>
      </c>
      <c r="W172" s="87">
        <f t="shared" si="42"/>
        <v>45395</v>
      </c>
      <c r="X172" s="60"/>
      <c r="Y172" s="70" t="s">
        <v>125</v>
      </c>
      <c r="Z172" s="71" t="s">
        <v>777</v>
      </c>
      <c r="AA172" s="71">
        <v>136</v>
      </c>
      <c r="AB172" s="54" t="s">
        <v>253</v>
      </c>
      <c r="AC172" s="73">
        <v>4</v>
      </c>
      <c r="AD172" s="73">
        <v>0</v>
      </c>
      <c r="AE172" s="101" t="s">
        <v>254</v>
      </c>
      <c r="AF172" s="90" t="s">
        <v>740</v>
      </c>
    </row>
    <row r="173" s="21" customFormat="1" ht="15" customHeight="1" spans="1:32">
      <c r="A173" s="58">
        <v>170</v>
      </c>
      <c r="B173" s="59" t="s">
        <v>778</v>
      </c>
      <c r="C173" s="59" t="s">
        <v>779</v>
      </c>
      <c r="D173" s="59" t="s">
        <v>487</v>
      </c>
      <c r="E173" s="96" t="s">
        <v>780</v>
      </c>
      <c r="F173" s="59" t="s">
        <v>781</v>
      </c>
      <c r="G173" s="97">
        <v>4</v>
      </c>
      <c r="H173" s="81" t="s">
        <v>94</v>
      </c>
      <c r="I173" s="81" t="s">
        <v>38</v>
      </c>
      <c r="J173" s="81" t="s">
        <v>39</v>
      </c>
      <c r="K173" s="81" t="s">
        <v>738</v>
      </c>
      <c r="L173" s="82" t="s">
        <v>77</v>
      </c>
      <c r="M173" s="82" t="s">
        <v>42</v>
      </c>
      <c r="N173" s="64" t="s">
        <v>739</v>
      </c>
      <c r="O173" s="47" t="s">
        <v>44</v>
      </c>
      <c r="P173" s="84">
        <v>45392</v>
      </c>
      <c r="Q173" s="131" t="s">
        <v>128</v>
      </c>
      <c r="R173" s="85" t="s">
        <v>46</v>
      </c>
      <c r="S173" s="99" t="s">
        <v>47</v>
      </c>
      <c r="T173" s="87">
        <v>45361</v>
      </c>
      <c r="U173" s="87">
        <v>45378</v>
      </c>
      <c r="V173" s="87">
        <v>45388</v>
      </c>
      <c r="W173" s="87">
        <f t="shared" si="42"/>
        <v>45395</v>
      </c>
      <c r="X173" s="60"/>
      <c r="Y173" s="70" t="s">
        <v>125</v>
      </c>
      <c r="Z173" s="71" t="s">
        <v>781</v>
      </c>
      <c r="AA173" s="71">
        <v>137</v>
      </c>
      <c r="AB173" s="54" t="s">
        <v>253</v>
      </c>
      <c r="AC173" s="73">
        <v>4</v>
      </c>
      <c r="AD173" s="73">
        <v>0</v>
      </c>
      <c r="AE173" s="101" t="s">
        <v>254</v>
      </c>
      <c r="AF173" s="90" t="s">
        <v>740</v>
      </c>
    </row>
    <row r="174" s="21" customFormat="1" ht="15" customHeight="1" spans="1:32">
      <c r="A174" s="58">
        <v>171</v>
      </c>
      <c r="B174" s="59" t="s">
        <v>782</v>
      </c>
      <c r="C174" s="59" t="s">
        <v>783</v>
      </c>
      <c r="D174" s="59" t="s">
        <v>487</v>
      </c>
      <c r="E174" s="96" t="s">
        <v>784</v>
      </c>
      <c r="F174" s="59" t="s">
        <v>785</v>
      </c>
      <c r="G174" s="97">
        <v>4</v>
      </c>
      <c r="H174" s="81" t="s">
        <v>94</v>
      </c>
      <c r="I174" s="81" t="s">
        <v>38</v>
      </c>
      <c r="J174" s="81" t="s">
        <v>39</v>
      </c>
      <c r="K174" s="81" t="s">
        <v>738</v>
      </c>
      <c r="L174" s="82" t="s">
        <v>77</v>
      </c>
      <c r="M174" s="82" t="s">
        <v>42</v>
      </c>
      <c r="N174" s="64" t="s">
        <v>739</v>
      </c>
      <c r="O174" s="47" t="s">
        <v>44</v>
      </c>
      <c r="P174" s="84">
        <v>45392</v>
      </c>
      <c r="Q174" s="131" t="s">
        <v>128</v>
      </c>
      <c r="R174" s="85" t="s">
        <v>46</v>
      </c>
      <c r="S174" s="99" t="s">
        <v>47</v>
      </c>
      <c r="T174" s="87">
        <v>45361</v>
      </c>
      <c r="U174" s="87">
        <v>45378</v>
      </c>
      <c r="V174" s="87">
        <v>45388</v>
      </c>
      <c r="W174" s="87">
        <f t="shared" si="42"/>
        <v>45395</v>
      </c>
      <c r="X174" s="60"/>
      <c r="Y174" s="70" t="s">
        <v>125</v>
      </c>
      <c r="Z174" s="71" t="s">
        <v>785</v>
      </c>
      <c r="AA174" s="71">
        <v>138</v>
      </c>
      <c r="AB174" s="54" t="s">
        <v>253</v>
      </c>
      <c r="AC174" s="73">
        <v>4</v>
      </c>
      <c r="AD174" s="73">
        <v>0</v>
      </c>
      <c r="AE174" s="101" t="s">
        <v>254</v>
      </c>
      <c r="AF174" s="90" t="s">
        <v>740</v>
      </c>
    </row>
    <row r="175" s="21" customFormat="1" ht="15" customHeight="1" spans="1:32">
      <c r="A175" s="58">
        <v>172</v>
      </c>
      <c r="B175" s="59" t="s">
        <v>786</v>
      </c>
      <c r="C175" s="59" t="s">
        <v>787</v>
      </c>
      <c r="D175" s="59" t="s">
        <v>487</v>
      </c>
      <c r="E175" s="96" t="s">
        <v>788</v>
      </c>
      <c r="F175" s="59" t="s">
        <v>789</v>
      </c>
      <c r="G175" s="97">
        <v>4</v>
      </c>
      <c r="H175" s="81" t="s">
        <v>94</v>
      </c>
      <c r="I175" s="81" t="s">
        <v>38</v>
      </c>
      <c r="J175" s="81" t="s">
        <v>39</v>
      </c>
      <c r="K175" s="81" t="s">
        <v>738</v>
      </c>
      <c r="L175" s="82" t="s">
        <v>77</v>
      </c>
      <c r="M175" s="82" t="s">
        <v>42</v>
      </c>
      <c r="N175" s="64" t="s">
        <v>739</v>
      </c>
      <c r="O175" s="47" t="s">
        <v>44</v>
      </c>
      <c r="P175" s="84">
        <v>45392</v>
      </c>
      <c r="Q175" s="131" t="s">
        <v>128</v>
      </c>
      <c r="R175" s="85" t="s">
        <v>46</v>
      </c>
      <c r="S175" s="99" t="s">
        <v>47</v>
      </c>
      <c r="T175" s="87">
        <v>45361</v>
      </c>
      <c r="U175" s="87">
        <v>45378</v>
      </c>
      <c r="V175" s="87">
        <v>45388</v>
      </c>
      <c r="W175" s="87">
        <f t="shared" si="42"/>
        <v>45395</v>
      </c>
      <c r="X175" s="60"/>
      <c r="Y175" s="70" t="s">
        <v>125</v>
      </c>
      <c r="Z175" s="71" t="s">
        <v>790</v>
      </c>
      <c r="AA175" s="71">
        <v>139</v>
      </c>
      <c r="AB175" s="54" t="s">
        <v>253</v>
      </c>
      <c r="AC175" s="73">
        <v>4</v>
      </c>
      <c r="AD175" s="73">
        <v>0</v>
      </c>
      <c r="AE175" s="101" t="s">
        <v>254</v>
      </c>
      <c r="AF175" s="90" t="s">
        <v>740</v>
      </c>
    </row>
    <row r="176" s="21" customFormat="1" ht="15" customHeight="1" spans="1:32">
      <c r="A176" s="58">
        <v>173</v>
      </c>
      <c r="B176" s="59" t="s">
        <v>791</v>
      </c>
      <c r="C176" s="59" t="s">
        <v>792</v>
      </c>
      <c r="D176" s="59" t="s">
        <v>487</v>
      </c>
      <c r="E176" s="96" t="s">
        <v>793</v>
      </c>
      <c r="F176" s="59" t="s">
        <v>794</v>
      </c>
      <c r="G176" s="97">
        <v>4</v>
      </c>
      <c r="H176" s="81" t="s">
        <v>94</v>
      </c>
      <c r="I176" s="81" t="s">
        <v>38</v>
      </c>
      <c r="J176" s="81" t="s">
        <v>39</v>
      </c>
      <c r="K176" s="81" t="s">
        <v>738</v>
      </c>
      <c r="L176" s="82" t="s">
        <v>77</v>
      </c>
      <c r="M176" s="82" t="s">
        <v>42</v>
      </c>
      <c r="N176" s="64" t="s">
        <v>739</v>
      </c>
      <c r="O176" s="47" t="s">
        <v>44</v>
      </c>
      <c r="P176" s="84">
        <v>45392</v>
      </c>
      <c r="Q176" s="131" t="s">
        <v>128</v>
      </c>
      <c r="R176" s="85" t="s">
        <v>46</v>
      </c>
      <c r="S176" s="99" t="s">
        <v>47</v>
      </c>
      <c r="T176" s="87">
        <v>45361</v>
      </c>
      <c r="U176" s="87">
        <v>45378</v>
      </c>
      <c r="V176" s="87">
        <v>45388</v>
      </c>
      <c r="W176" s="87">
        <f t="shared" si="42"/>
        <v>45395</v>
      </c>
      <c r="X176" s="60"/>
      <c r="Y176" s="70" t="s">
        <v>125</v>
      </c>
      <c r="Z176" s="71" t="s">
        <v>794</v>
      </c>
      <c r="AA176" s="71">
        <v>140</v>
      </c>
      <c r="AB176" s="54" t="s">
        <v>253</v>
      </c>
      <c r="AC176" s="73">
        <v>4</v>
      </c>
      <c r="AD176" s="73">
        <v>0</v>
      </c>
      <c r="AE176" s="101" t="s">
        <v>254</v>
      </c>
      <c r="AF176" s="90" t="s">
        <v>740</v>
      </c>
    </row>
    <row r="177" s="21" customFormat="1" ht="15" customHeight="1" spans="1:32">
      <c r="A177" s="58">
        <v>174</v>
      </c>
      <c r="B177" s="59" t="s">
        <v>795</v>
      </c>
      <c r="C177" s="59" t="s">
        <v>796</v>
      </c>
      <c r="D177" s="59" t="s">
        <v>487</v>
      </c>
      <c r="E177" s="96" t="s">
        <v>797</v>
      </c>
      <c r="F177" s="59" t="s">
        <v>798</v>
      </c>
      <c r="G177" s="97">
        <v>4</v>
      </c>
      <c r="H177" s="81" t="s">
        <v>94</v>
      </c>
      <c r="I177" s="81" t="s">
        <v>38</v>
      </c>
      <c r="J177" s="81" t="s">
        <v>39</v>
      </c>
      <c r="K177" s="81" t="s">
        <v>738</v>
      </c>
      <c r="L177" s="82" t="s">
        <v>77</v>
      </c>
      <c r="M177" s="82" t="s">
        <v>42</v>
      </c>
      <c r="N177" s="64" t="s">
        <v>739</v>
      </c>
      <c r="O177" s="47" t="s">
        <v>44</v>
      </c>
      <c r="P177" s="84">
        <v>45392</v>
      </c>
      <c r="Q177" s="131" t="s">
        <v>128</v>
      </c>
      <c r="R177" s="85" t="s">
        <v>46</v>
      </c>
      <c r="S177" s="99" t="s">
        <v>47</v>
      </c>
      <c r="T177" s="87">
        <v>45361</v>
      </c>
      <c r="U177" s="87">
        <v>45378</v>
      </c>
      <c r="V177" s="87">
        <v>45388</v>
      </c>
      <c r="W177" s="87">
        <f t="shared" si="42"/>
        <v>45395</v>
      </c>
      <c r="X177" s="60"/>
      <c r="Y177" s="70" t="s">
        <v>125</v>
      </c>
      <c r="Z177" s="161" t="s">
        <v>798</v>
      </c>
      <c r="AA177" s="71">
        <v>141</v>
      </c>
      <c r="AB177" s="54" t="s">
        <v>253</v>
      </c>
      <c r="AC177" s="73">
        <v>4</v>
      </c>
      <c r="AD177" s="73">
        <v>0</v>
      </c>
      <c r="AE177" s="101" t="s">
        <v>254</v>
      </c>
      <c r="AF177" s="90" t="s">
        <v>740</v>
      </c>
    </row>
    <row r="178" s="21" customFormat="1" ht="15" customHeight="1" spans="1:32">
      <c r="A178" s="58">
        <v>175</v>
      </c>
      <c r="B178" s="59" t="s">
        <v>799</v>
      </c>
      <c r="C178" s="59" t="s">
        <v>800</v>
      </c>
      <c r="D178" s="59" t="s">
        <v>487</v>
      </c>
      <c r="E178" s="96" t="s">
        <v>801</v>
      </c>
      <c r="F178" s="59" t="s">
        <v>802</v>
      </c>
      <c r="G178" s="97">
        <v>2</v>
      </c>
      <c r="H178" s="81" t="s">
        <v>94</v>
      </c>
      <c r="I178" s="81" t="s">
        <v>38</v>
      </c>
      <c r="J178" s="81" t="s">
        <v>39</v>
      </c>
      <c r="K178" s="81" t="s">
        <v>738</v>
      </c>
      <c r="L178" s="82" t="s">
        <v>77</v>
      </c>
      <c r="M178" s="82" t="s">
        <v>42</v>
      </c>
      <c r="N178" s="64" t="s">
        <v>739</v>
      </c>
      <c r="O178" s="47" t="s">
        <v>44</v>
      </c>
      <c r="P178" s="84">
        <v>45392</v>
      </c>
      <c r="Q178" s="131" t="s">
        <v>128</v>
      </c>
      <c r="R178" s="85" t="s">
        <v>46</v>
      </c>
      <c r="S178" s="99" t="s">
        <v>47</v>
      </c>
      <c r="T178" s="87">
        <v>45361</v>
      </c>
      <c r="U178" s="87">
        <v>45378</v>
      </c>
      <c r="V178" s="87">
        <v>45388</v>
      </c>
      <c r="W178" s="87">
        <f t="shared" si="42"/>
        <v>45395</v>
      </c>
      <c r="X178" s="60"/>
      <c r="Y178" s="70" t="s">
        <v>125</v>
      </c>
      <c r="Z178" s="161" t="s">
        <v>802</v>
      </c>
      <c r="AA178" s="71">
        <v>142</v>
      </c>
      <c r="AB178" s="54" t="s">
        <v>253</v>
      </c>
      <c r="AC178" s="73">
        <v>2</v>
      </c>
      <c r="AD178" s="73">
        <v>0</v>
      </c>
      <c r="AE178" s="101" t="s">
        <v>254</v>
      </c>
      <c r="AF178" s="90" t="s">
        <v>740</v>
      </c>
    </row>
    <row r="179" s="21" customFormat="1" ht="15" customHeight="1" spans="1:32">
      <c r="A179" s="58">
        <v>176</v>
      </c>
      <c r="B179" s="59" t="s">
        <v>803</v>
      </c>
      <c r="C179" s="59" t="s">
        <v>804</v>
      </c>
      <c r="D179" s="59" t="s">
        <v>487</v>
      </c>
      <c r="E179" s="59" t="s">
        <v>805</v>
      </c>
      <c r="F179" s="59" t="s">
        <v>806</v>
      </c>
      <c r="G179" s="97">
        <v>2</v>
      </c>
      <c r="H179" s="81" t="s">
        <v>94</v>
      </c>
      <c r="I179" s="81" t="s">
        <v>38</v>
      </c>
      <c r="J179" s="81" t="s">
        <v>39</v>
      </c>
      <c r="K179" s="81" t="s">
        <v>738</v>
      </c>
      <c r="L179" s="82" t="s">
        <v>77</v>
      </c>
      <c r="M179" s="82" t="s">
        <v>42</v>
      </c>
      <c r="N179" s="64" t="s">
        <v>739</v>
      </c>
      <c r="O179" s="47" t="s">
        <v>44</v>
      </c>
      <c r="P179" s="84">
        <v>45392</v>
      </c>
      <c r="Q179" s="131" t="s">
        <v>128</v>
      </c>
      <c r="R179" s="85" t="s">
        <v>46</v>
      </c>
      <c r="S179" s="99" t="s">
        <v>47</v>
      </c>
      <c r="T179" s="87">
        <v>45361</v>
      </c>
      <c r="U179" s="87">
        <v>45378</v>
      </c>
      <c r="V179" s="87">
        <v>45388</v>
      </c>
      <c r="W179" s="87">
        <f t="shared" si="42"/>
        <v>45395</v>
      </c>
      <c r="X179" s="60"/>
      <c r="Y179" s="70" t="s">
        <v>125</v>
      </c>
      <c r="Z179" s="161" t="s">
        <v>806</v>
      </c>
      <c r="AA179" s="71">
        <v>143</v>
      </c>
      <c r="AB179" s="54" t="s">
        <v>253</v>
      </c>
      <c r="AC179" s="73">
        <v>2</v>
      </c>
      <c r="AD179" s="73">
        <v>0</v>
      </c>
      <c r="AE179" s="101" t="s">
        <v>254</v>
      </c>
      <c r="AF179" s="90" t="s">
        <v>740</v>
      </c>
    </row>
    <row r="180" s="21" customFormat="1" ht="15" customHeight="1" spans="1:32">
      <c r="A180" s="58">
        <v>177</v>
      </c>
      <c r="B180" s="59" t="s">
        <v>807</v>
      </c>
      <c r="C180" s="59" t="s">
        <v>808</v>
      </c>
      <c r="D180" s="59" t="s">
        <v>487</v>
      </c>
      <c r="E180" s="96" t="s">
        <v>809</v>
      </c>
      <c r="F180" s="59" t="s">
        <v>810</v>
      </c>
      <c r="G180" s="97">
        <v>4</v>
      </c>
      <c r="H180" s="81" t="s">
        <v>94</v>
      </c>
      <c r="I180" s="81" t="s">
        <v>38</v>
      </c>
      <c r="J180" s="81" t="s">
        <v>39</v>
      </c>
      <c r="K180" s="81" t="s">
        <v>738</v>
      </c>
      <c r="L180" s="82" t="s">
        <v>77</v>
      </c>
      <c r="M180" s="82" t="s">
        <v>42</v>
      </c>
      <c r="N180" s="64" t="s">
        <v>739</v>
      </c>
      <c r="O180" s="47" t="s">
        <v>44</v>
      </c>
      <c r="P180" s="84">
        <v>45392</v>
      </c>
      <c r="Q180" s="131" t="s">
        <v>128</v>
      </c>
      <c r="R180" s="85" t="s">
        <v>46</v>
      </c>
      <c r="S180" s="99" t="s">
        <v>47</v>
      </c>
      <c r="T180" s="87">
        <v>45361</v>
      </c>
      <c r="U180" s="87">
        <v>45378</v>
      </c>
      <c r="V180" s="87">
        <v>45388</v>
      </c>
      <c r="W180" s="87">
        <f t="shared" si="42"/>
        <v>45395</v>
      </c>
      <c r="X180" s="60"/>
      <c r="Y180" s="70" t="s">
        <v>125</v>
      </c>
      <c r="Z180" s="161" t="s">
        <v>810</v>
      </c>
      <c r="AA180" s="71">
        <v>144</v>
      </c>
      <c r="AB180" s="54" t="s">
        <v>253</v>
      </c>
      <c r="AC180" s="73">
        <v>4</v>
      </c>
      <c r="AD180" s="73">
        <v>0</v>
      </c>
      <c r="AE180" s="101" t="s">
        <v>254</v>
      </c>
      <c r="AF180" s="90" t="s">
        <v>740</v>
      </c>
    </row>
    <row r="181" s="21" customFormat="1" ht="15" customHeight="1" spans="1:32">
      <c r="A181" s="58">
        <v>178</v>
      </c>
      <c r="B181" s="59" t="s">
        <v>811</v>
      </c>
      <c r="C181" s="59" t="s">
        <v>812</v>
      </c>
      <c r="D181" s="59" t="s">
        <v>487</v>
      </c>
      <c r="E181" s="96" t="s">
        <v>813</v>
      </c>
      <c r="F181" s="59" t="s">
        <v>814</v>
      </c>
      <c r="G181" s="97">
        <v>12</v>
      </c>
      <c r="H181" s="81" t="s">
        <v>94</v>
      </c>
      <c r="I181" s="81" t="s">
        <v>38</v>
      </c>
      <c r="J181" s="81" t="s">
        <v>39</v>
      </c>
      <c r="K181" s="81" t="s">
        <v>738</v>
      </c>
      <c r="L181" s="82" t="s">
        <v>77</v>
      </c>
      <c r="M181" s="82" t="s">
        <v>42</v>
      </c>
      <c r="N181" s="64" t="s">
        <v>739</v>
      </c>
      <c r="O181" s="47" t="s">
        <v>44</v>
      </c>
      <c r="P181" s="84">
        <v>45392</v>
      </c>
      <c r="Q181" s="131" t="s">
        <v>128</v>
      </c>
      <c r="R181" s="85" t="s">
        <v>46</v>
      </c>
      <c r="S181" s="99" t="s">
        <v>47</v>
      </c>
      <c r="T181" s="87">
        <v>45361</v>
      </c>
      <c r="U181" s="87">
        <v>45378</v>
      </c>
      <c r="V181" s="87">
        <v>45388</v>
      </c>
      <c r="W181" s="87">
        <f t="shared" si="42"/>
        <v>45395</v>
      </c>
      <c r="X181" s="60"/>
      <c r="Y181" s="70" t="s">
        <v>125</v>
      </c>
      <c r="Z181" s="161" t="s">
        <v>814</v>
      </c>
      <c r="AA181" s="71">
        <v>145</v>
      </c>
      <c r="AB181" s="54" t="s">
        <v>253</v>
      </c>
      <c r="AC181" s="73">
        <v>12</v>
      </c>
      <c r="AD181" s="73">
        <v>0</v>
      </c>
      <c r="AE181" s="101" t="s">
        <v>254</v>
      </c>
      <c r="AF181" s="90" t="s">
        <v>740</v>
      </c>
    </row>
    <row r="182" s="21" customFormat="1" ht="15" customHeight="1" spans="1:32">
      <c r="A182" s="58">
        <v>179</v>
      </c>
      <c r="B182" s="59" t="s">
        <v>815</v>
      </c>
      <c r="C182" s="59" t="s">
        <v>816</v>
      </c>
      <c r="D182" s="59" t="s">
        <v>487</v>
      </c>
      <c r="E182" s="96" t="s">
        <v>817</v>
      </c>
      <c r="F182" s="59" t="s">
        <v>818</v>
      </c>
      <c r="G182" s="97">
        <v>2</v>
      </c>
      <c r="H182" s="81" t="s">
        <v>94</v>
      </c>
      <c r="I182" s="81" t="s">
        <v>38</v>
      </c>
      <c r="J182" s="81" t="s">
        <v>39</v>
      </c>
      <c r="K182" s="81" t="s">
        <v>738</v>
      </c>
      <c r="L182" s="82" t="s">
        <v>77</v>
      </c>
      <c r="M182" s="82" t="s">
        <v>42</v>
      </c>
      <c r="N182" s="64" t="s">
        <v>739</v>
      </c>
      <c r="O182" s="47" t="s">
        <v>44</v>
      </c>
      <c r="P182" s="84">
        <v>45392</v>
      </c>
      <c r="Q182" s="131" t="s">
        <v>128</v>
      </c>
      <c r="R182" s="85" t="s">
        <v>46</v>
      </c>
      <c r="S182" s="99" t="s">
        <v>47</v>
      </c>
      <c r="T182" s="87">
        <v>45361</v>
      </c>
      <c r="U182" s="87">
        <v>45378</v>
      </c>
      <c r="V182" s="87">
        <v>45388</v>
      </c>
      <c r="W182" s="87">
        <f t="shared" si="42"/>
        <v>45395</v>
      </c>
      <c r="X182" s="60"/>
      <c r="Y182" s="70" t="s">
        <v>125</v>
      </c>
      <c r="Z182" s="161" t="s">
        <v>818</v>
      </c>
      <c r="AA182" s="71">
        <v>146</v>
      </c>
      <c r="AB182" s="54" t="s">
        <v>253</v>
      </c>
      <c r="AC182" s="73">
        <v>2</v>
      </c>
      <c r="AD182" s="73">
        <v>0</v>
      </c>
      <c r="AE182" s="101" t="s">
        <v>254</v>
      </c>
      <c r="AF182" s="90" t="s">
        <v>740</v>
      </c>
    </row>
    <row r="183" s="21" customFormat="1" ht="15" customHeight="1" spans="1:32">
      <c r="A183" s="58">
        <v>180</v>
      </c>
      <c r="B183" s="59" t="s">
        <v>819</v>
      </c>
      <c r="C183" s="59" t="s">
        <v>820</v>
      </c>
      <c r="D183" s="59" t="s">
        <v>487</v>
      </c>
      <c r="E183" s="96" t="s">
        <v>821</v>
      </c>
      <c r="F183" s="59" t="s">
        <v>822</v>
      </c>
      <c r="G183" s="97">
        <v>4</v>
      </c>
      <c r="H183" s="81" t="s">
        <v>94</v>
      </c>
      <c r="I183" s="81" t="s">
        <v>38</v>
      </c>
      <c r="J183" s="81" t="s">
        <v>39</v>
      </c>
      <c r="K183" s="81" t="s">
        <v>738</v>
      </c>
      <c r="L183" s="82" t="s">
        <v>77</v>
      </c>
      <c r="M183" s="82" t="s">
        <v>42</v>
      </c>
      <c r="N183" s="64" t="s">
        <v>739</v>
      </c>
      <c r="O183" s="47" t="s">
        <v>44</v>
      </c>
      <c r="P183" s="84">
        <v>45392</v>
      </c>
      <c r="Q183" s="131" t="s">
        <v>128</v>
      </c>
      <c r="R183" s="85" t="s">
        <v>46</v>
      </c>
      <c r="S183" s="99" t="s">
        <v>47</v>
      </c>
      <c r="T183" s="87">
        <v>45361</v>
      </c>
      <c r="U183" s="87">
        <v>45378</v>
      </c>
      <c r="V183" s="87">
        <v>45388</v>
      </c>
      <c r="W183" s="87">
        <f t="shared" si="42"/>
        <v>45395</v>
      </c>
      <c r="X183" s="60"/>
      <c r="Y183" s="70" t="s">
        <v>125</v>
      </c>
      <c r="Z183" s="161" t="s">
        <v>822</v>
      </c>
      <c r="AA183" s="71">
        <v>147</v>
      </c>
      <c r="AB183" s="54" t="s">
        <v>253</v>
      </c>
      <c r="AC183" s="73">
        <v>4</v>
      </c>
      <c r="AD183" s="73">
        <v>0</v>
      </c>
      <c r="AE183" s="101" t="s">
        <v>254</v>
      </c>
      <c r="AF183" s="90" t="s">
        <v>740</v>
      </c>
    </row>
    <row r="184" s="21" customFormat="1" ht="15" customHeight="1" spans="1:32">
      <c r="A184" s="58">
        <v>181</v>
      </c>
      <c r="B184" s="59" t="s">
        <v>823</v>
      </c>
      <c r="C184" s="60"/>
      <c r="D184" s="59" t="s">
        <v>487</v>
      </c>
      <c r="E184" s="96" t="s">
        <v>824</v>
      </c>
      <c r="F184" s="59" t="s">
        <v>825</v>
      </c>
      <c r="G184" s="97">
        <v>2</v>
      </c>
      <c r="H184" s="81" t="s">
        <v>94</v>
      </c>
      <c r="I184" s="81" t="s">
        <v>38</v>
      </c>
      <c r="J184" s="81" t="s">
        <v>39</v>
      </c>
      <c r="K184" s="81" t="s">
        <v>738</v>
      </c>
      <c r="L184" s="82" t="s">
        <v>77</v>
      </c>
      <c r="M184" s="82" t="s">
        <v>42</v>
      </c>
      <c r="N184" s="64" t="s">
        <v>739</v>
      </c>
      <c r="O184" s="47" t="s">
        <v>44</v>
      </c>
      <c r="P184" s="84">
        <v>45392</v>
      </c>
      <c r="Q184" s="131" t="s">
        <v>128</v>
      </c>
      <c r="R184" s="85" t="s">
        <v>46</v>
      </c>
      <c r="S184" s="99" t="s">
        <v>47</v>
      </c>
      <c r="T184" s="87">
        <v>45361</v>
      </c>
      <c r="U184" s="87">
        <v>45378</v>
      </c>
      <c r="V184" s="87">
        <v>45388</v>
      </c>
      <c r="W184" s="87">
        <f t="shared" si="42"/>
        <v>45395</v>
      </c>
      <c r="X184" s="60"/>
      <c r="Y184" s="70" t="s">
        <v>125</v>
      </c>
      <c r="Z184" s="161" t="s">
        <v>825</v>
      </c>
      <c r="AA184" s="71">
        <v>185</v>
      </c>
      <c r="AB184" s="54" t="s">
        <v>253</v>
      </c>
      <c r="AC184" s="73">
        <v>2</v>
      </c>
      <c r="AD184" s="73">
        <v>0</v>
      </c>
      <c r="AE184" s="101" t="s">
        <v>254</v>
      </c>
      <c r="AF184" s="90" t="s">
        <v>740</v>
      </c>
    </row>
    <row r="185" s="21" customFormat="1" ht="15" customHeight="1" spans="1:32">
      <c r="A185" s="58">
        <v>182</v>
      </c>
      <c r="B185" s="59" t="s">
        <v>826</v>
      </c>
      <c r="C185" s="60"/>
      <c r="D185" s="59" t="s">
        <v>487</v>
      </c>
      <c r="E185" s="96" t="s">
        <v>827</v>
      </c>
      <c r="F185" s="59" t="s">
        <v>828</v>
      </c>
      <c r="G185" s="97">
        <v>2</v>
      </c>
      <c r="H185" s="81" t="s">
        <v>94</v>
      </c>
      <c r="I185" s="81" t="s">
        <v>38</v>
      </c>
      <c r="J185" s="81" t="s">
        <v>39</v>
      </c>
      <c r="K185" s="81" t="s">
        <v>738</v>
      </c>
      <c r="L185" s="82" t="s">
        <v>77</v>
      </c>
      <c r="M185" s="82" t="s">
        <v>42</v>
      </c>
      <c r="N185" s="64" t="s">
        <v>739</v>
      </c>
      <c r="O185" s="47" t="s">
        <v>44</v>
      </c>
      <c r="P185" s="84">
        <v>45392</v>
      </c>
      <c r="Q185" s="131" t="s">
        <v>128</v>
      </c>
      <c r="R185" s="85" t="s">
        <v>46</v>
      </c>
      <c r="S185" s="99" t="s">
        <v>47</v>
      </c>
      <c r="T185" s="87">
        <v>45361</v>
      </c>
      <c r="U185" s="87">
        <v>45378</v>
      </c>
      <c r="V185" s="87">
        <v>45388</v>
      </c>
      <c r="W185" s="87">
        <f t="shared" si="42"/>
        <v>45395</v>
      </c>
      <c r="X185" s="60"/>
      <c r="Y185" s="70" t="s">
        <v>125</v>
      </c>
      <c r="Z185" s="161" t="s">
        <v>828</v>
      </c>
      <c r="AA185" s="71">
        <v>188</v>
      </c>
      <c r="AB185" s="54" t="s">
        <v>253</v>
      </c>
      <c r="AC185" s="73">
        <v>2</v>
      </c>
      <c r="AD185" s="73">
        <v>0</v>
      </c>
      <c r="AE185" s="101" t="s">
        <v>254</v>
      </c>
      <c r="AF185" s="90" t="s">
        <v>740</v>
      </c>
    </row>
    <row r="186" s="21" customFormat="1" ht="15" customHeight="1" spans="1:32">
      <c r="A186" s="58">
        <v>183</v>
      </c>
      <c r="B186" s="59" t="s">
        <v>829</v>
      </c>
      <c r="C186" s="60"/>
      <c r="D186" s="59" t="s">
        <v>487</v>
      </c>
      <c r="E186" s="96" t="s">
        <v>830</v>
      </c>
      <c r="F186" s="59" t="s">
        <v>831</v>
      </c>
      <c r="G186" s="97">
        <v>1</v>
      </c>
      <c r="H186" s="81" t="s">
        <v>94</v>
      </c>
      <c r="I186" s="81" t="s">
        <v>38</v>
      </c>
      <c r="J186" s="81" t="s">
        <v>39</v>
      </c>
      <c r="K186" s="81" t="s">
        <v>738</v>
      </c>
      <c r="L186" s="82" t="s">
        <v>77</v>
      </c>
      <c r="M186" s="82" t="s">
        <v>42</v>
      </c>
      <c r="N186" s="64" t="s">
        <v>739</v>
      </c>
      <c r="O186" s="47" t="s">
        <v>44</v>
      </c>
      <c r="P186" s="84">
        <v>45392</v>
      </c>
      <c r="Q186" s="131" t="s">
        <v>128</v>
      </c>
      <c r="R186" s="85" t="s">
        <v>46</v>
      </c>
      <c r="S186" s="99" t="s">
        <v>47</v>
      </c>
      <c r="T186" s="87">
        <v>45361</v>
      </c>
      <c r="U186" s="87">
        <v>45378</v>
      </c>
      <c r="V186" s="87">
        <v>45388</v>
      </c>
      <c r="W186" s="87">
        <f t="shared" si="42"/>
        <v>45395</v>
      </c>
      <c r="X186" s="60"/>
      <c r="Y186" s="70" t="s">
        <v>125</v>
      </c>
      <c r="Z186" s="161" t="s">
        <v>831</v>
      </c>
      <c r="AA186" s="71">
        <v>187</v>
      </c>
      <c r="AB186" s="54" t="s">
        <v>253</v>
      </c>
      <c r="AC186" s="73">
        <v>1</v>
      </c>
      <c r="AD186" s="73">
        <v>0</v>
      </c>
      <c r="AE186" s="101" t="s">
        <v>254</v>
      </c>
      <c r="AF186" s="90" t="s">
        <v>740</v>
      </c>
    </row>
    <row r="187" s="21" customFormat="1" ht="15" customHeight="1" spans="1:32">
      <c r="A187" s="58">
        <v>184</v>
      </c>
      <c r="B187" s="59" t="s">
        <v>832</v>
      </c>
      <c r="C187" s="59" t="s">
        <v>833</v>
      </c>
      <c r="D187" s="59" t="s">
        <v>487</v>
      </c>
      <c r="E187" s="96" t="s">
        <v>834</v>
      </c>
      <c r="F187" s="59" t="s">
        <v>835</v>
      </c>
      <c r="G187" s="97">
        <v>4</v>
      </c>
      <c r="H187" s="81" t="s">
        <v>94</v>
      </c>
      <c r="I187" s="81" t="s">
        <v>38</v>
      </c>
      <c r="J187" s="81" t="s">
        <v>39</v>
      </c>
      <c r="K187" s="81" t="s">
        <v>738</v>
      </c>
      <c r="L187" s="82" t="s">
        <v>77</v>
      </c>
      <c r="M187" s="82" t="s">
        <v>42</v>
      </c>
      <c r="N187" s="64" t="s">
        <v>739</v>
      </c>
      <c r="O187" s="47" t="s">
        <v>44</v>
      </c>
      <c r="P187" s="84">
        <v>45392</v>
      </c>
      <c r="Q187" s="131" t="s">
        <v>128</v>
      </c>
      <c r="R187" s="85" t="s">
        <v>46</v>
      </c>
      <c r="S187" s="99" t="s">
        <v>47</v>
      </c>
      <c r="T187" s="87">
        <v>45361</v>
      </c>
      <c r="U187" s="87">
        <v>45378</v>
      </c>
      <c r="V187" s="87">
        <v>45388</v>
      </c>
      <c r="W187" s="87">
        <f t="shared" si="42"/>
        <v>45395</v>
      </c>
      <c r="X187" s="60"/>
      <c r="Y187" s="70" t="s">
        <v>125</v>
      </c>
      <c r="Z187" s="161" t="s">
        <v>835</v>
      </c>
      <c r="AA187" s="71">
        <v>181</v>
      </c>
      <c r="AB187" s="54" t="s">
        <v>253</v>
      </c>
      <c r="AC187" s="73">
        <v>4</v>
      </c>
      <c r="AD187" s="73">
        <v>0</v>
      </c>
      <c r="AE187" s="101" t="s">
        <v>254</v>
      </c>
      <c r="AF187" s="90" t="s">
        <v>740</v>
      </c>
    </row>
    <row r="188" s="21" customFormat="1" ht="15" customHeight="1" spans="1:32">
      <c r="A188" s="58">
        <v>185</v>
      </c>
      <c r="B188" s="59" t="s">
        <v>836</v>
      </c>
      <c r="C188" s="60"/>
      <c r="D188" s="59" t="s">
        <v>487</v>
      </c>
      <c r="E188" s="96" t="s">
        <v>837</v>
      </c>
      <c r="F188" s="59" t="s">
        <v>838</v>
      </c>
      <c r="G188" s="97">
        <v>3</v>
      </c>
      <c r="H188" s="81" t="s">
        <v>94</v>
      </c>
      <c r="I188" s="81" t="s">
        <v>38</v>
      </c>
      <c r="J188" s="81" t="s">
        <v>39</v>
      </c>
      <c r="K188" s="81" t="s">
        <v>738</v>
      </c>
      <c r="L188" s="82" t="s">
        <v>77</v>
      </c>
      <c r="M188" s="82" t="s">
        <v>42</v>
      </c>
      <c r="N188" s="64" t="s">
        <v>739</v>
      </c>
      <c r="O188" s="47" t="s">
        <v>44</v>
      </c>
      <c r="P188" s="84">
        <v>45392</v>
      </c>
      <c r="Q188" s="131" t="s">
        <v>128</v>
      </c>
      <c r="R188" s="85" t="s">
        <v>46</v>
      </c>
      <c r="S188" s="99" t="s">
        <v>47</v>
      </c>
      <c r="T188" s="87">
        <v>45361</v>
      </c>
      <c r="U188" s="87">
        <v>45378</v>
      </c>
      <c r="V188" s="87">
        <v>45388</v>
      </c>
      <c r="W188" s="87">
        <f t="shared" si="42"/>
        <v>45395</v>
      </c>
      <c r="X188" s="60"/>
      <c r="Y188" s="70" t="s">
        <v>125</v>
      </c>
      <c r="Z188" s="161" t="s">
        <v>838</v>
      </c>
      <c r="AA188" s="71">
        <v>184</v>
      </c>
      <c r="AB188" s="54" t="s">
        <v>253</v>
      </c>
      <c r="AC188" s="73">
        <v>3</v>
      </c>
      <c r="AD188" s="73">
        <v>0</v>
      </c>
      <c r="AE188" s="101" t="s">
        <v>254</v>
      </c>
      <c r="AF188" s="90" t="s">
        <v>740</v>
      </c>
    </row>
    <row r="189" s="21" customFormat="1" ht="15" customHeight="1" spans="1:32">
      <c r="A189" s="58">
        <v>186</v>
      </c>
      <c r="B189" s="59" t="s">
        <v>839</v>
      </c>
      <c r="C189" s="60"/>
      <c r="D189" s="59" t="s">
        <v>487</v>
      </c>
      <c r="E189" s="96" t="s">
        <v>840</v>
      </c>
      <c r="F189" s="59" t="s">
        <v>841</v>
      </c>
      <c r="G189" s="97">
        <v>2</v>
      </c>
      <c r="H189" s="81" t="s">
        <v>94</v>
      </c>
      <c r="I189" s="81" t="s">
        <v>38</v>
      </c>
      <c r="J189" s="81" t="s">
        <v>39</v>
      </c>
      <c r="K189" s="81" t="s">
        <v>738</v>
      </c>
      <c r="L189" s="82" t="s">
        <v>77</v>
      </c>
      <c r="M189" s="82" t="s">
        <v>42</v>
      </c>
      <c r="N189" s="64" t="s">
        <v>739</v>
      </c>
      <c r="O189" s="47" t="s">
        <v>44</v>
      </c>
      <c r="P189" s="84">
        <v>45392</v>
      </c>
      <c r="Q189" s="131" t="s">
        <v>128</v>
      </c>
      <c r="R189" s="85" t="s">
        <v>46</v>
      </c>
      <c r="S189" s="99" t="s">
        <v>47</v>
      </c>
      <c r="T189" s="87">
        <v>45361</v>
      </c>
      <c r="U189" s="87">
        <v>45378</v>
      </c>
      <c r="V189" s="87">
        <v>45388</v>
      </c>
      <c r="W189" s="87">
        <f t="shared" si="42"/>
        <v>45395</v>
      </c>
      <c r="X189" s="60"/>
      <c r="Y189" s="70" t="s">
        <v>125</v>
      </c>
      <c r="Z189" s="161" t="s">
        <v>841</v>
      </c>
      <c r="AA189" s="71">
        <v>182</v>
      </c>
      <c r="AB189" s="54" t="s">
        <v>253</v>
      </c>
      <c r="AC189" s="73">
        <v>2</v>
      </c>
      <c r="AD189" s="73">
        <v>0</v>
      </c>
      <c r="AE189" s="101" t="s">
        <v>254</v>
      </c>
      <c r="AF189" s="90" t="s">
        <v>740</v>
      </c>
    </row>
    <row r="190" s="21" customFormat="1" ht="15" customHeight="1" spans="1:32">
      <c r="A190" s="58">
        <v>187</v>
      </c>
      <c r="B190" s="59" t="s">
        <v>842</v>
      </c>
      <c r="C190" s="60"/>
      <c r="D190" s="59" t="s">
        <v>487</v>
      </c>
      <c r="E190" s="96" t="s">
        <v>843</v>
      </c>
      <c r="F190" s="59" t="s">
        <v>844</v>
      </c>
      <c r="G190" s="97">
        <v>2</v>
      </c>
      <c r="H190" s="81" t="s">
        <v>94</v>
      </c>
      <c r="I190" s="81" t="s">
        <v>38</v>
      </c>
      <c r="J190" s="81" t="s">
        <v>39</v>
      </c>
      <c r="K190" s="81" t="s">
        <v>738</v>
      </c>
      <c r="L190" s="82" t="s">
        <v>77</v>
      </c>
      <c r="M190" s="82" t="s">
        <v>42</v>
      </c>
      <c r="N190" s="64" t="s">
        <v>739</v>
      </c>
      <c r="O190" s="47" t="s">
        <v>44</v>
      </c>
      <c r="P190" s="84">
        <v>45392</v>
      </c>
      <c r="Q190" s="131" t="s">
        <v>128</v>
      </c>
      <c r="R190" s="85" t="s">
        <v>46</v>
      </c>
      <c r="S190" s="99" t="s">
        <v>47</v>
      </c>
      <c r="T190" s="87">
        <v>45361</v>
      </c>
      <c r="U190" s="87">
        <v>45378</v>
      </c>
      <c r="V190" s="87">
        <v>45388</v>
      </c>
      <c r="W190" s="87">
        <f t="shared" si="42"/>
        <v>45395</v>
      </c>
      <c r="X190" s="60"/>
      <c r="Y190" s="70" t="s">
        <v>125</v>
      </c>
      <c r="Z190" s="161" t="s">
        <v>844</v>
      </c>
      <c r="AA190" s="71">
        <v>183</v>
      </c>
      <c r="AB190" s="54" t="s">
        <v>253</v>
      </c>
      <c r="AC190" s="73">
        <v>2</v>
      </c>
      <c r="AD190" s="73">
        <v>0</v>
      </c>
      <c r="AE190" s="101" t="s">
        <v>254</v>
      </c>
      <c r="AF190" s="90" t="s">
        <v>740</v>
      </c>
    </row>
    <row r="191" s="21" customFormat="1" ht="21" customHeight="1" spans="1:32">
      <c r="A191" s="58">
        <v>188</v>
      </c>
      <c r="B191" s="59" t="s">
        <v>845</v>
      </c>
      <c r="C191" s="60"/>
      <c r="D191" s="59" t="s">
        <v>34</v>
      </c>
      <c r="E191" s="96" t="s">
        <v>846</v>
      </c>
      <c r="F191" s="59" t="s">
        <v>847</v>
      </c>
      <c r="G191" s="97">
        <v>2</v>
      </c>
      <c r="H191" s="81" t="s">
        <v>94</v>
      </c>
      <c r="I191" s="81" t="s">
        <v>38</v>
      </c>
      <c r="J191" s="81" t="s">
        <v>39</v>
      </c>
      <c r="K191" s="81" t="s">
        <v>848</v>
      </c>
      <c r="L191" s="82" t="s">
        <v>41</v>
      </c>
      <c r="M191" s="82" t="s">
        <v>42</v>
      </c>
      <c r="N191" s="64" t="s">
        <v>849</v>
      </c>
      <c r="O191" s="47" t="s">
        <v>44</v>
      </c>
      <c r="P191" s="84">
        <v>45361</v>
      </c>
      <c r="Q191" s="131" t="s">
        <v>128</v>
      </c>
      <c r="R191" s="85" t="s">
        <v>46</v>
      </c>
      <c r="S191" s="99" t="s">
        <v>47</v>
      </c>
      <c r="T191" s="87">
        <v>45361</v>
      </c>
      <c r="U191" s="87">
        <v>45378</v>
      </c>
      <c r="V191" s="87">
        <v>45388</v>
      </c>
      <c r="W191" s="87">
        <f t="shared" si="42"/>
        <v>45395</v>
      </c>
      <c r="X191" s="60"/>
      <c r="Y191" s="70" t="s">
        <v>125</v>
      </c>
      <c r="Z191" s="71" t="s">
        <v>847</v>
      </c>
      <c r="AA191" s="71">
        <v>92</v>
      </c>
      <c r="AB191" s="54" t="s">
        <v>253</v>
      </c>
      <c r="AC191" s="73">
        <v>2</v>
      </c>
      <c r="AD191" s="73">
        <v>0</v>
      </c>
      <c r="AE191" s="101" t="s">
        <v>254</v>
      </c>
      <c r="AF191" s="90" t="s">
        <v>850</v>
      </c>
    </row>
    <row r="192" s="21" customFormat="1" ht="21" customHeight="1" spans="1:32">
      <c r="A192" s="58">
        <v>189</v>
      </c>
      <c r="B192" s="59" t="s">
        <v>851</v>
      </c>
      <c r="C192" s="60"/>
      <c r="D192" s="59" t="s">
        <v>34</v>
      </c>
      <c r="E192" s="96" t="s">
        <v>852</v>
      </c>
      <c r="F192" s="59" t="s">
        <v>853</v>
      </c>
      <c r="G192" s="97">
        <v>2</v>
      </c>
      <c r="H192" s="81" t="s">
        <v>94</v>
      </c>
      <c r="I192" s="81" t="s">
        <v>38</v>
      </c>
      <c r="J192" s="81" t="s">
        <v>39</v>
      </c>
      <c r="K192" s="81" t="s">
        <v>854</v>
      </c>
      <c r="L192" s="82" t="s">
        <v>56</v>
      </c>
      <c r="M192" s="82" t="s">
        <v>42</v>
      </c>
      <c r="N192" s="64" t="s">
        <v>855</v>
      </c>
      <c r="O192" s="47" t="s">
        <v>44</v>
      </c>
      <c r="P192" s="84">
        <v>45361</v>
      </c>
      <c r="Q192" s="131" t="s">
        <v>128</v>
      </c>
      <c r="R192" s="85" t="s">
        <v>46</v>
      </c>
      <c r="S192" s="99" t="s">
        <v>47</v>
      </c>
      <c r="T192" s="87">
        <v>45361</v>
      </c>
      <c r="U192" s="87">
        <v>45378</v>
      </c>
      <c r="V192" s="87">
        <v>45388</v>
      </c>
      <c r="W192" s="87">
        <f t="shared" si="42"/>
        <v>45395</v>
      </c>
      <c r="X192" s="60"/>
      <c r="Y192" s="70" t="s">
        <v>125</v>
      </c>
      <c r="Z192" s="71" t="s">
        <v>853</v>
      </c>
      <c r="AA192" s="71">
        <v>91</v>
      </c>
      <c r="AB192" s="54" t="s">
        <v>253</v>
      </c>
      <c r="AC192" s="73">
        <v>2</v>
      </c>
      <c r="AD192" s="73">
        <v>0</v>
      </c>
      <c r="AE192" s="101" t="s">
        <v>254</v>
      </c>
      <c r="AF192" s="90" t="s">
        <v>856</v>
      </c>
    </row>
    <row r="193" s="21" customFormat="1" ht="21" customHeight="1" spans="1:32">
      <c r="A193" s="58">
        <v>190</v>
      </c>
      <c r="B193" s="59" t="s">
        <v>857</v>
      </c>
      <c r="C193" s="60"/>
      <c r="D193" s="59" t="s">
        <v>34</v>
      </c>
      <c r="E193" s="96" t="s">
        <v>858</v>
      </c>
      <c r="F193" s="59" t="s">
        <v>859</v>
      </c>
      <c r="G193" s="97">
        <v>2</v>
      </c>
      <c r="H193" s="81" t="s">
        <v>94</v>
      </c>
      <c r="I193" s="81" t="s">
        <v>38</v>
      </c>
      <c r="J193" s="81" t="s">
        <v>39</v>
      </c>
      <c r="K193" s="81" t="s">
        <v>854</v>
      </c>
      <c r="L193" s="82" t="s">
        <v>56</v>
      </c>
      <c r="M193" s="82" t="s">
        <v>42</v>
      </c>
      <c r="N193" s="64" t="s">
        <v>855</v>
      </c>
      <c r="O193" s="47" t="s">
        <v>44</v>
      </c>
      <c r="P193" s="84">
        <v>45361</v>
      </c>
      <c r="Q193" s="131" t="s">
        <v>128</v>
      </c>
      <c r="R193" s="85" t="s">
        <v>46</v>
      </c>
      <c r="S193" s="99" t="s">
        <v>47</v>
      </c>
      <c r="T193" s="87">
        <v>45361</v>
      </c>
      <c r="U193" s="87">
        <v>45378</v>
      </c>
      <c r="V193" s="87">
        <v>45388</v>
      </c>
      <c r="W193" s="87">
        <f t="shared" si="42"/>
        <v>45395</v>
      </c>
      <c r="X193" s="60"/>
      <c r="Y193" s="70" t="s">
        <v>125</v>
      </c>
      <c r="Z193" s="71" t="s">
        <v>853</v>
      </c>
      <c r="AA193" s="71">
        <v>93</v>
      </c>
      <c r="AB193" s="54" t="s">
        <v>253</v>
      </c>
      <c r="AC193" s="73">
        <v>2</v>
      </c>
      <c r="AD193" s="73">
        <v>0</v>
      </c>
      <c r="AE193" s="101" t="s">
        <v>254</v>
      </c>
      <c r="AF193" s="90" t="s">
        <v>856</v>
      </c>
    </row>
    <row r="194" s="21" customFormat="1" ht="21" customHeight="1" spans="1:32">
      <c r="A194" s="58">
        <v>191</v>
      </c>
      <c r="B194" s="59" t="s">
        <v>860</v>
      </c>
      <c r="C194" s="60"/>
      <c r="D194" s="59" t="s">
        <v>34</v>
      </c>
      <c r="E194" s="96" t="s">
        <v>861</v>
      </c>
      <c r="F194" s="59" t="s">
        <v>862</v>
      </c>
      <c r="G194" s="97">
        <v>2</v>
      </c>
      <c r="H194" s="81" t="s">
        <v>94</v>
      </c>
      <c r="I194" s="81" t="s">
        <v>38</v>
      </c>
      <c r="J194" s="81" t="s">
        <v>39</v>
      </c>
      <c r="K194" s="81" t="s">
        <v>854</v>
      </c>
      <c r="L194" s="82" t="s">
        <v>56</v>
      </c>
      <c r="M194" s="82" t="s">
        <v>42</v>
      </c>
      <c r="N194" s="64" t="s">
        <v>855</v>
      </c>
      <c r="O194" s="47" t="s">
        <v>44</v>
      </c>
      <c r="P194" s="84">
        <v>45361</v>
      </c>
      <c r="Q194" s="131" t="s">
        <v>128</v>
      </c>
      <c r="R194" s="85" t="s">
        <v>46</v>
      </c>
      <c r="S194" s="99" t="s">
        <v>47</v>
      </c>
      <c r="T194" s="87">
        <v>45361</v>
      </c>
      <c r="U194" s="87">
        <v>45378</v>
      </c>
      <c r="V194" s="87">
        <v>45388</v>
      </c>
      <c r="W194" s="87">
        <f t="shared" si="42"/>
        <v>45395</v>
      </c>
      <c r="X194" s="60"/>
      <c r="Y194" s="70" t="s">
        <v>125</v>
      </c>
      <c r="Z194" s="71" t="s">
        <v>862</v>
      </c>
      <c r="AA194" s="71">
        <v>94</v>
      </c>
      <c r="AB194" s="54" t="s">
        <v>253</v>
      </c>
      <c r="AC194" s="73">
        <v>2</v>
      </c>
      <c r="AD194" s="73">
        <v>0</v>
      </c>
      <c r="AE194" s="101" t="s">
        <v>254</v>
      </c>
      <c r="AF194" s="90" t="s">
        <v>856</v>
      </c>
    </row>
    <row r="195" s="21" customFormat="1" ht="21" customHeight="1" spans="1:32">
      <c r="A195" s="58">
        <v>192</v>
      </c>
      <c r="B195" s="59" t="s">
        <v>863</v>
      </c>
      <c r="C195" s="60"/>
      <c r="D195" s="59" t="s">
        <v>34</v>
      </c>
      <c r="E195" s="96" t="s">
        <v>864</v>
      </c>
      <c r="F195" s="59" t="s">
        <v>865</v>
      </c>
      <c r="G195" s="97">
        <v>2</v>
      </c>
      <c r="H195" s="81" t="s">
        <v>94</v>
      </c>
      <c r="I195" s="81" t="s">
        <v>38</v>
      </c>
      <c r="J195" s="81" t="s">
        <v>39</v>
      </c>
      <c r="K195" s="81" t="s">
        <v>854</v>
      </c>
      <c r="L195" s="82" t="s">
        <v>56</v>
      </c>
      <c r="M195" s="82" t="s">
        <v>42</v>
      </c>
      <c r="N195" s="64" t="s">
        <v>855</v>
      </c>
      <c r="O195" s="47" t="s">
        <v>44</v>
      </c>
      <c r="P195" s="84">
        <v>45361</v>
      </c>
      <c r="Q195" s="131" t="s">
        <v>128</v>
      </c>
      <c r="R195" s="85" t="s">
        <v>46</v>
      </c>
      <c r="S195" s="99" t="s">
        <v>47</v>
      </c>
      <c r="T195" s="87">
        <v>45361</v>
      </c>
      <c r="U195" s="87">
        <v>45378</v>
      </c>
      <c r="V195" s="87">
        <v>45388</v>
      </c>
      <c r="W195" s="87">
        <f t="shared" ref="W195:W222" si="50">V195+7</f>
        <v>45395</v>
      </c>
      <c r="X195" s="60"/>
      <c r="Y195" s="70" t="s">
        <v>125</v>
      </c>
      <c r="Z195" s="71" t="s">
        <v>865</v>
      </c>
      <c r="AA195" s="71">
        <v>95</v>
      </c>
      <c r="AB195" s="54" t="s">
        <v>253</v>
      </c>
      <c r="AC195" s="73">
        <v>2</v>
      </c>
      <c r="AD195" s="73">
        <v>0</v>
      </c>
      <c r="AE195" s="101" t="s">
        <v>254</v>
      </c>
      <c r="AF195" s="90" t="s">
        <v>856</v>
      </c>
    </row>
    <row r="196" s="21" customFormat="1" ht="21" customHeight="1" spans="1:32">
      <c r="A196" s="58">
        <v>193</v>
      </c>
      <c r="B196" s="59" t="s">
        <v>866</v>
      </c>
      <c r="C196" s="60"/>
      <c r="D196" s="59" t="s">
        <v>34</v>
      </c>
      <c r="E196" s="96" t="s">
        <v>867</v>
      </c>
      <c r="F196" s="59" t="s">
        <v>868</v>
      </c>
      <c r="G196" s="97">
        <v>2</v>
      </c>
      <c r="H196" s="81" t="s">
        <v>94</v>
      </c>
      <c r="I196" s="81" t="s">
        <v>38</v>
      </c>
      <c r="J196" s="81" t="s">
        <v>39</v>
      </c>
      <c r="K196" s="81" t="s">
        <v>854</v>
      </c>
      <c r="L196" s="82" t="s">
        <v>56</v>
      </c>
      <c r="M196" s="82" t="s">
        <v>42</v>
      </c>
      <c r="N196" s="64" t="s">
        <v>855</v>
      </c>
      <c r="O196" s="47" t="s">
        <v>44</v>
      </c>
      <c r="P196" s="84">
        <v>45361</v>
      </c>
      <c r="Q196" s="131" t="s">
        <v>128</v>
      </c>
      <c r="R196" s="85" t="s">
        <v>46</v>
      </c>
      <c r="S196" s="99" t="s">
        <v>47</v>
      </c>
      <c r="T196" s="87">
        <v>45361</v>
      </c>
      <c r="U196" s="87">
        <v>45378</v>
      </c>
      <c r="V196" s="87">
        <v>45388</v>
      </c>
      <c r="W196" s="87">
        <f t="shared" si="50"/>
        <v>45395</v>
      </c>
      <c r="X196" s="60"/>
      <c r="Y196" s="70" t="s">
        <v>125</v>
      </c>
      <c r="Z196" s="71" t="s">
        <v>868</v>
      </c>
      <c r="AA196" s="71">
        <v>96</v>
      </c>
      <c r="AB196" s="54" t="s">
        <v>253</v>
      </c>
      <c r="AC196" s="73">
        <v>2</v>
      </c>
      <c r="AD196" s="73">
        <v>0</v>
      </c>
      <c r="AE196" s="101" t="s">
        <v>254</v>
      </c>
      <c r="AF196" s="90" t="s">
        <v>856</v>
      </c>
    </row>
    <row r="197" s="21" customFormat="1" ht="21" customHeight="1" spans="1:32">
      <c r="A197" s="58">
        <v>194</v>
      </c>
      <c r="B197" s="59" t="s">
        <v>869</v>
      </c>
      <c r="C197" s="60"/>
      <c r="D197" s="59" t="s">
        <v>34</v>
      </c>
      <c r="E197" s="59" t="s">
        <v>870</v>
      </c>
      <c r="F197" s="59" t="s">
        <v>871</v>
      </c>
      <c r="G197" s="97">
        <v>2</v>
      </c>
      <c r="H197" s="81" t="s">
        <v>94</v>
      </c>
      <c r="I197" s="81" t="s">
        <v>38</v>
      </c>
      <c r="J197" s="81" t="s">
        <v>39</v>
      </c>
      <c r="K197" s="81" t="s">
        <v>854</v>
      </c>
      <c r="L197" s="82" t="s">
        <v>56</v>
      </c>
      <c r="M197" s="82" t="s">
        <v>42</v>
      </c>
      <c r="N197" s="64" t="s">
        <v>855</v>
      </c>
      <c r="O197" s="47" t="s">
        <v>44</v>
      </c>
      <c r="P197" s="84">
        <v>45361</v>
      </c>
      <c r="Q197" s="131" t="s">
        <v>128</v>
      </c>
      <c r="R197" s="85" t="s">
        <v>46</v>
      </c>
      <c r="S197" s="99" t="s">
        <v>47</v>
      </c>
      <c r="T197" s="87">
        <v>45361</v>
      </c>
      <c r="U197" s="87">
        <v>45378</v>
      </c>
      <c r="V197" s="87">
        <v>45388</v>
      </c>
      <c r="W197" s="87">
        <f t="shared" si="50"/>
        <v>45395</v>
      </c>
      <c r="X197" s="60"/>
      <c r="Y197" s="70" t="s">
        <v>125</v>
      </c>
      <c r="Z197" s="71" t="s">
        <v>871</v>
      </c>
      <c r="AA197" s="71">
        <v>97</v>
      </c>
      <c r="AB197" s="54" t="s">
        <v>253</v>
      </c>
      <c r="AC197" s="73">
        <v>2</v>
      </c>
      <c r="AD197" s="73">
        <v>0</v>
      </c>
      <c r="AE197" s="101" t="s">
        <v>254</v>
      </c>
      <c r="AF197" s="90" t="s">
        <v>856</v>
      </c>
    </row>
    <row r="198" s="21" customFormat="1" ht="21" customHeight="1" spans="1:32">
      <c r="A198" s="58">
        <v>195</v>
      </c>
      <c r="B198" s="59" t="s">
        <v>872</v>
      </c>
      <c r="C198" s="60"/>
      <c r="D198" s="59" t="s">
        <v>34</v>
      </c>
      <c r="E198" s="59" t="s">
        <v>873</v>
      </c>
      <c r="F198" s="59" t="s">
        <v>874</v>
      </c>
      <c r="G198" s="97">
        <v>2</v>
      </c>
      <c r="H198" s="81" t="s">
        <v>94</v>
      </c>
      <c r="I198" s="81" t="s">
        <v>38</v>
      </c>
      <c r="J198" s="81" t="s">
        <v>39</v>
      </c>
      <c r="K198" s="81" t="s">
        <v>854</v>
      </c>
      <c r="L198" s="82" t="s">
        <v>56</v>
      </c>
      <c r="M198" s="82" t="s">
        <v>42</v>
      </c>
      <c r="N198" s="64" t="s">
        <v>855</v>
      </c>
      <c r="O198" s="47" t="s">
        <v>44</v>
      </c>
      <c r="P198" s="84">
        <v>45361</v>
      </c>
      <c r="Q198" s="131" t="s">
        <v>128</v>
      </c>
      <c r="R198" s="85" t="s">
        <v>46</v>
      </c>
      <c r="S198" s="99" t="s">
        <v>47</v>
      </c>
      <c r="T198" s="87">
        <v>45361</v>
      </c>
      <c r="U198" s="87">
        <v>45378</v>
      </c>
      <c r="V198" s="87">
        <v>45388</v>
      </c>
      <c r="W198" s="87">
        <f t="shared" si="50"/>
        <v>45395</v>
      </c>
      <c r="X198" s="60"/>
      <c r="Y198" s="70" t="s">
        <v>125</v>
      </c>
      <c r="Z198" s="71" t="s">
        <v>874</v>
      </c>
      <c r="AA198" s="71">
        <v>98</v>
      </c>
      <c r="AB198" s="54" t="s">
        <v>253</v>
      </c>
      <c r="AC198" s="73">
        <v>2</v>
      </c>
      <c r="AD198" s="73">
        <v>0</v>
      </c>
      <c r="AE198" s="101" t="s">
        <v>254</v>
      </c>
      <c r="AF198" s="90" t="s">
        <v>856</v>
      </c>
    </row>
    <row r="199" s="21" customFormat="1" ht="21" customHeight="1" spans="1:32">
      <c r="A199" s="58">
        <v>196</v>
      </c>
      <c r="B199" s="59" t="s">
        <v>875</v>
      </c>
      <c r="C199" s="60"/>
      <c r="D199" s="59" t="s">
        <v>34</v>
      </c>
      <c r="E199" s="96" t="s">
        <v>876</v>
      </c>
      <c r="F199" s="59" t="s">
        <v>877</v>
      </c>
      <c r="G199" s="97">
        <v>2</v>
      </c>
      <c r="H199" s="81" t="s">
        <v>94</v>
      </c>
      <c r="I199" s="81" t="s">
        <v>38</v>
      </c>
      <c r="J199" s="81" t="s">
        <v>39</v>
      </c>
      <c r="K199" s="81" t="s">
        <v>854</v>
      </c>
      <c r="L199" s="82" t="s">
        <v>56</v>
      </c>
      <c r="M199" s="82" t="s">
        <v>42</v>
      </c>
      <c r="N199" s="64" t="s">
        <v>855</v>
      </c>
      <c r="O199" s="47" t="s">
        <v>44</v>
      </c>
      <c r="P199" s="84">
        <v>45361</v>
      </c>
      <c r="Q199" s="131" t="s">
        <v>128</v>
      </c>
      <c r="R199" s="85" t="s">
        <v>46</v>
      </c>
      <c r="S199" s="99" t="s">
        <v>47</v>
      </c>
      <c r="T199" s="87">
        <v>45361</v>
      </c>
      <c r="U199" s="87">
        <v>45378</v>
      </c>
      <c r="V199" s="87">
        <v>45388</v>
      </c>
      <c r="W199" s="87">
        <f t="shared" si="50"/>
        <v>45395</v>
      </c>
      <c r="X199" s="60"/>
      <c r="Y199" s="70" t="s">
        <v>125</v>
      </c>
      <c r="Z199" s="71" t="s">
        <v>877</v>
      </c>
      <c r="AA199" s="71">
        <v>99</v>
      </c>
      <c r="AB199" s="54" t="s">
        <v>253</v>
      </c>
      <c r="AC199" s="73">
        <v>2</v>
      </c>
      <c r="AD199" s="73">
        <v>0</v>
      </c>
      <c r="AE199" s="101" t="s">
        <v>254</v>
      </c>
      <c r="AF199" s="90" t="s">
        <v>856</v>
      </c>
    </row>
    <row r="200" s="21" customFormat="1" ht="21" customHeight="1" spans="1:32">
      <c r="A200" s="58">
        <v>197</v>
      </c>
      <c r="B200" s="59" t="s">
        <v>878</v>
      </c>
      <c r="C200" s="60"/>
      <c r="D200" s="59" t="s">
        <v>188</v>
      </c>
      <c r="E200" s="96" t="s">
        <v>879</v>
      </c>
      <c r="F200" s="59" t="s">
        <v>880</v>
      </c>
      <c r="G200" s="97">
        <v>2</v>
      </c>
      <c r="H200" s="81" t="s">
        <v>94</v>
      </c>
      <c r="I200" s="81" t="s">
        <v>38</v>
      </c>
      <c r="J200" s="81" t="s">
        <v>39</v>
      </c>
      <c r="K200" s="81" t="s">
        <v>854</v>
      </c>
      <c r="L200" s="82" t="s">
        <v>56</v>
      </c>
      <c r="M200" s="82" t="s">
        <v>42</v>
      </c>
      <c r="N200" s="64" t="s">
        <v>855</v>
      </c>
      <c r="O200" s="47" t="s">
        <v>44</v>
      </c>
      <c r="P200" s="84">
        <v>45361</v>
      </c>
      <c r="Q200" s="131" t="s">
        <v>128</v>
      </c>
      <c r="R200" s="85" t="s">
        <v>46</v>
      </c>
      <c r="S200" s="99" t="s">
        <v>47</v>
      </c>
      <c r="T200" s="87">
        <v>45361</v>
      </c>
      <c r="U200" s="87">
        <v>45378</v>
      </c>
      <c r="V200" s="87">
        <v>45388</v>
      </c>
      <c r="W200" s="87">
        <f t="shared" si="50"/>
        <v>45395</v>
      </c>
      <c r="X200" s="60"/>
      <c r="Y200" s="70" t="s">
        <v>125</v>
      </c>
      <c r="Z200" s="71" t="s">
        <v>880</v>
      </c>
      <c r="AA200" s="71">
        <v>263</v>
      </c>
      <c r="AB200" s="54" t="s">
        <v>253</v>
      </c>
      <c r="AC200" s="73">
        <v>2</v>
      </c>
      <c r="AD200" s="73">
        <v>0</v>
      </c>
      <c r="AE200" s="101" t="s">
        <v>254</v>
      </c>
      <c r="AF200" s="90" t="s">
        <v>856</v>
      </c>
    </row>
    <row r="201" s="21" customFormat="1" ht="21" customHeight="1" spans="1:32">
      <c r="A201" s="58">
        <v>198</v>
      </c>
      <c r="B201" s="59" t="s">
        <v>881</v>
      </c>
      <c r="C201" s="60"/>
      <c r="D201" s="59" t="s">
        <v>188</v>
      </c>
      <c r="E201" s="96" t="s">
        <v>882</v>
      </c>
      <c r="F201" s="59" t="s">
        <v>883</v>
      </c>
      <c r="G201" s="97">
        <v>2</v>
      </c>
      <c r="H201" s="81" t="s">
        <v>94</v>
      </c>
      <c r="I201" s="81" t="s">
        <v>38</v>
      </c>
      <c r="J201" s="81" t="s">
        <v>39</v>
      </c>
      <c r="K201" s="81" t="s">
        <v>854</v>
      </c>
      <c r="L201" s="82" t="s">
        <v>56</v>
      </c>
      <c r="M201" s="82" t="s">
        <v>42</v>
      </c>
      <c r="N201" s="64" t="s">
        <v>855</v>
      </c>
      <c r="O201" s="47" t="s">
        <v>44</v>
      </c>
      <c r="P201" s="84">
        <v>45361</v>
      </c>
      <c r="Q201" s="131" t="s">
        <v>128</v>
      </c>
      <c r="R201" s="85" t="s">
        <v>46</v>
      </c>
      <c r="S201" s="99" t="s">
        <v>47</v>
      </c>
      <c r="T201" s="87">
        <v>45361</v>
      </c>
      <c r="U201" s="87">
        <v>45378</v>
      </c>
      <c r="V201" s="87">
        <v>45388</v>
      </c>
      <c r="W201" s="87">
        <f t="shared" si="50"/>
        <v>45395</v>
      </c>
      <c r="X201" s="60"/>
      <c r="Y201" s="70" t="s">
        <v>125</v>
      </c>
      <c r="Z201" s="71" t="s">
        <v>883</v>
      </c>
      <c r="AA201" s="71">
        <v>264</v>
      </c>
      <c r="AB201" s="54" t="s">
        <v>253</v>
      </c>
      <c r="AC201" s="73">
        <v>2</v>
      </c>
      <c r="AD201" s="73">
        <v>0</v>
      </c>
      <c r="AE201" s="101" t="s">
        <v>254</v>
      </c>
      <c r="AF201" s="90" t="s">
        <v>856</v>
      </c>
    </row>
    <row r="202" s="21" customFormat="1" ht="15" customHeight="1" spans="1:32">
      <c r="A202" s="75">
        <v>199</v>
      </c>
      <c r="B202" s="76" t="s">
        <v>884</v>
      </c>
      <c r="C202" s="60"/>
      <c r="D202" s="76" t="s">
        <v>188</v>
      </c>
      <c r="E202" s="78" t="s">
        <v>885</v>
      </c>
      <c r="F202" s="76" t="s">
        <v>886</v>
      </c>
      <c r="G202" s="79">
        <v>1</v>
      </c>
      <c r="H202" s="80" t="s">
        <v>37</v>
      </c>
      <c r="I202" s="80" t="s">
        <v>38</v>
      </c>
      <c r="J202" s="80" t="s">
        <v>39</v>
      </c>
      <c r="K202" s="80" t="s">
        <v>887</v>
      </c>
      <c r="L202" s="94" t="s">
        <v>56</v>
      </c>
      <c r="M202" s="94" t="s">
        <v>42</v>
      </c>
      <c r="N202" s="114" t="s">
        <v>888</v>
      </c>
      <c r="O202" s="47" t="s">
        <v>44</v>
      </c>
      <c r="P202" s="84">
        <v>45397</v>
      </c>
      <c r="Q202" s="131" t="s">
        <v>196</v>
      </c>
      <c r="R202" s="99" t="s">
        <v>46</v>
      </c>
      <c r="S202" s="99" t="s">
        <v>99</v>
      </c>
      <c r="T202" s="87">
        <v>45402</v>
      </c>
      <c r="U202" s="87">
        <v>45415</v>
      </c>
      <c r="V202" s="87">
        <v>45435</v>
      </c>
      <c r="W202" s="87">
        <f>V202+3</f>
        <v>45438</v>
      </c>
      <c r="X202" s="60"/>
      <c r="Y202" s="314" t="s">
        <v>101</v>
      </c>
      <c r="Z202" s="71" t="s">
        <v>886</v>
      </c>
      <c r="AA202" s="71">
        <v>244</v>
      </c>
      <c r="AB202" s="162" t="s">
        <v>889</v>
      </c>
      <c r="AC202" s="73">
        <f>G202</f>
        <v>1</v>
      </c>
      <c r="AD202" s="73">
        <f>G202-AC202</f>
        <v>0</v>
      </c>
      <c r="AE202" s="101" t="s">
        <v>103</v>
      </c>
      <c r="AF202" s="90"/>
    </row>
    <row r="203" s="21" customFormat="1" ht="15" customHeight="1" spans="1:32">
      <c r="A203" s="75">
        <v>200</v>
      </c>
      <c r="B203" s="76" t="s">
        <v>890</v>
      </c>
      <c r="C203" s="60"/>
      <c r="D203" s="76" t="s">
        <v>188</v>
      </c>
      <c r="E203" s="78" t="s">
        <v>891</v>
      </c>
      <c r="F203" s="76" t="s">
        <v>892</v>
      </c>
      <c r="G203" s="79">
        <v>1</v>
      </c>
      <c r="H203" s="80" t="s">
        <v>94</v>
      </c>
      <c r="I203" s="80" t="s">
        <v>38</v>
      </c>
      <c r="J203" s="80" t="s">
        <v>39</v>
      </c>
      <c r="K203" s="80" t="s">
        <v>887</v>
      </c>
      <c r="L203" s="107" t="s">
        <v>56</v>
      </c>
      <c r="M203" s="107" t="s">
        <v>42</v>
      </c>
      <c r="N203" s="114" t="s">
        <v>888</v>
      </c>
      <c r="O203" s="47" t="s">
        <v>44</v>
      </c>
      <c r="P203" s="84">
        <v>45397</v>
      </c>
      <c r="Q203" s="131" t="s">
        <v>196</v>
      </c>
      <c r="R203" s="99" t="s">
        <v>46</v>
      </c>
      <c r="S203" s="99" t="s">
        <v>99</v>
      </c>
      <c r="T203" s="87">
        <v>45413</v>
      </c>
      <c r="U203" s="87">
        <f>T203+7</f>
        <v>45420</v>
      </c>
      <c r="V203" s="87">
        <v>45429</v>
      </c>
      <c r="W203" s="87">
        <v>45432</v>
      </c>
      <c r="X203" s="60"/>
      <c r="Y203" s="315" t="s">
        <v>150</v>
      </c>
      <c r="Z203" s="71" t="s">
        <v>893</v>
      </c>
      <c r="AA203" s="71">
        <v>245</v>
      </c>
      <c r="AB203" s="163"/>
      <c r="AC203" s="73">
        <f t="shared" ref="AC203:AC212" si="51">G203</f>
        <v>1</v>
      </c>
      <c r="AD203" s="73">
        <f t="shared" ref="AD203:AD212" si="52">G203-AC203</f>
        <v>0</v>
      </c>
      <c r="AE203" s="101" t="s">
        <v>151</v>
      </c>
      <c r="AF203" s="90"/>
    </row>
    <row r="204" s="21" customFormat="1" ht="15" customHeight="1" spans="1:32">
      <c r="A204" s="75">
        <v>201</v>
      </c>
      <c r="B204" s="76" t="s">
        <v>894</v>
      </c>
      <c r="C204" s="60"/>
      <c r="D204" s="76" t="s">
        <v>188</v>
      </c>
      <c r="E204" s="78" t="s">
        <v>895</v>
      </c>
      <c r="F204" s="76" t="s">
        <v>896</v>
      </c>
      <c r="G204" s="79">
        <v>1</v>
      </c>
      <c r="H204" s="80" t="s">
        <v>94</v>
      </c>
      <c r="I204" s="80" t="s">
        <v>38</v>
      </c>
      <c r="J204" s="80" t="s">
        <v>39</v>
      </c>
      <c r="K204" s="80" t="s">
        <v>887</v>
      </c>
      <c r="L204" s="94" t="s">
        <v>56</v>
      </c>
      <c r="M204" s="94" t="s">
        <v>42</v>
      </c>
      <c r="N204" s="114" t="s">
        <v>888</v>
      </c>
      <c r="O204" s="47" t="s">
        <v>44</v>
      </c>
      <c r="P204" s="84">
        <v>45397</v>
      </c>
      <c r="Q204" s="85" t="s">
        <v>196</v>
      </c>
      <c r="R204" s="99" t="s">
        <v>46</v>
      </c>
      <c r="S204" s="99" t="s">
        <v>99</v>
      </c>
      <c r="T204" s="87">
        <v>45413</v>
      </c>
      <c r="U204" s="87">
        <f>T204+7</f>
        <v>45420</v>
      </c>
      <c r="V204" s="87">
        <v>45429</v>
      </c>
      <c r="W204" s="87">
        <v>45432</v>
      </c>
      <c r="X204" s="60"/>
      <c r="Y204" s="315" t="s">
        <v>150</v>
      </c>
      <c r="Z204" s="71" t="s">
        <v>896</v>
      </c>
      <c r="AA204" s="71">
        <v>246</v>
      </c>
      <c r="AB204" s="164"/>
      <c r="AC204" s="73">
        <f t="shared" si="51"/>
        <v>1</v>
      </c>
      <c r="AD204" s="73">
        <f t="shared" si="52"/>
        <v>0</v>
      </c>
      <c r="AE204" s="101" t="s">
        <v>151</v>
      </c>
      <c r="AF204" s="90"/>
    </row>
    <row r="205" s="21" customFormat="1" ht="15" customHeight="1" spans="1:32">
      <c r="A205" s="58">
        <v>202</v>
      </c>
      <c r="B205" s="59" t="s">
        <v>897</v>
      </c>
      <c r="C205" s="60"/>
      <c r="D205" s="59" t="s">
        <v>34</v>
      </c>
      <c r="E205" s="96" t="s">
        <v>898</v>
      </c>
      <c r="F205" s="59" t="s">
        <v>899</v>
      </c>
      <c r="G205" s="97">
        <v>1</v>
      </c>
      <c r="H205" s="81" t="s">
        <v>94</v>
      </c>
      <c r="I205" s="81" t="s">
        <v>38</v>
      </c>
      <c r="J205" s="81" t="s">
        <v>39</v>
      </c>
      <c r="K205" s="81" t="s">
        <v>900</v>
      </c>
      <c r="L205" s="82" t="s">
        <v>77</v>
      </c>
      <c r="M205" s="82" t="s">
        <v>42</v>
      </c>
      <c r="N205" s="64" t="s">
        <v>901</v>
      </c>
      <c r="O205" s="47" t="s">
        <v>44</v>
      </c>
      <c r="P205" s="84">
        <v>45412</v>
      </c>
      <c r="Q205" s="99" t="s">
        <v>45</v>
      </c>
      <c r="R205" s="99" t="s">
        <v>46</v>
      </c>
      <c r="S205" s="127" t="s">
        <v>147</v>
      </c>
      <c r="T205" s="87">
        <v>45394</v>
      </c>
      <c r="U205" s="87">
        <f>T205+7</f>
        <v>45401</v>
      </c>
      <c r="V205" s="87">
        <v>45412</v>
      </c>
      <c r="W205" s="87">
        <f t="shared" si="50"/>
        <v>45419</v>
      </c>
      <c r="X205" s="60"/>
      <c r="Y205" s="315" t="s">
        <v>79</v>
      </c>
      <c r="Z205" s="71" t="s">
        <v>902</v>
      </c>
      <c r="AA205" s="71">
        <v>100</v>
      </c>
      <c r="AB205" s="128" t="s">
        <v>903</v>
      </c>
      <c r="AC205" s="73">
        <f t="shared" si="51"/>
        <v>1</v>
      </c>
      <c r="AD205" s="73">
        <f t="shared" si="52"/>
        <v>0</v>
      </c>
      <c r="AE205" s="101" t="s">
        <v>138</v>
      </c>
      <c r="AF205" s="90" t="s">
        <v>904</v>
      </c>
    </row>
    <row r="206" s="21" customFormat="1" ht="15" customHeight="1" spans="1:32">
      <c r="A206" s="58">
        <v>203</v>
      </c>
      <c r="B206" s="59" t="s">
        <v>905</v>
      </c>
      <c r="C206" s="60"/>
      <c r="D206" s="59" t="s">
        <v>34</v>
      </c>
      <c r="E206" s="96" t="s">
        <v>906</v>
      </c>
      <c r="F206" s="59" t="s">
        <v>907</v>
      </c>
      <c r="G206" s="97">
        <v>2</v>
      </c>
      <c r="H206" s="81" t="s">
        <v>94</v>
      </c>
      <c r="I206" s="81" t="s">
        <v>38</v>
      </c>
      <c r="J206" s="81" t="s">
        <v>39</v>
      </c>
      <c r="K206" s="81" t="s">
        <v>900</v>
      </c>
      <c r="L206" s="82" t="s">
        <v>77</v>
      </c>
      <c r="M206" s="82" t="s">
        <v>42</v>
      </c>
      <c r="N206" s="64" t="s">
        <v>901</v>
      </c>
      <c r="O206" s="47" t="s">
        <v>44</v>
      </c>
      <c r="P206" s="84">
        <v>45412</v>
      </c>
      <c r="Q206" s="99" t="s">
        <v>45</v>
      </c>
      <c r="R206" s="99" t="s">
        <v>46</v>
      </c>
      <c r="S206" s="127" t="s">
        <v>147</v>
      </c>
      <c r="T206" s="87">
        <v>45394</v>
      </c>
      <c r="U206" s="87">
        <f>T206+7</f>
        <v>45401</v>
      </c>
      <c r="V206" s="87">
        <v>45412</v>
      </c>
      <c r="W206" s="87">
        <f t="shared" si="50"/>
        <v>45419</v>
      </c>
      <c r="X206" s="60"/>
      <c r="Y206" s="315" t="s">
        <v>79</v>
      </c>
      <c r="Z206" s="71" t="s">
        <v>907</v>
      </c>
      <c r="AA206" s="71">
        <v>101</v>
      </c>
      <c r="AB206" s="132"/>
      <c r="AC206" s="73">
        <f t="shared" si="51"/>
        <v>2</v>
      </c>
      <c r="AD206" s="73">
        <f t="shared" si="52"/>
        <v>0</v>
      </c>
      <c r="AE206" s="101" t="s">
        <v>138</v>
      </c>
      <c r="AF206" s="90" t="s">
        <v>904</v>
      </c>
    </row>
    <row r="207" s="22" customFormat="1" ht="15" customHeight="1" spans="1:32">
      <c r="A207" s="75">
        <v>204</v>
      </c>
      <c r="B207" s="76" t="s">
        <v>908</v>
      </c>
      <c r="C207" s="77"/>
      <c r="D207" s="76" t="s">
        <v>34</v>
      </c>
      <c r="E207" s="78" t="s">
        <v>909</v>
      </c>
      <c r="F207" s="76" t="s">
        <v>910</v>
      </c>
      <c r="G207" s="79">
        <v>1</v>
      </c>
      <c r="H207" s="80" t="s">
        <v>94</v>
      </c>
      <c r="I207" s="81" t="s">
        <v>38</v>
      </c>
      <c r="J207" s="81" t="s">
        <v>39</v>
      </c>
      <c r="K207" s="80" t="s">
        <v>911</v>
      </c>
      <c r="L207" s="82" t="s">
        <v>214</v>
      </c>
      <c r="M207" s="82" t="s">
        <v>173</v>
      </c>
      <c r="N207" s="83" t="s">
        <v>912</v>
      </c>
      <c r="O207" s="47" t="s">
        <v>44</v>
      </c>
      <c r="P207" s="84">
        <v>45412</v>
      </c>
      <c r="Q207" s="85" t="s">
        <v>45</v>
      </c>
      <c r="R207" s="85" t="s">
        <v>46</v>
      </c>
      <c r="S207" s="95" t="s">
        <v>147</v>
      </c>
      <c r="T207" s="86">
        <v>45457</v>
      </c>
      <c r="U207" s="87">
        <f t="shared" ref="U207:U211" si="53">T207+4</f>
        <v>45461</v>
      </c>
      <c r="V207" s="87">
        <f>U207+14</f>
        <v>45475</v>
      </c>
      <c r="W207" s="87">
        <f t="shared" si="50"/>
        <v>45482</v>
      </c>
      <c r="X207" s="93"/>
      <c r="Y207" s="88" t="s">
        <v>48</v>
      </c>
      <c r="Z207" s="71" t="s">
        <v>910</v>
      </c>
      <c r="AA207" s="71">
        <v>106</v>
      </c>
      <c r="AB207" s="89" t="s">
        <v>49</v>
      </c>
      <c r="AC207" s="73">
        <f t="shared" si="51"/>
        <v>1</v>
      </c>
      <c r="AD207" s="73">
        <f t="shared" si="52"/>
        <v>0</v>
      </c>
      <c r="AE207" s="101" t="s">
        <v>50</v>
      </c>
      <c r="AF207" s="90" t="s">
        <v>913</v>
      </c>
    </row>
    <row r="208" s="22" customFormat="1" ht="15" customHeight="1" spans="1:32">
      <c r="A208" s="75">
        <v>205</v>
      </c>
      <c r="B208" s="76" t="s">
        <v>914</v>
      </c>
      <c r="C208" s="77"/>
      <c r="D208" s="76" t="s">
        <v>188</v>
      </c>
      <c r="E208" s="78" t="s">
        <v>915</v>
      </c>
      <c r="F208" s="76" t="s">
        <v>916</v>
      </c>
      <c r="G208" s="79">
        <v>1</v>
      </c>
      <c r="H208" s="80" t="s">
        <v>94</v>
      </c>
      <c r="I208" s="81" t="s">
        <v>38</v>
      </c>
      <c r="J208" s="81" t="s">
        <v>39</v>
      </c>
      <c r="K208" s="80" t="s">
        <v>911</v>
      </c>
      <c r="L208" s="82" t="s">
        <v>214</v>
      </c>
      <c r="M208" s="82" t="s">
        <v>173</v>
      </c>
      <c r="N208" s="83" t="s">
        <v>912</v>
      </c>
      <c r="O208" s="47" t="s">
        <v>44</v>
      </c>
      <c r="P208" s="84">
        <v>45397</v>
      </c>
      <c r="Q208" s="85" t="s">
        <v>45</v>
      </c>
      <c r="R208" s="85" t="s">
        <v>46</v>
      </c>
      <c r="S208" s="95" t="s">
        <v>147</v>
      </c>
      <c r="T208" s="86">
        <v>45457</v>
      </c>
      <c r="U208" s="87">
        <f t="shared" si="53"/>
        <v>45461</v>
      </c>
      <c r="V208" s="87">
        <f>U208+14</f>
        <v>45475</v>
      </c>
      <c r="W208" s="87">
        <f t="shared" si="50"/>
        <v>45482</v>
      </c>
      <c r="X208" s="93"/>
      <c r="Y208" s="88" t="s">
        <v>48</v>
      </c>
      <c r="Z208" s="71" t="s">
        <v>916</v>
      </c>
      <c r="AA208" s="71">
        <v>268</v>
      </c>
      <c r="AB208" s="89" t="s">
        <v>49</v>
      </c>
      <c r="AC208" s="73">
        <f t="shared" si="51"/>
        <v>1</v>
      </c>
      <c r="AD208" s="73">
        <f t="shared" si="52"/>
        <v>0</v>
      </c>
      <c r="AE208" s="101" t="s">
        <v>50</v>
      </c>
      <c r="AF208" s="90" t="s">
        <v>913</v>
      </c>
    </row>
    <row r="209" s="22" customFormat="1" ht="15" customHeight="1" spans="1:32">
      <c r="A209" s="75">
        <v>206</v>
      </c>
      <c r="B209" s="76" t="s">
        <v>917</v>
      </c>
      <c r="C209" s="77"/>
      <c r="D209" s="76" t="s">
        <v>188</v>
      </c>
      <c r="E209" s="78" t="s">
        <v>915</v>
      </c>
      <c r="F209" s="76" t="s">
        <v>916</v>
      </c>
      <c r="G209" s="79">
        <v>1</v>
      </c>
      <c r="H209" s="80" t="s">
        <v>94</v>
      </c>
      <c r="I209" s="81" t="s">
        <v>38</v>
      </c>
      <c r="J209" s="81" t="s">
        <v>39</v>
      </c>
      <c r="K209" s="80" t="s">
        <v>911</v>
      </c>
      <c r="L209" s="82" t="s">
        <v>214</v>
      </c>
      <c r="M209" s="82" t="s">
        <v>173</v>
      </c>
      <c r="N209" s="83" t="s">
        <v>912</v>
      </c>
      <c r="O209" s="47" t="s">
        <v>44</v>
      </c>
      <c r="P209" s="84">
        <v>45397</v>
      </c>
      <c r="Q209" s="85" t="s">
        <v>45</v>
      </c>
      <c r="R209" s="85" t="s">
        <v>46</v>
      </c>
      <c r="S209" s="95" t="s">
        <v>147</v>
      </c>
      <c r="T209" s="86">
        <v>45457</v>
      </c>
      <c r="U209" s="87">
        <f t="shared" si="53"/>
        <v>45461</v>
      </c>
      <c r="V209" s="87">
        <f>U209+14</f>
        <v>45475</v>
      </c>
      <c r="W209" s="87">
        <f t="shared" si="50"/>
        <v>45482</v>
      </c>
      <c r="X209" s="93"/>
      <c r="Y209" s="88" t="s">
        <v>48</v>
      </c>
      <c r="Z209" s="71" t="s">
        <v>916</v>
      </c>
      <c r="AA209" s="71">
        <v>268</v>
      </c>
      <c r="AB209" s="89" t="s">
        <v>49</v>
      </c>
      <c r="AC209" s="73">
        <f t="shared" si="51"/>
        <v>1</v>
      </c>
      <c r="AD209" s="73">
        <f t="shared" si="52"/>
        <v>0</v>
      </c>
      <c r="AE209" s="101" t="s">
        <v>50</v>
      </c>
      <c r="AF209" s="90" t="s">
        <v>913</v>
      </c>
    </row>
    <row r="210" s="22" customFormat="1" ht="21" customHeight="1" spans="1:32">
      <c r="A210" s="75">
        <v>207</v>
      </c>
      <c r="B210" s="76" t="s">
        <v>918</v>
      </c>
      <c r="C210" s="77"/>
      <c r="D210" s="76" t="s">
        <v>34</v>
      </c>
      <c r="E210" s="76" t="s">
        <v>919</v>
      </c>
      <c r="F210" s="76" t="s">
        <v>920</v>
      </c>
      <c r="G210" s="79">
        <v>1</v>
      </c>
      <c r="H210" s="80" t="s">
        <v>94</v>
      </c>
      <c r="I210" s="81" t="s">
        <v>38</v>
      </c>
      <c r="J210" s="81" t="s">
        <v>39</v>
      </c>
      <c r="K210" s="80" t="s">
        <v>911</v>
      </c>
      <c r="L210" s="82" t="s">
        <v>214</v>
      </c>
      <c r="M210" s="82" t="s">
        <v>173</v>
      </c>
      <c r="N210" s="83" t="s">
        <v>912</v>
      </c>
      <c r="O210" s="47" t="s">
        <v>44</v>
      </c>
      <c r="P210" s="84">
        <v>45366</v>
      </c>
      <c r="Q210" s="85" t="s">
        <v>45</v>
      </c>
      <c r="R210" s="85" t="s">
        <v>46</v>
      </c>
      <c r="S210" s="95" t="s">
        <v>147</v>
      </c>
      <c r="T210" s="86">
        <v>45457</v>
      </c>
      <c r="U210" s="87">
        <f t="shared" si="53"/>
        <v>45461</v>
      </c>
      <c r="V210" s="87">
        <f>U210+14</f>
        <v>45475</v>
      </c>
      <c r="W210" s="87">
        <f t="shared" si="50"/>
        <v>45482</v>
      </c>
      <c r="X210" s="93"/>
      <c r="Y210" s="88" t="s">
        <v>48</v>
      </c>
      <c r="Z210" s="71" t="s">
        <v>920</v>
      </c>
      <c r="AA210" s="71">
        <v>104</v>
      </c>
      <c r="AB210" s="89" t="s">
        <v>49</v>
      </c>
      <c r="AC210" s="73">
        <f t="shared" si="51"/>
        <v>1</v>
      </c>
      <c r="AD210" s="73">
        <f t="shared" si="52"/>
        <v>0</v>
      </c>
      <c r="AE210" s="101" t="s">
        <v>50</v>
      </c>
      <c r="AF210" s="90" t="s">
        <v>913</v>
      </c>
    </row>
    <row r="211" s="22" customFormat="1" ht="16" customHeight="1" spans="1:32">
      <c r="A211" s="75">
        <v>208</v>
      </c>
      <c r="B211" s="76" t="s">
        <v>921</v>
      </c>
      <c r="C211" s="76" t="s">
        <v>922</v>
      </c>
      <c r="D211" s="76" t="s">
        <v>487</v>
      </c>
      <c r="E211" s="78" t="s">
        <v>923</v>
      </c>
      <c r="F211" s="76" t="s">
        <v>920</v>
      </c>
      <c r="G211" s="79">
        <v>2</v>
      </c>
      <c r="H211" s="80" t="s">
        <v>94</v>
      </c>
      <c r="I211" s="81" t="s">
        <v>38</v>
      </c>
      <c r="J211" s="81" t="s">
        <v>39</v>
      </c>
      <c r="K211" s="80" t="s">
        <v>911</v>
      </c>
      <c r="L211" s="82" t="s">
        <v>214</v>
      </c>
      <c r="M211" s="82" t="s">
        <v>173</v>
      </c>
      <c r="N211" s="83" t="s">
        <v>912</v>
      </c>
      <c r="O211" s="47" t="s">
        <v>44</v>
      </c>
      <c r="P211" s="84">
        <v>45397</v>
      </c>
      <c r="Q211" s="85" t="s">
        <v>45</v>
      </c>
      <c r="R211" s="85" t="s">
        <v>46</v>
      </c>
      <c r="S211" s="95" t="s">
        <v>147</v>
      </c>
      <c r="T211" s="86">
        <v>45457</v>
      </c>
      <c r="U211" s="87">
        <f t="shared" si="53"/>
        <v>45461</v>
      </c>
      <c r="V211" s="87">
        <f>U211+14</f>
        <v>45475</v>
      </c>
      <c r="W211" s="87">
        <f t="shared" si="50"/>
        <v>45482</v>
      </c>
      <c r="X211" s="93"/>
      <c r="Y211" s="88" t="s">
        <v>48</v>
      </c>
      <c r="Z211" s="71" t="s">
        <v>920</v>
      </c>
      <c r="AA211" s="71">
        <v>189</v>
      </c>
      <c r="AB211" s="89" t="s">
        <v>49</v>
      </c>
      <c r="AC211" s="73">
        <f t="shared" si="51"/>
        <v>2</v>
      </c>
      <c r="AD211" s="73">
        <f t="shared" si="52"/>
        <v>0</v>
      </c>
      <c r="AE211" s="101" t="s">
        <v>50</v>
      </c>
      <c r="AF211" s="90" t="s">
        <v>913</v>
      </c>
    </row>
    <row r="212" s="21" customFormat="1" ht="21" customHeight="1" spans="1:32">
      <c r="A212" s="58">
        <v>209</v>
      </c>
      <c r="B212" s="59" t="s">
        <v>924</v>
      </c>
      <c r="C212" s="60"/>
      <c r="D212" s="59" t="s">
        <v>34</v>
      </c>
      <c r="E212" s="96" t="s">
        <v>925</v>
      </c>
      <c r="F212" s="59" t="s">
        <v>926</v>
      </c>
      <c r="G212" s="97">
        <v>1</v>
      </c>
      <c r="H212" s="81" t="s">
        <v>94</v>
      </c>
      <c r="I212" s="81" t="s">
        <v>38</v>
      </c>
      <c r="J212" s="81" t="s">
        <v>39</v>
      </c>
      <c r="K212" s="81" t="s">
        <v>927</v>
      </c>
      <c r="L212" s="82" t="s">
        <v>214</v>
      </c>
      <c r="M212" s="82" t="s">
        <v>173</v>
      </c>
      <c r="N212" s="64" t="s">
        <v>928</v>
      </c>
      <c r="O212" s="47" t="s">
        <v>44</v>
      </c>
      <c r="P212" s="84">
        <v>45366</v>
      </c>
      <c r="Q212" s="85" t="s">
        <v>128</v>
      </c>
      <c r="R212" s="85" t="s">
        <v>66</v>
      </c>
      <c r="S212" s="127" t="s">
        <v>67</v>
      </c>
      <c r="T212" s="86">
        <v>45427</v>
      </c>
      <c r="U212" s="87">
        <v>45428</v>
      </c>
      <c r="V212" s="87">
        <v>45434</v>
      </c>
      <c r="W212" s="87">
        <v>45438</v>
      </c>
      <c r="X212" s="147"/>
      <c r="Y212" s="70" t="s">
        <v>929</v>
      </c>
      <c r="Z212" s="71" t="s">
        <v>930</v>
      </c>
      <c r="AA212" s="71">
        <v>134</v>
      </c>
      <c r="AB212" s="89" t="s">
        <v>49</v>
      </c>
      <c r="AC212" s="73">
        <f t="shared" si="51"/>
        <v>1</v>
      </c>
      <c r="AD212" s="73">
        <f t="shared" si="52"/>
        <v>0</v>
      </c>
      <c r="AE212" s="101" t="s">
        <v>931</v>
      </c>
      <c r="AF212" s="90" t="s">
        <v>932</v>
      </c>
    </row>
    <row r="213" s="21" customFormat="1" ht="15" customHeight="1" spans="1:32">
      <c r="A213" s="75">
        <v>210</v>
      </c>
      <c r="B213" s="76" t="s">
        <v>933</v>
      </c>
      <c r="C213" s="76" t="s">
        <v>934</v>
      </c>
      <c r="D213" s="76" t="s">
        <v>487</v>
      </c>
      <c r="E213" s="78" t="s">
        <v>935</v>
      </c>
      <c r="F213" s="106" t="s">
        <v>936</v>
      </c>
      <c r="G213" s="79">
        <v>4</v>
      </c>
      <c r="H213" s="80" t="s">
        <v>94</v>
      </c>
      <c r="I213" s="80" t="s">
        <v>38</v>
      </c>
      <c r="J213" s="80" t="s">
        <v>39</v>
      </c>
      <c r="K213" s="80" t="s">
        <v>937</v>
      </c>
      <c r="L213" s="94" t="s">
        <v>56</v>
      </c>
      <c r="M213" s="94" t="s">
        <v>42</v>
      </c>
      <c r="N213" s="145" t="s">
        <v>938</v>
      </c>
      <c r="O213" s="47" t="s">
        <v>44</v>
      </c>
      <c r="P213" s="84">
        <v>45392</v>
      </c>
      <c r="Q213" s="85" t="s">
        <v>128</v>
      </c>
      <c r="R213" s="99" t="s">
        <v>46</v>
      </c>
      <c r="S213" s="127" t="s">
        <v>147</v>
      </c>
      <c r="T213" s="87">
        <v>45394</v>
      </c>
      <c r="U213" s="87">
        <f>T213+7</f>
        <v>45401</v>
      </c>
      <c r="V213" s="87">
        <v>45412</v>
      </c>
      <c r="W213" s="87">
        <f t="shared" si="50"/>
        <v>45419</v>
      </c>
      <c r="X213" s="60"/>
      <c r="Y213" s="315" t="s">
        <v>79</v>
      </c>
      <c r="Z213" s="71" t="s">
        <v>936</v>
      </c>
      <c r="AA213" s="71">
        <v>186</v>
      </c>
      <c r="AB213" s="89" t="s">
        <v>49</v>
      </c>
      <c r="AC213" s="73">
        <f t="shared" ref="AC213:AC219" si="54">G213</f>
        <v>4</v>
      </c>
      <c r="AD213" s="73">
        <f t="shared" ref="AD213:AD219" si="55">G213-AC213</f>
        <v>0</v>
      </c>
      <c r="AE213" s="101" t="s">
        <v>138</v>
      </c>
      <c r="AF213" s="90" t="s">
        <v>939</v>
      </c>
    </row>
    <row r="214" s="21" customFormat="1" ht="15" customHeight="1" spans="1:32">
      <c r="A214" s="75">
        <v>211</v>
      </c>
      <c r="B214" s="76" t="s">
        <v>940</v>
      </c>
      <c r="C214" s="60"/>
      <c r="D214" s="76" t="s">
        <v>487</v>
      </c>
      <c r="E214" s="78" t="s">
        <v>941</v>
      </c>
      <c r="F214" s="106" t="s">
        <v>942</v>
      </c>
      <c r="G214" s="79">
        <v>1</v>
      </c>
      <c r="H214" s="80" t="s">
        <v>94</v>
      </c>
      <c r="I214" s="80" t="s">
        <v>38</v>
      </c>
      <c r="J214" s="80" t="s">
        <v>39</v>
      </c>
      <c r="K214" s="80" t="s">
        <v>937</v>
      </c>
      <c r="L214" s="107" t="s">
        <v>56</v>
      </c>
      <c r="M214" s="107" t="s">
        <v>42</v>
      </c>
      <c r="N214" s="145" t="s">
        <v>938</v>
      </c>
      <c r="O214" s="47" t="s">
        <v>44</v>
      </c>
      <c r="P214" s="84">
        <v>45392</v>
      </c>
      <c r="Q214" s="131" t="s">
        <v>128</v>
      </c>
      <c r="R214" s="99" t="s">
        <v>46</v>
      </c>
      <c r="S214" s="127" t="s">
        <v>147</v>
      </c>
      <c r="T214" s="87">
        <v>45394</v>
      </c>
      <c r="U214" s="87">
        <f>T214+7</f>
        <v>45401</v>
      </c>
      <c r="V214" s="87">
        <v>45412</v>
      </c>
      <c r="W214" s="87">
        <f t="shared" si="50"/>
        <v>45419</v>
      </c>
      <c r="X214" s="60"/>
      <c r="Y214" s="315" t="s">
        <v>79</v>
      </c>
      <c r="Z214" s="71" t="s">
        <v>942</v>
      </c>
      <c r="AA214" s="71">
        <v>190</v>
      </c>
      <c r="AB214" s="89" t="s">
        <v>49</v>
      </c>
      <c r="AC214" s="73">
        <f t="shared" si="54"/>
        <v>1</v>
      </c>
      <c r="AD214" s="73">
        <f t="shared" si="55"/>
        <v>0</v>
      </c>
      <c r="AE214" s="101" t="s">
        <v>138</v>
      </c>
      <c r="AF214" s="90" t="s">
        <v>939</v>
      </c>
    </row>
    <row r="215" s="21" customFormat="1" ht="15" customHeight="1" spans="1:32">
      <c r="A215" s="75">
        <v>212</v>
      </c>
      <c r="B215" s="76" t="s">
        <v>943</v>
      </c>
      <c r="C215" s="60"/>
      <c r="D215" s="76" t="s">
        <v>487</v>
      </c>
      <c r="E215" s="78" t="s">
        <v>944</v>
      </c>
      <c r="F215" s="106" t="s">
        <v>945</v>
      </c>
      <c r="G215" s="79">
        <v>1</v>
      </c>
      <c r="H215" s="80" t="s">
        <v>94</v>
      </c>
      <c r="I215" s="80" t="s">
        <v>38</v>
      </c>
      <c r="J215" s="80" t="s">
        <v>39</v>
      </c>
      <c r="K215" s="80" t="s">
        <v>937</v>
      </c>
      <c r="L215" s="107" t="s">
        <v>56</v>
      </c>
      <c r="M215" s="107" t="s">
        <v>42</v>
      </c>
      <c r="N215" s="145" t="s">
        <v>938</v>
      </c>
      <c r="O215" s="47" t="s">
        <v>44</v>
      </c>
      <c r="P215" s="84">
        <v>45392</v>
      </c>
      <c r="Q215" s="131" t="s">
        <v>128</v>
      </c>
      <c r="R215" s="99" t="s">
        <v>46</v>
      </c>
      <c r="S215" s="127" t="s">
        <v>147</v>
      </c>
      <c r="T215" s="87">
        <v>45394</v>
      </c>
      <c r="U215" s="87">
        <f>T215+7</f>
        <v>45401</v>
      </c>
      <c r="V215" s="87">
        <v>45412</v>
      </c>
      <c r="W215" s="87">
        <f t="shared" si="50"/>
        <v>45419</v>
      </c>
      <c r="X215" s="60"/>
      <c r="Y215" s="315" t="s">
        <v>79</v>
      </c>
      <c r="Z215" s="71" t="s">
        <v>945</v>
      </c>
      <c r="AA215" s="71">
        <v>191</v>
      </c>
      <c r="AB215" s="89" t="s">
        <v>49</v>
      </c>
      <c r="AC215" s="73">
        <f t="shared" si="54"/>
        <v>1</v>
      </c>
      <c r="AD215" s="73">
        <f t="shared" si="55"/>
        <v>0</v>
      </c>
      <c r="AE215" s="101" t="s">
        <v>138</v>
      </c>
      <c r="AF215" s="90" t="s">
        <v>939</v>
      </c>
    </row>
    <row r="216" s="26" customFormat="1" ht="15" customHeight="1" spans="1:32">
      <c r="A216" s="165">
        <v>213</v>
      </c>
      <c r="B216" s="106" t="s">
        <v>946</v>
      </c>
      <c r="C216" s="106" t="s">
        <v>947</v>
      </c>
      <c r="D216" s="106" t="s">
        <v>487</v>
      </c>
      <c r="E216" s="166" t="s">
        <v>948</v>
      </c>
      <c r="F216" s="106" t="s">
        <v>949</v>
      </c>
      <c r="G216" s="155">
        <v>2</v>
      </c>
      <c r="H216" s="167" t="s">
        <v>94</v>
      </c>
      <c r="I216" s="81" t="s">
        <v>38</v>
      </c>
      <c r="J216" s="81" t="s">
        <v>39</v>
      </c>
      <c r="K216" s="167" t="s">
        <v>950</v>
      </c>
      <c r="L216" s="82" t="s">
        <v>951</v>
      </c>
      <c r="M216" s="82" t="s">
        <v>179</v>
      </c>
      <c r="N216" s="168" t="s">
        <v>952</v>
      </c>
      <c r="O216" s="47" t="s">
        <v>44</v>
      </c>
      <c r="P216" s="84">
        <v>45442</v>
      </c>
      <c r="Q216" s="131" t="s">
        <v>128</v>
      </c>
      <c r="R216" s="131" t="s">
        <v>66</v>
      </c>
      <c r="S216" s="169" t="s">
        <v>67</v>
      </c>
      <c r="T216" s="170">
        <v>45427</v>
      </c>
      <c r="U216" s="170">
        <v>45428</v>
      </c>
      <c r="V216" s="170">
        <v>45434</v>
      </c>
      <c r="W216" s="170">
        <v>45438</v>
      </c>
      <c r="X216" s="171"/>
      <c r="Y216" s="172" t="s">
        <v>929</v>
      </c>
      <c r="Z216" s="173" t="s">
        <v>949</v>
      </c>
      <c r="AA216" s="174">
        <v>196</v>
      </c>
      <c r="AB216" s="89" t="s">
        <v>49</v>
      </c>
      <c r="AC216" s="175">
        <f t="shared" si="54"/>
        <v>2</v>
      </c>
      <c r="AD216" s="175">
        <f t="shared" si="55"/>
        <v>0</v>
      </c>
      <c r="AE216" s="101" t="s">
        <v>953</v>
      </c>
      <c r="AF216" s="90" t="s">
        <v>954</v>
      </c>
    </row>
    <row r="217" s="26" customFormat="1" ht="15" customHeight="1" spans="1:32">
      <c r="A217" s="165">
        <v>214</v>
      </c>
      <c r="B217" s="106" t="s">
        <v>955</v>
      </c>
      <c r="C217" s="106" t="s">
        <v>956</v>
      </c>
      <c r="D217" s="106" t="s">
        <v>487</v>
      </c>
      <c r="E217" s="166" t="s">
        <v>957</v>
      </c>
      <c r="F217" s="106" t="s">
        <v>958</v>
      </c>
      <c r="G217" s="155">
        <v>2</v>
      </c>
      <c r="H217" s="167" t="s">
        <v>94</v>
      </c>
      <c r="I217" s="81" t="s">
        <v>38</v>
      </c>
      <c r="J217" s="81" t="s">
        <v>39</v>
      </c>
      <c r="K217" s="167" t="s">
        <v>950</v>
      </c>
      <c r="L217" s="82" t="s">
        <v>951</v>
      </c>
      <c r="M217" s="82" t="s">
        <v>179</v>
      </c>
      <c r="N217" s="176" t="s">
        <v>959</v>
      </c>
      <c r="O217" s="47" t="s">
        <v>44</v>
      </c>
      <c r="P217" s="84">
        <v>45442</v>
      </c>
      <c r="Q217" s="131" t="s">
        <v>128</v>
      </c>
      <c r="R217" s="131" t="s">
        <v>66</v>
      </c>
      <c r="S217" s="169" t="s">
        <v>67</v>
      </c>
      <c r="T217" s="170">
        <v>45427</v>
      </c>
      <c r="U217" s="170">
        <v>45428</v>
      </c>
      <c r="V217" s="170">
        <v>45434</v>
      </c>
      <c r="W217" s="170">
        <v>45438</v>
      </c>
      <c r="X217" s="171"/>
      <c r="Y217" s="172" t="s">
        <v>929</v>
      </c>
      <c r="Z217" s="173" t="s">
        <v>958</v>
      </c>
      <c r="AA217" s="174">
        <v>197</v>
      </c>
      <c r="AB217" s="89" t="s">
        <v>49</v>
      </c>
      <c r="AC217" s="175">
        <f t="shared" si="54"/>
        <v>2</v>
      </c>
      <c r="AD217" s="175">
        <f t="shared" si="55"/>
        <v>0</v>
      </c>
      <c r="AE217" s="101" t="s">
        <v>953</v>
      </c>
      <c r="AF217" s="90" t="s">
        <v>954</v>
      </c>
    </row>
    <row r="218" s="26" customFormat="1" ht="15" customHeight="1" spans="1:32">
      <c r="A218" s="165">
        <v>215</v>
      </c>
      <c r="B218" s="106" t="s">
        <v>960</v>
      </c>
      <c r="C218" s="106" t="s">
        <v>961</v>
      </c>
      <c r="D218" s="106" t="s">
        <v>487</v>
      </c>
      <c r="E218" s="166" t="s">
        <v>962</v>
      </c>
      <c r="F218" s="106" t="s">
        <v>963</v>
      </c>
      <c r="G218" s="155">
        <v>2</v>
      </c>
      <c r="H218" s="167" t="s">
        <v>94</v>
      </c>
      <c r="I218" s="81" t="s">
        <v>38</v>
      </c>
      <c r="J218" s="81" t="s">
        <v>39</v>
      </c>
      <c r="K218" s="167" t="s">
        <v>950</v>
      </c>
      <c r="L218" s="82" t="s">
        <v>951</v>
      </c>
      <c r="M218" s="82" t="s">
        <v>179</v>
      </c>
      <c r="N218" s="176" t="s">
        <v>959</v>
      </c>
      <c r="O218" s="47" t="s">
        <v>44</v>
      </c>
      <c r="P218" s="84">
        <v>45442</v>
      </c>
      <c r="Q218" s="131" t="s">
        <v>128</v>
      </c>
      <c r="R218" s="131" t="s">
        <v>66</v>
      </c>
      <c r="S218" s="169" t="s">
        <v>67</v>
      </c>
      <c r="T218" s="170">
        <v>45427</v>
      </c>
      <c r="U218" s="170">
        <v>45428</v>
      </c>
      <c r="V218" s="170">
        <v>45434</v>
      </c>
      <c r="W218" s="170">
        <v>45438</v>
      </c>
      <c r="X218" s="171"/>
      <c r="Y218" s="172" t="s">
        <v>929</v>
      </c>
      <c r="Z218" s="173" t="s">
        <v>963</v>
      </c>
      <c r="AA218" s="174">
        <v>198</v>
      </c>
      <c r="AB218" s="89" t="s">
        <v>49</v>
      </c>
      <c r="AC218" s="175">
        <f t="shared" si="54"/>
        <v>2</v>
      </c>
      <c r="AD218" s="175">
        <f t="shared" si="55"/>
        <v>0</v>
      </c>
      <c r="AE218" s="101" t="s">
        <v>953</v>
      </c>
      <c r="AF218" s="90" t="s">
        <v>954</v>
      </c>
    </row>
    <row r="219" s="26" customFormat="1" ht="15" customHeight="1" spans="1:32">
      <c r="A219" s="165">
        <v>216</v>
      </c>
      <c r="B219" s="106" t="s">
        <v>964</v>
      </c>
      <c r="C219" s="106" t="s">
        <v>965</v>
      </c>
      <c r="D219" s="106" t="s">
        <v>487</v>
      </c>
      <c r="E219" s="166" t="s">
        <v>966</v>
      </c>
      <c r="F219" s="106" t="s">
        <v>967</v>
      </c>
      <c r="G219" s="155">
        <v>4</v>
      </c>
      <c r="H219" s="167" t="s">
        <v>94</v>
      </c>
      <c r="I219" s="81" t="s">
        <v>38</v>
      </c>
      <c r="J219" s="81" t="s">
        <v>39</v>
      </c>
      <c r="K219" s="167" t="s">
        <v>950</v>
      </c>
      <c r="L219" s="82" t="s">
        <v>951</v>
      </c>
      <c r="M219" s="82" t="s">
        <v>179</v>
      </c>
      <c r="N219" s="176" t="s">
        <v>959</v>
      </c>
      <c r="O219" s="47" t="s">
        <v>44</v>
      </c>
      <c r="P219" s="84">
        <v>45442</v>
      </c>
      <c r="Q219" s="131" t="s">
        <v>128</v>
      </c>
      <c r="R219" s="131" t="s">
        <v>66</v>
      </c>
      <c r="S219" s="169" t="s">
        <v>67</v>
      </c>
      <c r="T219" s="170">
        <v>45427</v>
      </c>
      <c r="U219" s="170">
        <v>45428</v>
      </c>
      <c r="V219" s="170">
        <v>45434</v>
      </c>
      <c r="W219" s="170">
        <v>45438</v>
      </c>
      <c r="X219" s="171"/>
      <c r="Y219" s="172" t="s">
        <v>929</v>
      </c>
      <c r="Z219" s="173" t="s">
        <v>967</v>
      </c>
      <c r="AA219" s="174">
        <v>199</v>
      </c>
      <c r="AB219" s="89" t="s">
        <v>49</v>
      </c>
      <c r="AC219" s="175">
        <f t="shared" si="54"/>
        <v>4</v>
      </c>
      <c r="AD219" s="175">
        <f t="shared" si="55"/>
        <v>0</v>
      </c>
      <c r="AE219" s="101" t="s">
        <v>953</v>
      </c>
      <c r="AF219" s="90" t="s">
        <v>954</v>
      </c>
    </row>
    <row r="220" s="21" customFormat="1" ht="15" customHeight="1" spans="1:32">
      <c r="A220" s="58">
        <v>217</v>
      </c>
      <c r="B220" s="59" t="s">
        <v>968</v>
      </c>
      <c r="C220" s="59" t="s">
        <v>969</v>
      </c>
      <c r="D220" s="59" t="s">
        <v>487</v>
      </c>
      <c r="E220" s="96" t="s">
        <v>970</v>
      </c>
      <c r="F220" s="59" t="s">
        <v>971</v>
      </c>
      <c r="G220" s="97">
        <v>4</v>
      </c>
      <c r="H220" s="81" t="s">
        <v>94</v>
      </c>
      <c r="I220" s="81" t="s">
        <v>38</v>
      </c>
      <c r="J220" s="81" t="s">
        <v>39</v>
      </c>
      <c r="K220" s="81" t="s">
        <v>972</v>
      </c>
      <c r="L220" s="82" t="s">
        <v>56</v>
      </c>
      <c r="M220" s="82" t="s">
        <v>42</v>
      </c>
      <c r="N220" s="64" t="s">
        <v>973</v>
      </c>
      <c r="O220" s="47" t="s">
        <v>44</v>
      </c>
      <c r="P220" s="84">
        <v>45397</v>
      </c>
      <c r="Q220" s="131" t="s">
        <v>128</v>
      </c>
      <c r="R220" s="99" t="s">
        <v>46</v>
      </c>
      <c r="S220" s="127" t="s">
        <v>147</v>
      </c>
      <c r="T220" s="86">
        <v>45413</v>
      </c>
      <c r="U220" s="86">
        <f>T220+7</f>
        <v>45420</v>
      </c>
      <c r="V220" s="86">
        <v>45429</v>
      </c>
      <c r="W220" s="86">
        <v>45432</v>
      </c>
      <c r="X220" s="160"/>
      <c r="Y220" s="315" t="s">
        <v>150</v>
      </c>
      <c r="Z220" s="71" t="s">
        <v>974</v>
      </c>
      <c r="AA220" s="71">
        <v>192</v>
      </c>
      <c r="AB220" s="89" t="s">
        <v>49</v>
      </c>
      <c r="AC220" s="73">
        <f t="shared" ref="AC220:AC226" si="56">G220</f>
        <v>4</v>
      </c>
      <c r="AD220" s="73">
        <f t="shared" ref="AD220:AD227" si="57">G220-AC220</f>
        <v>0</v>
      </c>
      <c r="AE220" s="101" t="s">
        <v>151</v>
      </c>
      <c r="AF220" s="90"/>
    </row>
    <row r="221" s="21" customFormat="1" ht="15" customHeight="1" spans="1:32">
      <c r="A221" s="58">
        <v>218</v>
      </c>
      <c r="B221" s="59" t="s">
        <v>975</v>
      </c>
      <c r="C221" s="59" t="s">
        <v>976</v>
      </c>
      <c r="D221" s="59" t="s">
        <v>487</v>
      </c>
      <c r="E221" s="96" t="s">
        <v>977</v>
      </c>
      <c r="F221" s="59" t="s">
        <v>978</v>
      </c>
      <c r="G221" s="97">
        <v>4</v>
      </c>
      <c r="H221" s="81" t="s">
        <v>94</v>
      </c>
      <c r="I221" s="81" t="s">
        <v>38</v>
      </c>
      <c r="J221" s="81" t="s">
        <v>39</v>
      </c>
      <c r="K221" s="81" t="s">
        <v>972</v>
      </c>
      <c r="L221" s="82" t="s">
        <v>56</v>
      </c>
      <c r="M221" s="82" t="s">
        <v>42</v>
      </c>
      <c r="N221" s="64" t="s">
        <v>973</v>
      </c>
      <c r="O221" s="47" t="s">
        <v>44</v>
      </c>
      <c r="P221" s="84">
        <v>45442</v>
      </c>
      <c r="Q221" s="131" t="s">
        <v>128</v>
      </c>
      <c r="R221" s="99" t="s">
        <v>46</v>
      </c>
      <c r="S221" s="99" t="s">
        <v>47</v>
      </c>
      <c r="T221" s="87">
        <v>45413</v>
      </c>
      <c r="U221" s="87">
        <f>T221+7</f>
        <v>45420</v>
      </c>
      <c r="V221" s="87">
        <v>45429</v>
      </c>
      <c r="W221" s="87">
        <v>45432</v>
      </c>
      <c r="X221" s="60"/>
      <c r="Y221" s="315" t="s">
        <v>150</v>
      </c>
      <c r="Z221" s="71" t="s">
        <v>978</v>
      </c>
      <c r="AA221" s="71">
        <v>193</v>
      </c>
      <c r="AB221" s="89" t="s">
        <v>49</v>
      </c>
      <c r="AC221" s="73">
        <f t="shared" si="56"/>
        <v>4</v>
      </c>
      <c r="AD221" s="73">
        <f t="shared" si="57"/>
        <v>0</v>
      </c>
      <c r="AE221" s="101" t="s">
        <v>151</v>
      </c>
      <c r="AF221" s="90"/>
    </row>
    <row r="222" s="21" customFormat="1" ht="15" customHeight="1" spans="1:32">
      <c r="A222" s="58">
        <v>219</v>
      </c>
      <c r="B222" s="59" t="s">
        <v>979</v>
      </c>
      <c r="C222" s="59" t="s">
        <v>980</v>
      </c>
      <c r="D222" s="59" t="s">
        <v>487</v>
      </c>
      <c r="E222" s="96" t="s">
        <v>981</v>
      </c>
      <c r="F222" s="59" t="s">
        <v>982</v>
      </c>
      <c r="G222" s="97">
        <v>4</v>
      </c>
      <c r="H222" s="81" t="s">
        <v>94</v>
      </c>
      <c r="I222" s="81" t="s">
        <v>38</v>
      </c>
      <c r="J222" s="81" t="s">
        <v>39</v>
      </c>
      <c r="K222" s="81" t="s">
        <v>972</v>
      </c>
      <c r="L222" s="82" t="s">
        <v>56</v>
      </c>
      <c r="M222" s="82" t="s">
        <v>42</v>
      </c>
      <c r="N222" s="64" t="s">
        <v>973</v>
      </c>
      <c r="O222" s="47" t="s">
        <v>44</v>
      </c>
      <c r="P222" s="84">
        <v>45442</v>
      </c>
      <c r="Q222" s="131" t="s">
        <v>128</v>
      </c>
      <c r="R222" s="99" t="s">
        <v>46</v>
      </c>
      <c r="S222" s="99" t="s">
        <v>47</v>
      </c>
      <c r="T222" s="87">
        <v>45413</v>
      </c>
      <c r="U222" s="87">
        <f>T222+7</f>
        <v>45420</v>
      </c>
      <c r="V222" s="87">
        <v>45429</v>
      </c>
      <c r="W222" s="87">
        <v>45432</v>
      </c>
      <c r="X222" s="60"/>
      <c r="Y222" s="315" t="s">
        <v>150</v>
      </c>
      <c r="Z222" s="71" t="s">
        <v>982</v>
      </c>
      <c r="AA222" s="71">
        <v>194</v>
      </c>
      <c r="AB222" s="89" t="s">
        <v>49</v>
      </c>
      <c r="AC222" s="73">
        <f t="shared" si="56"/>
        <v>4</v>
      </c>
      <c r="AD222" s="73">
        <f t="shared" si="57"/>
        <v>0</v>
      </c>
      <c r="AE222" s="101" t="s">
        <v>151</v>
      </c>
      <c r="AF222" s="90"/>
    </row>
    <row r="223" s="27" customFormat="1" ht="15" customHeight="1" spans="1:32">
      <c r="A223" s="177">
        <v>220</v>
      </c>
      <c r="B223" s="178" t="s">
        <v>983</v>
      </c>
      <c r="C223" s="178" t="s">
        <v>984</v>
      </c>
      <c r="D223" s="178" t="s">
        <v>487</v>
      </c>
      <c r="E223" s="179" t="s">
        <v>985</v>
      </c>
      <c r="F223" s="178" t="s">
        <v>986</v>
      </c>
      <c r="G223" s="180">
        <v>2</v>
      </c>
      <c r="H223" s="181" t="s">
        <v>94</v>
      </c>
      <c r="I223" s="181" t="s">
        <v>987</v>
      </c>
      <c r="J223" s="80" t="s">
        <v>988</v>
      </c>
      <c r="K223" s="181" t="s">
        <v>989</v>
      </c>
      <c r="L223" s="107" t="s">
        <v>96</v>
      </c>
      <c r="M223" s="107" t="s">
        <v>96</v>
      </c>
      <c r="N223" s="182" t="s">
        <v>990</v>
      </c>
      <c r="O223" s="47" t="s">
        <v>44</v>
      </c>
      <c r="P223" s="84">
        <v>45442</v>
      </c>
      <c r="Q223" s="183" t="s">
        <v>991</v>
      </c>
      <c r="R223" s="184" t="s">
        <v>66</v>
      </c>
      <c r="S223" s="185" t="s">
        <v>67</v>
      </c>
      <c r="T223" s="186"/>
      <c r="U223" s="186" t="s">
        <v>992</v>
      </c>
      <c r="V223" s="186" t="s">
        <v>993</v>
      </c>
      <c r="W223" s="186">
        <v>45509</v>
      </c>
      <c r="X223" s="181" t="s">
        <v>987</v>
      </c>
      <c r="Y223" s="187" t="s">
        <v>994</v>
      </c>
      <c r="Z223" s="188" t="s">
        <v>986</v>
      </c>
      <c r="AA223" s="188">
        <v>204</v>
      </c>
      <c r="AB223" s="89" t="s">
        <v>49</v>
      </c>
      <c r="AC223" s="73">
        <f t="shared" si="56"/>
        <v>2</v>
      </c>
      <c r="AD223" s="73">
        <f t="shared" si="57"/>
        <v>0</v>
      </c>
      <c r="AE223" s="101" t="s">
        <v>995</v>
      </c>
      <c r="AF223" s="90" t="s">
        <v>996</v>
      </c>
    </row>
    <row r="224" s="27" customFormat="1" ht="15" customHeight="1" spans="1:32">
      <c r="A224" s="177">
        <v>221</v>
      </c>
      <c r="B224" s="178" t="s">
        <v>997</v>
      </c>
      <c r="C224" s="178" t="s">
        <v>998</v>
      </c>
      <c r="D224" s="178" t="s">
        <v>487</v>
      </c>
      <c r="E224" s="179" t="s">
        <v>999</v>
      </c>
      <c r="F224" s="178" t="s">
        <v>1000</v>
      </c>
      <c r="G224" s="180">
        <v>2</v>
      </c>
      <c r="H224" s="181" t="s">
        <v>94</v>
      </c>
      <c r="I224" s="181" t="s">
        <v>987</v>
      </c>
      <c r="J224" s="80" t="s">
        <v>988</v>
      </c>
      <c r="K224" s="181" t="s">
        <v>989</v>
      </c>
      <c r="L224" s="107" t="s">
        <v>96</v>
      </c>
      <c r="M224" s="107" t="s">
        <v>96</v>
      </c>
      <c r="N224" s="182" t="s">
        <v>990</v>
      </c>
      <c r="O224" s="47" t="s">
        <v>44</v>
      </c>
      <c r="P224" s="84">
        <v>45442</v>
      </c>
      <c r="Q224" s="183" t="s">
        <v>991</v>
      </c>
      <c r="R224" s="184" t="s">
        <v>66</v>
      </c>
      <c r="S224" s="185" t="s">
        <v>67</v>
      </c>
      <c r="T224" s="186"/>
      <c r="U224" s="186" t="s">
        <v>992</v>
      </c>
      <c r="V224" s="186" t="s">
        <v>993</v>
      </c>
      <c r="W224" s="186">
        <v>45509</v>
      </c>
      <c r="X224" s="181" t="s">
        <v>987</v>
      </c>
      <c r="Y224" s="187" t="s">
        <v>994</v>
      </c>
      <c r="Z224" s="188" t="s">
        <v>1000</v>
      </c>
      <c r="AA224" s="188">
        <v>205</v>
      </c>
      <c r="AB224" s="89" t="s">
        <v>49</v>
      </c>
      <c r="AC224" s="73">
        <f t="shared" si="56"/>
        <v>2</v>
      </c>
      <c r="AD224" s="73">
        <f t="shared" si="57"/>
        <v>0</v>
      </c>
      <c r="AE224" s="101" t="s">
        <v>995</v>
      </c>
      <c r="AF224" s="90" t="s">
        <v>996</v>
      </c>
    </row>
    <row r="225" s="27" customFormat="1" ht="15" customHeight="1" spans="1:32">
      <c r="A225" s="177">
        <v>222</v>
      </c>
      <c r="B225" s="178" t="s">
        <v>1001</v>
      </c>
      <c r="C225" s="178" t="s">
        <v>1002</v>
      </c>
      <c r="D225" s="178" t="s">
        <v>487</v>
      </c>
      <c r="E225" s="179" t="s">
        <v>1003</v>
      </c>
      <c r="F225" s="178" t="s">
        <v>1004</v>
      </c>
      <c r="G225" s="180">
        <v>2</v>
      </c>
      <c r="H225" s="181" t="s">
        <v>94</v>
      </c>
      <c r="I225" s="181" t="s">
        <v>987</v>
      </c>
      <c r="J225" s="80" t="s">
        <v>988</v>
      </c>
      <c r="K225" s="181" t="s">
        <v>989</v>
      </c>
      <c r="L225" s="107" t="s">
        <v>96</v>
      </c>
      <c r="M225" s="107" t="s">
        <v>96</v>
      </c>
      <c r="N225" s="182" t="s">
        <v>990</v>
      </c>
      <c r="O225" s="47" t="s">
        <v>44</v>
      </c>
      <c r="P225" s="84">
        <v>45442</v>
      </c>
      <c r="Q225" s="183" t="s">
        <v>991</v>
      </c>
      <c r="R225" s="184" t="s">
        <v>66</v>
      </c>
      <c r="S225" s="185" t="s">
        <v>67</v>
      </c>
      <c r="T225" s="186"/>
      <c r="U225" s="186" t="s">
        <v>992</v>
      </c>
      <c r="V225" s="186" t="s">
        <v>993</v>
      </c>
      <c r="W225" s="186">
        <v>45509</v>
      </c>
      <c r="X225" s="181" t="s">
        <v>987</v>
      </c>
      <c r="Y225" s="187" t="s">
        <v>994</v>
      </c>
      <c r="Z225" s="188" t="s">
        <v>1004</v>
      </c>
      <c r="AA225" s="188">
        <v>206</v>
      </c>
      <c r="AB225" s="89" t="s">
        <v>49</v>
      </c>
      <c r="AC225" s="73">
        <f t="shared" si="56"/>
        <v>2</v>
      </c>
      <c r="AD225" s="73">
        <f t="shared" si="57"/>
        <v>0</v>
      </c>
      <c r="AE225" s="101" t="s">
        <v>995</v>
      </c>
      <c r="AF225" s="90" t="s">
        <v>996</v>
      </c>
    </row>
    <row r="226" s="27" customFormat="1" ht="15" customHeight="1" spans="1:32">
      <c r="A226" s="177">
        <v>223</v>
      </c>
      <c r="B226" s="178" t="s">
        <v>1005</v>
      </c>
      <c r="C226" s="178" t="s">
        <v>1006</v>
      </c>
      <c r="D226" s="178" t="s">
        <v>487</v>
      </c>
      <c r="E226" s="179" t="s">
        <v>1007</v>
      </c>
      <c r="F226" s="178" t="s">
        <v>1008</v>
      </c>
      <c r="G226" s="180">
        <v>4</v>
      </c>
      <c r="H226" s="181" t="s">
        <v>94</v>
      </c>
      <c r="I226" s="181" t="s">
        <v>987</v>
      </c>
      <c r="J226" s="80" t="s">
        <v>1009</v>
      </c>
      <c r="K226" s="181" t="s">
        <v>1010</v>
      </c>
      <c r="L226" s="107" t="s">
        <v>96</v>
      </c>
      <c r="M226" s="107" t="s">
        <v>96</v>
      </c>
      <c r="N226" s="182" t="s">
        <v>990</v>
      </c>
      <c r="O226" s="47" t="s">
        <v>44</v>
      </c>
      <c r="P226" s="84">
        <v>45442</v>
      </c>
      <c r="Q226" s="183" t="s">
        <v>1011</v>
      </c>
      <c r="R226" s="184" t="s">
        <v>66</v>
      </c>
      <c r="S226" s="185" t="s">
        <v>67</v>
      </c>
      <c r="T226" s="186"/>
      <c r="U226" s="186">
        <v>45436</v>
      </c>
      <c r="V226" s="186">
        <v>45498</v>
      </c>
      <c r="W226" s="186">
        <v>45505</v>
      </c>
      <c r="X226" s="181" t="s">
        <v>987</v>
      </c>
      <c r="Y226" s="187" t="s">
        <v>1012</v>
      </c>
      <c r="Z226" s="188" t="s">
        <v>1013</v>
      </c>
      <c r="AA226" s="188">
        <v>203</v>
      </c>
      <c r="AB226" s="89" t="s">
        <v>49</v>
      </c>
      <c r="AC226" s="73">
        <f t="shared" si="56"/>
        <v>4</v>
      </c>
      <c r="AD226" s="73">
        <f t="shared" si="57"/>
        <v>0</v>
      </c>
      <c r="AE226" s="101" t="s">
        <v>1014</v>
      </c>
      <c r="AF226" s="90" t="s">
        <v>1015</v>
      </c>
    </row>
    <row r="227" s="27" customFormat="1" ht="15" customHeight="1" spans="1:32">
      <c r="A227" s="177">
        <v>224</v>
      </c>
      <c r="B227" s="178" t="s">
        <v>1016</v>
      </c>
      <c r="C227" s="178" t="s">
        <v>1017</v>
      </c>
      <c r="D227" s="178" t="s">
        <v>487</v>
      </c>
      <c r="E227" s="179" t="s">
        <v>1018</v>
      </c>
      <c r="F227" s="178" t="s">
        <v>1019</v>
      </c>
      <c r="G227" s="180">
        <v>2</v>
      </c>
      <c r="H227" s="181" t="s">
        <v>94</v>
      </c>
      <c r="I227" s="181" t="s">
        <v>987</v>
      </c>
      <c r="J227" s="80" t="s">
        <v>1020</v>
      </c>
      <c r="K227" s="181" t="s">
        <v>1010</v>
      </c>
      <c r="L227" s="107" t="s">
        <v>96</v>
      </c>
      <c r="M227" s="107" t="s">
        <v>96</v>
      </c>
      <c r="N227" s="182" t="s">
        <v>990</v>
      </c>
      <c r="O227" s="47" t="s">
        <v>44</v>
      </c>
      <c r="P227" s="84">
        <v>45442</v>
      </c>
      <c r="Q227" s="183" t="s">
        <v>1021</v>
      </c>
      <c r="R227" s="184" t="s">
        <v>66</v>
      </c>
      <c r="S227" s="185" t="s">
        <v>67</v>
      </c>
      <c r="T227" s="186"/>
      <c r="U227" s="186" t="s">
        <v>1022</v>
      </c>
      <c r="V227" s="186" t="s">
        <v>1023</v>
      </c>
      <c r="W227" s="186" t="s">
        <v>1024</v>
      </c>
      <c r="X227" s="181" t="s">
        <v>987</v>
      </c>
      <c r="Y227" s="187" t="s">
        <v>1025</v>
      </c>
      <c r="Z227" s="188" t="s">
        <v>1019</v>
      </c>
      <c r="AA227" s="188">
        <v>207</v>
      </c>
      <c r="AB227" s="89" t="s">
        <v>49</v>
      </c>
      <c r="AC227" s="189">
        <v>2</v>
      </c>
      <c r="AD227" s="189">
        <f t="shared" si="57"/>
        <v>0</v>
      </c>
      <c r="AE227" s="101" t="s">
        <v>1026</v>
      </c>
      <c r="AF227" s="90" t="s">
        <v>1027</v>
      </c>
    </row>
    <row r="228" s="27" customFormat="1" ht="15" customHeight="1" spans="1:32">
      <c r="A228" s="177"/>
      <c r="B228" s="178" t="s">
        <v>1028</v>
      </c>
      <c r="C228" s="178"/>
      <c r="D228" s="178"/>
      <c r="E228" s="179" t="s">
        <v>1029</v>
      </c>
      <c r="F228" s="178"/>
      <c r="G228" s="180">
        <v>1</v>
      </c>
      <c r="H228" s="181" t="s">
        <v>1030</v>
      </c>
      <c r="I228" s="181"/>
      <c r="J228" s="80" t="s">
        <v>39</v>
      </c>
      <c r="K228" s="181"/>
      <c r="L228" s="107"/>
      <c r="M228" s="107"/>
      <c r="N228" s="182" t="s">
        <v>990</v>
      </c>
      <c r="O228" s="47"/>
      <c r="P228" s="84"/>
      <c r="Q228" s="183" t="s">
        <v>1031</v>
      </c>
      <c r="R228" s="184" t="s">
        <v>66</v>
      </c>
      <c r="S228" s="185" t="s">
        <v>67</v>
      </c>
      <c r="T228" s="186"/>
      <c r="U228" s="186">
        <v>45495</v>
      </c>
      <c r="V228" s="186" t="s">
        <v>1032</v>
      </c>
      <c r="W228" s="186" t="s">
        <v>1033</v>
      </c>
      <c r="X228" s="181" t="s">
        <v>987</v>
      </c>
      <c r="Y228" s="187" t="s">
        <v>1034</v>
      </c>
      <c r="Z228" s="188"/>
      <c r="AA228" s="190" t="s">
        <v>1035</v>
      </c>
      <c r="AB228" s="89"/>
      <c r="AC228" s="189">
        <v>1</v>
      </c>
      <c r="AD228" s="189">
        <v>0</v>
      </c>
      <c r="AE228" s="101" t="s">
        <v>1036</v>
      </c>
      <c r="AF228" s="90" t="s">
        <v>1037</v>
      </c>
    </row>
    <row r="229" s="21" customFormat="1" ht="15" customHeight="1" spans="1:32">
      <c r="A229" s="58">
        <v>225</v>
      </c>
      <c r="B229" s="59" t="s">
        <v>1038</v>
      </c>
      <c r="C229" s="59" t="s">
        <v>1039</v>
      </c>
      <c r="D229" s="59" t="s">
        <v>487</v>
      </c>
      <c r="E229" s="96" t="s">
        <v>1040</v>
      </c>
      <c r="F229" s="59" t="s">
        <v>1041</v>
      </c>
      <c r="G229" s="97">
        <v>12</v>
      </c>
      <c r="H229" s="81" t="s">
        <v>94</v>
      </c>
      <c r="I229" s="81" t="s">
        <v>38</v>
      </c>
      <c r="J229" s="81" t="s">
        <v>39</v>
      </c>
      <c r="K229" s="81" t="s">
        <v>1042</v>
      </c>
      <c r="L229" s="82" t="s">
        <v>56</v>
      </c>
      <c r="M229" s="82" t="s">
        <v>42</v>
      </c>
      <c r="N229" s="64" t="s">
        <v>973</v>
      </c>
      <c r="O229" s="47" t="s">
        <v>44</v>
      </c>
      <c r="P229" s="84">
        <v>45442</v>
      </c>
      <c r="Q229" s="131" t="s">
        <v>128</v>
      </c>
      <c r="R229" s="99" t="s">
        <v>46</v>
      </c>
      <c r="S229" s="99" t="s">
        <v>47</v>
      </c>
      <c r="T229" s="87">
        <v>45413</v>
      </c>
      <c r="U229" s="87">
        <f>T229+7</f>
        <v>45420</v>
      </c>
      <c r="V229" s="87">
        <v>45429</v>
      </c>
      <c r="W229" s="87">
        <v>45432</v>
      </c>
      <c r="X229" s="60"/>
      <c r="Y229" s="315" t="s">
        <v>150</v>
      </c>
      <c r="Z229" s="71" t="s">
        <v>1043</v>
      </c>
      <c r="AA229" s="71">
        <v>195</v>
      </c>
      <c r="AB229" s="89" t="s">
        <v>49</v>
      </c>
      <c r="AC229" s="73">
        <f t="shared" ref="AC229:AC236" si="58">G229</f>
        <v>12</v>
      </c>
      <c r="AD229" s="73">
        <f t="shared" ref="AD229:AD236" si="59">G229-AC229</f>
        <v>0</v>
      </c>
      <c r="AE229" s="101" t="s">
        <v>151</v>
      </c>
      <c r="AF229" s="90"/>
    </row>
    <row r="230" s="21" customFormat="1" ht="15" customHeight="1" spans="1:32">
      <c r="A230" s="75">
        <v>226</v>
      </c>
      <c r="B230" s="76" t="s">
        <v>1044</v>
      </c>
      <c r="C230" s="60"/>
      <c r="D230" s="76" t="s">
        <v>487</v>
      </c>
      <c r="E230" s="78" t="s">
        <v>1045</v>
      </c>
      <c r="F230" s="76" t="s">
        <v>1046</v>
      </c>
      <c r="G230" s="79">
        <v>2</v>
      </c>
      <c r="H230" s="80" t="s">
        <v>94</v>
      </c>
      <c r="I230" s="80" t="s">
        <v>38</v>
      </c>
      <c r="J230" s="80" t="s">
        <v>39</v>
      </c>
      <c r="K230" s="80" t="s">
        <v>1047</v>
      </c>
      <c r="L230" s="107" t="s">
        <v>42</v>
      </c>
      <c r="M230" s="107" t="s">
        <v>96</v>
      </c>
      <c r="N230" s="133" t="s">
        <v>1048</v>
      </c>
      <c r="O230" s="98"/>
      <c r="P230" s="84">
        <v>45519</v>
      </c>
      <c r="Q230" s="99" t="s">
        <v>128</v>
      </c>
      <c r="R230" s="85" t="s">
        <v>66</v>
      </c>
      <c r="S230" s="99" t="s">
        <v>67</v>
      </c>
      <c r="T230" s="102">
        <v>45526</v>
      </c>
      <c r="U230" s="87">
        <v>45528</v>
      </c>
      <c r="V230" s="87">
        <v>45538</v>
      </c>
      <c r="W230" s="87">
        <v>45541</v>
      </c>
      <c r="X230" s="147"/>
      <c r="Y230" s="70" t="s">
        <v>225</v>
      </c>
      <c r="Z230" s="71" t="s">
        <v>1046</v>
      </c>
      <c r="AA230" s="71">
        <v>230</v>
      </c>
      <c r="AB230" s="89" t="s">
        <v>49</v>
      </c>
      <c r="AC230" s="73">
        <f t="shared" si="58"/>
        <v>2</v>
      </c>
      <c r="AD230" s="73">
        <f t="shared" si="59"/>
        <v>0</v>
      </c>
      <c r="AE230" s="101" t="s">
        <v>1049</v>
      </c>
      <c r="AF230" s="90" t="s">
        <v>1050</v>
      </c>
    </row>
    <row r="231" s="21" customFormat="1" ht="15" customHeight="1" spans="1:32">
      <c r="A231" s="75">
        <v>227</v>
      </c>
      <c r="B231" s="76" t="s">
        <v>1051</v>
      </c>
      <c r="C231" s="60"/>
      <c r="D231" s="76" t="s">
        <v>487</v>
      </c>
      <c r="E231" s="78" t="s">
        <v>1052</v>
      </c>
      <c r="F231" s="106" t="s">
        <v>1053</v>
      </c>
      <c r="G231" s="79">
        <v>1</v>
      </c>
      <c r="H231" s="80" t="s">
        <v>94</v>
      </c>
      <c r="I231" s="80" t="s">
        <v>38</v>
      </c>
      <c r="J231" s="80" t="s">
        <v>39</v>
      </c>
      <c r="K231" s="80" t="s">
        <v>1047</v>
      </c>
      <c r="L231" s="107" t="s">
        <v>56</v>
      </c>
      <c r="M231" s="107" t="s">
        <v>42</v>
      </c>
      <c r="N231" s="133" t="s">
        <v>1048</v>
      </c>
      <c r="O231" s="98"/>
      <c r="P231" s="84">
        <v>45519</v>
      </c>
      <c r="Q231" s="99" t="s">
        <v>128</v>
      </c>
      <c r="R231" s="85" t="s">
        <v>66</v>
      </c>
      <c r="S231" s="99" t="s">
        <v>87</v>
      </c>
      <c r="T231" s="102">
        <v>45490</v>
      </c>
      <c r="U231" s="87">
        <v>45525</v>
      </c>
      <c r="V231" s="87">
        <f>U231+7</f>
        <v>45532</v>
      </c>
      <c r="W231" s="87">
        <f>V231+3</f>
        <v>45535</v>
      </c>
      <c r="X231" s="60"/>
      <c r="Y231" s="70" t="s">
        <v>88</v>
      </c>
      <c r="Z231" s="71" t="s">
        <v>1053</v>
      </c>
      <c r="AA231" s="71">
        <v>208</v>
      </c>
      <c r="AB231" s="89" t="s">
        <v>49</v>
      </c>
      <c r="AC231" s="73">
        <f t="shared" si="58"/>
        <v>1</v>
      </c>
      <c r="AD231" s="73">
        <f t="shared" si="59"/>
        <v>0</v>
      </c>
      <c r="AE231" s="101" t="s">
        <v>89</v>
      </c>
      <c r="AF231" s="101" t="s">
        <v>233</v>
      </c>
    </row>
    <row r="232" s="21" customFormat="1" ht="21" customHeight="1" spans="1:32">
      <c r="A232" s="58">
        <v>228</v>
      </c>
      <c r="B232" s="59" t="s">
        <v>1054</v>
      </c>
      <c r="C232" s="60"/>
      <c r="D232" s="59" t="s">
        <v>34</v>
      </c>
      <c r="E232" s="96" t="s">
        <v>1055</v>
      </c>
      <c r="F232" s="59" t="s">
        <v>1056</v>
      </c>
      <c r="G232" s="97">
        <v>3</v>
      </c>
      <c r="H232" s="81" t="s">
        <v>94</v>
      </c>
      <c r="I232" s="81" t="s">
        <v>38</v>
      </c>
      <c r="J232" s="81" t="s">
        <v>39</v>
      </c>
      <c r="K232" s="81" t="s">
        <v>1057</v>
      </c>
      <c r="L232" s="82" t="s">
        <v>56</v>
      </c>
      <c r="M232" s="82" t="s">
        <v>42</v>
      </c>
      <c r="N232" s="64" t="s">
        <v>1058</v>
      </c>
      <c r="O232" s="47" t="s">
        <v>44</v>
      </c>
      <c r="P232" s="84">
        <v>45361</v>
      </c>
      <c r="Q232" s="85" t="s">
        <v>128</v>
      </c>
      <c r="R232" s="85" t="s">
        <v>66</v>
      </c>
      <c r="S232" s="127" t="s">
        <v>67</v>
      </c>
      <c r="T232" s="86">
        <v>45427</v>
      </c>
      <c r="U232" s="87">
        <v>45428</v>
      </c>
      <c r="V232" s="87">
        <v>45434</v>
      </c>
      <c r="W232" s="87">
        <v>45438</v>
      </c>
      <c r="X232" s="60"/>
      <c r="Y232" s="70" t="s">
        <v>929</v>
      </c>
      <c r="Z232" s="71" t="s">
        <v>1056</v>
      </c>
      <c r="AA232" s="71" t="s">
        <v>1059</v>
      </c>
      <c r="AB232" s="89" t="s">
        <v>49</v>
      </c>
      <c r="AC232" s="73">
        <f t="shared" si="58"/>
        <v>3</v>
      </c>
      <c r="AD232" s="73">
        <f t="shared" si="59"/>
        <v>0</v>
      </c>
      <c r="AE232" s="101" t="s">
        <v>953</v>
      </c>
      <c r="AF232" s="101" t="s">
        <v>1060</v>
      </c>
    </row>
    <row r="233" s="21" customFormat="1" ht="21" customHeight="1" spans="1:32">
      <c r="A233" s="58">
        <v>229</v>
      </c>
      <c r="B233" s="59" t="s">
        <v>1061</v>
      </c>
      <c r="C233" s="60"/>
      <c r="D233" s="59" t="s">
        <v>34</v>
      </c>
      <c r="E233" s="59" t="s">
        <v>1062</v>
      </c>
      <c r="F233" s="59" t="s">
        <v>1063</v>
      </c>
      <c r="G233" s="97">
        <v>2</v>
      </c>
      <c r="H233" s="81" t="s">
        <v>94</v>
      </c>
      <c r="I233" s="81" t="s">
        <v>38</v>
      </c>
      <c r="J233" s="81" t="s">
        <v>39</v>
      </c>
      <c r="K233" s="81" t="s">
        <v>1057</v>
      </c>
      <c r="L233" s="82" t="s">
        <v>56</v>
      </c>
      <c r="M233" s="82" t="s">
        <v>42</v>
      </c>
      <c r="N233" s="64" t="s">
        <v>1058</v>
      </c>
      <c r="O233" s="47" t="s">
        <v>44</v>
      </c>
      <c r="P233" s="84">
        <v>45361</v>
      </c>
      <c r="Q233" s="85" t="s">
        <v>128</v>
      </c>
      <c r="R233" s="85" t="s">
        <v>66</v>
      </c>
      <c r="S233" s="127" t="s">
        <v>67</v>
      </c>
      <c r="T233" s="86">
        <v>45427</v>
      </c>
      <c r="U233" s="87">
        <v>45428</v>
      </c>
      <c r="V233" s="87">
        <v>45434</v>
      </c>
      <c r="W233" s="87">
        <v>45438</v>
      </c>
      <c r="X233" s="60"/>
      <c r="Y233" s="70" t="s">
        <v>929</v>
      </c>
      <c r="Z233" s="71" t="s">
        <v>1063</v>
      </c>
      <c r="AA233" s="71">
        <v>126</v>
      </c>
      <c r="AB233" s="89" t="s">
        <v>49</v>
      </c>
      <c r="AC233" s="73">
        <f t="shared" si="58"/>
        <v>2</v>
      </c>
      <c r="AD233" s="73">
        <f t="shared" si="59"/>
        <v>0</v>
      </c>
      <c r="AE233" s="101" t="s">
        <v>953</v>
      </c>
      <c r="AF233" s="101" t="s">
        <v>1060</v>
      </c>
    </row>
    <row r="234" s="21" customFormat="1" ht="21" customHeight="1" spans="1:32">
      <c r="A234" s="58">
        <v>230</v>
      </c>
      <c r="B234" s="59" t="s">
        <v>1064</v>
      </c>
      <c r="C234" s="60"/>
      <c r="D234" s="59" t="s">
        <v>34</v>
      </c>
      <c r="E234" s="96" t="s">
        <v>1065</v>
      </c>
      <c r="F234" s="59" t="s">
        <v>1066</v>
      </c>
      <c r="G234" s="97">
        <v>1</v>
      </c>
      <c r="H234" s="81" t="s">
        <v>94</v>
      </c>
      <c r="I234" s="81" t="s">
        <v>38</v>
      </c>
      <c r="J234" s="81" t="s">
        <v>39</v>
      </c>
      <c r="K234" s="81" t="s">
        <v>1057</v>
      </c>
      <c r="L234" s="82" t="s">
        <v>56</v>
      </c>
      <c r="M234" s="82" t="s">
        <v>42</v>
      </c>
      <c r="N234" s="64" t="s">
        <v>1058</v>
      </c>
      <c r="O234" s="47" t="s">
        <v>44</v>
      </c>
      <c r="P234" s="84">
        <v>45361</v>
      </c>
      <c r="Q234" s="85" t="s">
        <v>128</v>
      </c>
      <c r="R234" s="85" t="s">
        <v>66</v>
      </c>
      <c r="S234" s="127" t="s">
        <v>67</v>
      </c>
      <c r="T234" s="86">
        <v>45427</v>
      </c>
      <c r="U234" s="87">
        <v>45428</v>
      </c>
      <c r="V234" s="87">
        <v>45434</v>
      </c>
      <c r="W234" s="87">
        <v>45438</v>
      </c>
      <c r="X234" s="60"/>
      <c r="Y234" s="70" t="s">
        <v>929</v>
      </c>
      <c r="Z234" s="71" t="s">
        <v>1066</v>
      </c>
      <c r="AA234" s="71">
        <v>127</v>
      </c>
      <c r="AB234" s="89" t="s">
        <v>49</v>
      </c>
      <c r="AC234" s="73">
        <f t="shared" si="58"/>
        <v>1</v>
      </c>
      <c r="AD234" s="73">
        <f t="shared" si="59"/>
        <v>0</v>
      </c>
      <c r="AE234" s="101" t="s">
        <v>953</v>
      </c>
      <c r="AF234" s="101" t="s">
        <v>1060</v>
      </c>
    </row>
    <row r="235" s="21" customFormat="1" ht="21" customHeight="1" spans="1:32">
      <c r="A235" s="58">
        <v>231</v>
      </c>
      <c r="B235" s="59" t="s">
        <v>1067</v>
      </c>
      <c r="C235" s="60"/>
      <c r="D235" s="59" t="s">
        <v>34</v>
      </c>
      <c r="E235" s="96" t="s">
        <v>1068</v>
      </c>
      <c r="F235" s="59" t="s">
        <v>1069</v>
      </c>
      <c r="G235" s="97">
        <v>1</v>
      </c>
      <c r="H235" s="81" t="s">
        <v>94</v>
      </c>
      <c r="I235" s="81" t="s">
        <v>38</v>
      </c>
      <c r="J235" s="81" t="s">
        <v>39</v>
      </c>
      <c r="K235" s="81" t="s">
        <v>1057</v>
      </c>
      <c r="L235" s="82" t="s">
        <v>56</v>
      </c>
      <c r="M235" s="82" t="s">
        <v>42</v>
      </c>
      <c r="N235" s="64" t="s">
        <v>1058</v>
      </c>
      <c r="O235" s="47" t="s">
        <v>44</v>
      </c>
      <c r="P235" s="84">
        <v>45361</v>
      </c>
      <c r="Q235" s="85" t="s">
        <v>128</v>
      </c>
      <c r="R235" s="85" t="s">
        <v>66</v>
      </c>
      <c r="S235" s="127" t="s">
        <v>67</v>
      </c>
      <c r="T235" s="86">
        <v>45427</v>
      </c>
      <c r="U235" s="87">
        <v>45428</v>
      </c>
      <c r="V235" s="87">
        <v>45434</v>
      </c>
      <c r="W235" s="87">
        <v>45438</v>
      </c>
      <c r="X235" s="60"/>
      <c r="Y235" s="70" t="s">
        <v>929</v>
      </c>
      <c r="Z235" s="71" t="s">
        <v>1069</v>
      </c>
      <c r="AA235" s="71">
        <v>128</v>
      </c>
      <c r="AB235" s="89" t="s">
        <v>49</v>
      </c>
      <c r="AC235" s="73">
        <f t="shared" si="58"/>
        <v>1</v>
      </c>
      <c r="AD235" s="73">
        <f t="shared" si="59"/>
        <v>0</v>
      </c>
      <c r="AE235" s="101" t="s">
        <v>953</v>
      </c>
      <c r="AF235" s="101" t="s">
        <v>1060</v>
      </c>
    </row>
    <row r="236" s="21" customFormat="1" ht="21" customHeight="1" spans="1:32">
      <c r="A236" s="58">
        <v>232</v>
      </c>
      <c r="B236" s="59" t="s">
        <v>1070</v>
      </c>
      <c r="C236" s="60"/>
      <c r="D236" s="59" t="s">
        <v>34</v>
      </c>
      <c r="E236" s="59" t="s">
        <v>1071</v>
      </c>
      <c r="F236" s="59" t="s">
        <v>1072</v>
      </c>
      <c r="G236" s="97">
        <v>1</v>
      </c>
      <c r="H236" s="81" t="s">
        <v>94</v>
      </c>
      <c r="I236" s="81" t="s">
        <v>38</v>
      </c>
      <c r="J236" s="81" t="s">
        <v>39</v>
      </c>
      <c r="K236" s="81" t="s">
        <v>1057</v>
      </c>
      <c r="L236" s="82" t="s">
        <v>56</v>
      </c>
      <c r="M236" s="82" t="s">
        <v>42</v>
      </c>
      <c r="N236" s="64" t="s">
        <v>1058</v>
      </c>
      <c r="O236" s="47" t="s">
        <v>44</v>
      </c>
      <c r="P236" s="84">
        <v>45361</v>
      </c>
      <c r="Q236" s="85" t="s">
        <v>128</v>
      </c>
      <c r="R236" s="85" t="s">
        <v>66</v>
      </c>
      <c r="S236" s="127" t="s">
        <v>67</v>
      </c>
      <c r="T236" s="86">
        <v>45427</v>
      </c>
      <c r="U236" s="87">
        <v>45428</v>
      </c>
      <c r="V236" s="87">
        <v>45434</v>
      </c>
      <c r="W236" s="87">
        <v>45438</v>
      </c>
      <c r="X236" s="60"/>
      <c r="Y236" s="70" t="s">
        <v>929</v>
      </c>
      <c r="Z236" s="71" t="s">
        <v>1072</v>
      </c>
      <c r="AA236" s="71">
        <v>129</v>
      </c>
      <c r="AB236" s="89" t="s">
        <v>49</v>
      </c>
      <c r="AC236" s="73">
        <f t="shared" si="58"/>
        <v>1</v>
      </c>
      <c r="AD236" s="73">
        <f t="shared" si="59"/>
        <v>0</v>
      </c>
      <c r="AE236" s="101" t="s">
        <v>953</v>
      </c>
      <c r="AF236" s="101" t="s">
        <v>1060</v>
      </c>
    </row>
    <row r="237" s="21" customFormat="1" ht="21" customHeight="1" spans="1:32">
      <c r="A237" s="58">
        <v>233</v>
      </c>
      <c r="B237" s="59" t="s">
        <v>1073</v>
      </c>
      <c r="C237" s="60"/>
      <c r="D237" s="59" t="s">
        <v>34</v>
      </c>
      <c r="E237" s="96" t="s">
        <v>1074</v>
      </c>
      <c r="F237" s="59" t="s">
        <v>1075</v>
      </c>
      <c r="G237" s="97">
        <v>1</v>
      </c>
      <c r="H237" s="81" t="s">
        <v>94</v>
      </c>
      <c r="I237" s="81" t="s">
        <v>38</v>
      </c>
      <c r="J237" s="81" t="s">
        <v>39</v>
      </c>
      <c r="K237" s="81" t="s">
        <v>1057</v>
      </c>
      <c r="L237" s="82" t="s">
        <v>56</v>
      </c>
      <c r="M237" s="82" t="s">
        <v>42</v>
      </c>
      <c r="N237" s="64" t="s">
        <v>1058</v>
      </c>
      <c r="O237" s="47" t="s">
        <v>44</v>
      </c>
      <c r="P237" s="84">
        <v>45366</v>
      </c>
      <c r="Q237" s="85" t="s">
        <v>128</v>
      </c>
      <c r="R237" s="99" t="s">
        <v>46</v>
      </c>
      <c r="S237" s="127" t="s">
        <v>147</v>
      </c>
      <c r="T237" s="87">
        <v>45394</v>
      </c>
      <c r="U237" s="87">
        <f>T237+7</f>
        <v>45401</v>
      </c>
      <c r="V237" s="87">
        <v>45412</v>
      </c>
      <c r="W237" s="87">
        <f>V237+7</f>
        <v>45419</v>
      </c>
      <c r="X237" s="60"/>
      <c r="Y237" s="315" t="s">
        <v>79</v>
      </c>
      <c r="Z237" s="71" t="s">
        <v>1075</v>
      </c>
      <c r="AA237" s="71">
        <v>130</v>
      </c>
      <c r="AB237" s="89" t="s">
        <v>49</v>
      </c>
      <c r="AC237" s="73">
        <f t="shared" ref="AC237:AC242" si="60">G237</f>
        <v>1</v>
      </c>
      <c r="AD237" s="73">
        <f t="shared" ref="AD237:AD242" si="61">G237-AC237</f>
        <v>0</v>
      </c>
      <c r="AE237" s="101" t="s">
        <v>80</v>
      </c>
      <c r="AF237" s="101" t="s">
        <v>1076</v>
      </c>
    </row>
    <row r="238" s="21" customFormat="1" ht="21" customHeight="1" spans="1:32">
      <c r="A238" s="58">
        <v>234</v>
      </c>
      <c r="B238" s="59" t="s">
        <v>1077</v>
      </c>
      <c r="C238" s="60"/>
      <c r="D238" s="59" t="s">
        <v>34</v>
      </c>
      <c r="E238" s="96" t="s">
        <v>1078</v>
      </c>
      <c r="F238" s="59" t="s">
        <v>1079</v>
      </c>
      <c r="G238" s="97">
        <v>1</v>
      </c>
      <c r="H238" s="81" t="s">
        <v>94</v>
      </c>
      <c r="I238" s="81" t="s">
        <v>38</v>
      </c>
      <c r="J238" s="81" t="s">
        <v>39</v>
      </c>
      <c r="K238" s="81" t="s">
        <v>1057</v>
      </c>
      <c r="L238" s="82" t="s">
        <v>56</v>
      </c>
      <c r="M238" s="82" t="s">
        <v>42</v>
      </c>
      <c r="N238" s="64" t="s">
        <v>1058</v>
      </c>
      <c r="O238" s="47" t="s">
        <v>44</v>
      </c>
      <c r="P238" s="84">
        <v>45366</v>
      </c>
      <c r="Q238" s="85" t="s">
        <v>128</v>
      </c>
      <c r="R238" s="99" t="s">
        <v>46</v>
      </c>
      <c r="S238" s="127" t="s">
        <v>147</v>
      </c>
      <c r="T238" s="87">
        <v>45394</v>
      </c>
      <c r="U238" s="87">
        <f>T238+7</f>
        <v>45401</v>
      </c>
      <c r="V238" s="87">
        <v>45412</v>
      </c>
      <c r="W238" s="87">
        <f>V238+7</f>
        <v>45419</v>
      </c>
      <c r="X238" s="60"/>
      <c r="Y238" s="315" t="s">
        <v>79</v>
      </c>
      <c r="Z238" s="71" t="s">
        <v>1080</v>
      </c>
      <c r="AA238" s="71">
        <v>131</v>
      </c>
      <c r="AB238" s="89" t="s">
        <v>49</v>
      </c>
      <c r="AC238" s="73">
        <f t="shared" si="60"/>
        <v>1</v>
      </c>
      <c r="AD238" s="73">
        <f t="shared" si="61"/>
        <v>0</v>
      </c>
      <c r="AE238" s="101" t="s">
        <v>80</v>
      </c>
      <c r="AF238" s="101" t="s">
        <v>1076</v>
      </c>
    </row>
    <row r="239" s="21" customFormat="1" ht="15" customHeight="1" spans="1:32">
      <c r="A239" s="58">
        <v>235</v>
      </c>
      <c r="B239" s="59" t="s">
        <v>1081</v>
      </c>
      <c r="C239" s="59" t="s">
        <v>1082</v>
      </c>
      <c r="D239" s="59" t="s">
        <v>487</v>
      </c>
      <c r="E239" s="96" t="s">
        <v>1083</v>
      </c>
      <c r="F239" s="59" t="s">
        <v>1084</v>
      </c>
      <c r="G239" s="97">
        <v>4</v>
      </c>
      <c r="H239" s="81" t="s">
        <v>94</v>
      </c>
      <c r="I239" s="81" t="s">
        <v>38</v>
      </c>
      <c r="J239" s="81" t="s">
        <v>39</v>
      </c>
      <c r="K239" s="81" t="s">
        <v>1057</v>
      </c>
      <c r="L239" s="82" t="s">
        <v>56</v>
      </c>
      <c r="M239" s="82" t="s">
        <v>42</v>
      </c>
      <c r="N239" s="64" t="s">
        <v>1058</v>
      </c>
      <c r="O239" s="47" t="s">
        <v>44</v>
      </c>
      <c r="P239" s="84">
        <v>45392</v>
      </c>
      <c r="Q239" s="131" t="s">
        <v>128</v>
      </c>
      <c r="R239" s="85" t="s">
        <v>66</v>
      </c>
      <c r="S239" s="127" t="s">
        <v>67</v>
      </c>
      <c r="T239" s="86">
        <v>45427</v>
      </c>
      <c r="U239" s="87">
        <v>45428</v>
      </c>
      <c r="V239" s="87">
        <v>45434</v>
      </c>
      <c r="W239" s="87">
        <v>45438</v>
      </c>
      <c r="X239" s="60"/>
      <c r="Y239" s="70" t="s">
        <v>929</v>
      </c>
      <c r="Z239" s="71" t="s">
        <v>1084</v>
      </c>
      <c r="AA239" s="71">
        <v>229</v>
      </c>
      <c r="AB239" s="89" t="s">
        <v>49</v>
      </c>
      <c r="AC239" s="73">
        <f t="shared" si="60"/>
        <v>4</v>
      </c>
      <c r="AD239" s="73">
        <f t="shared" si="61"/>
        <v>0</v>
      </c>
      <c r="AE239" s="101" t="s">
        <v>953</v>
      </c>
      <c r="AF239" s="101" t="s">
        <v>1060</v>
      </c>
    </row>
    <row r="240" s="21" customFormat="1" ht="15" customHeight="1" spans="1:32">
      <c r="A240" s="58">
        <v>236</v>
      </c>
      <c r="B240" s="59" t="s">
        <v>1085</v>
      </c>
      <c r="C240" s="59" t="s">
        <v>1086</v>
      </c>
      <c r="D240" s="59" t="s">
        <v>487</v>
      </c>
      <c r="E240" s="96" t="s">
        <v>1087</v>
      </c>
      <c r="F240" s="59" t="s">
        <v>1088</v>
      </c>
      <c r="G240" s="97">
        <v>4</v>
      </c>
      <c r="H240" s="81" t="s">
        <v>94</v>
      </c>
      <c r="I240" s="81" t="s">
        <v>38</v>
      </c>
      <c r="J240" s="81" t="s">
        <v>39</v>
      </c>
      <c r="K240" s="81" t="s">
        <v>1057</v>
      </c>
      <c r="L240" s="82" t="s">
        <v>56</v>
      </c>
      <c r="M240" s="82" t="s">
        <v>42</v>
      </c>
      <c r="N240" s="64" t="s">
        <v>1058</v>
      </c>
      <c r="O240" s="47" t="s">
        <v>44</v>
      </c>
      <c r="P240" s="84">
        <v>45392</v>
      </c>
      <c r="Q240" s="131" t="s">
        <v>128</v>
      </c>
      <c r="R240" s="85" t="s">
        <v>66</v>
      </c>
      <c r="S240" s="127" t="s">
        <v>67</v>
      </c>
      <c r="T240" s="86">
        <v>45427</v>
      </c>
      <c r="U240" s="87">
        <v>45428</v>
      </c>
      <c r="V240" s="87">
        <v>45434</v>
      </c>
      <c r="W240" s="87">
        <v>45438</v>
      </c>
      <c r="X240" s="60"/>
      <c r="Y240" s="70" t="s">
        <v>929</v>
      </c>
      <c r="Z240" s="71" t="s">
        <v>1088</v>
      </c>
      <c r="AA240" s="71">
        <v>228</v>
      </c>
      <c r="AB240" s="89" t="s">
        <v>49</v>
      </c>
      <c r="AC240" s="73">
        <f t="shared" si="60"/>
        <v>4</v>
      </c>
      <c r="AD240" s="73">
        <f t="shared" si="61"/>
        <v>0</v>
      </c>
      <c r="AE240" s="101" t="s">
        <v>953</v>
      </c>
      <c r="AF240" s="101" t="s">
        <v>1060</v>
      </c>
    </row>
    <row r="241" s="21" customFormat="1" ht="15" customHeight="1" spans="1:32">
      <c r="A241" s="58">
        <v>237</v>
      </c>
      <c r="B241" s="59" t="s">
        <v>1089</v>
      </c>
      <c r="C241" s="59" t="s">
        <v>1090</v>
      </c>
      <c r="D241" s="59" t="s">
        <v>487</v>
      </c>
      <c r="E241" s="96" t="s">
        <v>1091</v>
      </c>
      <c r="F241" s="59" t="s">
        <v>1092</v>
      </c>
      <c r="G241" s="97">
        <v>4</v>
      </c>
      <c r="H241" s="81" t="s">
        <v>94</v>
      </c>
      <c r="I241" s="81" t="s">
        <v>38</v>
      </c>
      <c r="J241" s="81" t="s">
        <v>39</v>
      </c>
      <c r="K241" s="81" t="s">
        <v>1057</v>
      </c>
      <c r="L241" s="82" t="s">
        <v>56</v>
      </c>
      <c r="M241" s="82" t="s">
        <v>42</v>
      </c>
      <c r="N241" s="64" t="s">
        <v>1058</v>
      </c>
      <c r="O241" s="47" t="s">
        <v>44</v>
      </c>
      <c r="P241" s="84">
        <v>45392</v>
      </c>
      <c r="Q241" s="131" t="s">
        <v>128</v>
      </c>
      <c r="R241" s="85" t="s">
        <v>66</v>
      </c>
      <c r="S241" s="127" t="s">
        <v>67</v>
      </c>
      <c r="T241" s="86">
        <v>45427</v>
      </c>
      <c r="U241" s="87">
        <v>45428</v>
      </c>
      <c r="V241" s="87">
        <v>45434</v>
      </c>
      <c r="W241" s="87">
        <v>45438</v>
      </c>
      <c r="X241" s="60"/>
      <c r="Y241" s="70" t="s">
        <v>929</v>
      </c>
      <c r="Z241" s="71" t="s">
        <v>1092</v>
      </c>
      <c r="AA241" s="71">
        <v>227</v>
      </c>
      <c r="AB241" s="89" t="s">
        <v>49</v>
      </c>
      <c r="AC241" s="73">
        <f t="shared" si="60"/>
        <v>4</v>
      </c>
      <c r="AD241" s="73">
        <f t="shared" si="61"/>
        <v>0</v>
      </c>
      <c r="AE241" s="101" t="s">
        <v>953</v>
      </c>
      <c r="AF241" s="101" t="s">
        <v>1060</v>
      </c>
    </row>
    <row r="242" s="21" customFormat="1" ht="15" customHeight="1" spans="1:32">
      <c r="A242" s="58">
        <v>238</v>
      </c>
      <c r="B242" s="59" t="s">
        <v>1093</v>
      </c>
      <c r="C242" s="59" t="s">
        <v>1094</v>
      </c>
      <c r="D242" s="59" t="s">
        <v>487</v>
      </c>
      <c r="E242" s="96" t="s">
        <v>1095</v>
      </c>
      <c r="F242" s="59" t="s">
        <v>1096</v>
      </c>
      <c r="G242" s="97">
        <v>4</v>
      </c>
      <c r="H242" s="81" t="s">
        <v>94</v>
      </c>
      <c r="I242" s="81" t="s">
        <v>38</v>
      </c>
      <c r="J242" s="81" t="s">
        <v>39</v>
      </c>
      <c r="K242" s="81" t="s">
        <v>1057</v>
      </c>
      <c r="L242" s="82" t="s">
        <v>56</v>
      </c>
      <c r="M242" s="82" t="s">
        <v>42</v>
      </c>
      <c r="N242" s="64" t="s">
        <v>1058</v>
      </c>
      <c r="O242" s="47" t="s">
        <v>44</v>
      </c>
      <c r="P242" s="84">
        <v>45392</v>
      </c>
      <c r="Q242" s="131" t="s">
        <v>128</v>
      </c>
      <c r="R242" s="85" t="s">
        <v>66</v>
      </c>
      <c r="S242" s="127" t="s">
        <v>67</v>
      </c>
      <c r="T242" s="86">
        <v>45427</v>
      </c>
      <c r="U242" s="87">
        <v>45428</v>
      </c>
      <c r="V242" s="87">
        <v>45434</v>
      </c>
      <c r="W242" s="87">
        <v>45438</v>
      </c>
      <c r="X242" s="60"/>
      <c r="Y242" s="70" t="s">
        <v>929</v>
      </c>
      <c r="Z242" s="71" t="s">
        <v>1097</v>
      </c>
      <c r="AA242" s="71">
        <v>226</v>
      </c>
      <c r="AB242" s="89" t="s">
        <v>49</v>
      </c>
      <c r="AC242" s="73">
        <f t="shared" si="60"/>
        <v>4</v>
      </c>
      <c r="AD242" s="73">
        <f t="shared" si="61"/>
        <v>0</v>
      </c>
      <c r="AE242" s="101" t="s">
        <v>953</v>
      </c>
      <c r="AF242" s="101" t="s">
        <v>1060</v>
      </c>
    </row>
    <row r="243" s="21" customFormat="1" ht="21" customHeight="1" spans="1:32">
      <c r="A243" s="58">
        <v>239</v>
      </c>
      <c r="B243" s="59" t="s">
        <v>1098</v>
      </c>
      <c r="C243" s="60"/>
      <c r="D243" s="59" t="s">
        <v>188</v>
      </c>
      <c r="E243" s="96" t="s">
        <v>1099</v>
      </c>
      <c r="F243" s="59" t="s">
        <v>1100</v>
      </c>
      <c r="G243" s="97">
        <v>1</v>
      </c>
      <c r="H243" s="81" t="s">
        <v>94</v>
      </c>
      <c r="I243" s="81" t="s">
        <v>38</v>
      </c>
      <c r="J243" s="81" t="s">
        <v>39</v>
      </c>
      <c r="K243" s="81" t="s">
        <v>1057</v>
      </c>
      <c r="L243" s="82" t="s">
        <v>56</v>
      </c>
      <c r="M243" s="82" t="s">
        <v>42</v>
      </c>
      <c r="N243" s="64" t="s">
        <v>1058</v>
      </c>
      <c r="O243" s="47" t="s">
        <v>44</v>
      </c>
      <c r="P243" s="84">
        <v>45361</v>
      </c>
      <c r="Q243" s="85" t="s">
        <v>128</v>
      </c>
      <c r="R243" s="99" t="s">
        <v>46</v>
      </c>
      <c r="S243" s="127" t="s">
        <v>147</v>
      </c>
      <c r="T243" s="87">
        <v>45394</v>
      </c>
      <c r="U243" s="87">
        <f>T243+7</f>
        <v>45401</v>
      </c>
      <c r="V243" s="87">
        <v>45412</v>
      </c>
      <c r="W243" s="87">
        <f>V243+7</f>
        <v>45419</v>
      </c>
      <c r="X243" s="60"/>
      <c r="Y243" s="315" t="s">
        <v>79</v>
      </c>
      <c r="Z243" s="71" t="s">
        <v>1101</v>
      </c>
      <c r="AA243" s="71">
        <v>265</v>
      </c>
      <c r="AB243" s="89" t="s">
        <v>49</v>
      </c>
      <c r="AC243" s="73">
        <f t="shared" ref="AC243:AC256" si="62">G243</f>
        <v>1</v>
      </c>
      <c r="AD243" s="73">
        <f t="shared" ref="AD243:AD256" si="63">G243-AC243</f>
        <v>0</v>
      </c>
      <c r="AE243" s="101" t="s">
        <v>80</v>
      </c>
      <c r="AF243" s="101" t="s">
        <v>1076</v>
      </c>
    </row>
    <row r="244" s="21" customFormat="1" ht="21" customHeight="1" spans="1:32">
      <c r="A244" s="58">
        <v>240</v>
      </c>
      <c r="B244" s="59" t="s">
        <v>1102</v>
      </c>
      <c r="C244" s="60"/>
      <c r="D244" s="59" t="s">
        <v>188</v>
      </c>
      <c r="E244" s="96" t="s">
        <v>1103</v>
      </c>
      <c r="F244" s="59" t="s">
        <v>1104</v>
      </c>
      <c r="G244" s="97">
        <v>1</v>
      </c>
      <c r="H244" s="81" t="s">
        <v>94</v>
      </c>
      <c r="I244" s="81" t="s">
        <v>38</v>
      </c>
      <c r="J244" s="81" t="s">
        <v>39</v>
      </c>
      <c r="K244" s="81" t="s">
        <v>1057</v>
      </c>
      <c r="L244" s="82" t="s">
        <v>56</v>
      </c>
      <c r="M244" s="82" t="s">
        <v>42</v>
      </c>
      <c r="N244" s="64" t="s">
        <v>1058</v>
      </c>
      <c r="O244" s="47" t="s">
        <v>44</v>
      </c>
      <c r="P244" s="84">
        <v>45361</v>
      </c>
      <c r="Q244" s="85" t="s">
        <v>128</v>
      </c>
      <c r="R244" s="99" t="s">
        <v>46</v>
      </c>
      <c r="S244" s="127" t="s">
        <v>147</v>
      </c>
      <c r="T244" s="86">
        <v>45413</v>
      </c>
      <c r="U244" s="87">
        <f>T244+7</f>
        <v>45420</v>
      </c>
      <c r="V244" s="87">
        <v>45429</v>
      </c>
      <c r="W244" s="87">
        <v>45432</v>
      </c>
      <c r="X244" s="60"/>
      <c r="Y244" s="315" t="s">
        <v>150</v>
      </c>
      <c r="Z244" s="71" t="s">
        <v>1105</v>
      </c>
      <c r="AA244" s="71">
        <v>266</v>
      </c>
      <c r="AB244" s="89" t="s">
        <v>49</v>
      </c>
      <c r="AC244" s="73">
        <f t="shared" si="62"/>
        <v>1</v>
      </c>
      <c r="AD244" s="73">
        <f t="shared" si="63"/>
        <v>0</v>
      </c>
      <c r="AE244" s="101" t="s">
        <v>151</v>
      </c>
      <c r="AF244" s="74"/>
    </row>
    <row r="245" s="21" customFormat="1" ht="21" customHeight="1" spans="1:32">
      <c r="A245" s="58">
        <v>241</v>
      </c>
      <c r="B245" s="59" t="s">
        <v>1106</v>
      </c>
      <c r="C245" s="60"/>
      <c r="D245" s="59" t="s">
        <v>34</v>
      </c>
      <c r="E245" s="96" t="s">
        <v>1107</v>
      </c>
      <c r="F245" s="59" t="s">
        <v>1108</v>
      </c>
      <c r="G245" s="97">
        <v>1</v>
      </c>
      <c r="H245" s="81" t="s">
        <v>37</v>
      </c>
      <c r="I245" s="81" t="s">
        <v>38</v>
      </c>
      <c r="J245" s="81" t="s">
        <v>39</v>
      </c>
      <c r="K245" s="81" t="s">
        <v>1109</v>
      </c>
      <c r="L245" s="82" t="s">
        <v>77</v>
      </c>
      <c r="M245" s="82" t="s">
        <v>42</v>
      </c>
      <c r="N245" s="64" t="s">
        <v>1110</v>
      </c>
      <c r="O245" s="47" t="s">
        <v>44</v>
      </c>
      <c r="P245" s="84">
        <v>45366</v>
      </c>
      <c r="Q245" s="131" t="s">
        <v>128</v>
      </c>
      <c r="R245" s="85" t="s">
        <v>46</v>
      </c>
      <c r="S245" s="99" t="s">
        <v>47</v>
      </c>
      <c r="T245" s="87">
        <v>45361</v>
      </c>
      <c r="U245" s="87">
        <v>45378</v>
      </c>
      <c r="V245" s="87">
        <v>45388</v>
      </c>
      <c r="W245" s="87">
        <f>V245+7</f>
        <v>45395</v>
      </c>
      <c r="X245" s="60"/>
      <c r="Y245" s="70" t="s">
        <v>125</v>
      </c>
      <c r="Z245" s="71" t="s">
        <v>1111</v>
      </c>
      <c r="AA245" s="71">
        <v>105</v>
      </c>
      <c r="AB245" s="54" t="s">
        <v>253</v>
      </c>
      <c r="AC245" s="73">
        <v>1</v>
      </c>
      <c r="AD245" s="73">
        <v>0</v>
      </c>
      <c r="AE245" s="101" t="s">
        <v>254</v>
      </c>
      <c r="AF245" s="101" t="s">
        <v>1112</v>
      </c>
    </row>
    <row r="246" s="21" customFormat="1" ht="15" customHeight="1" spans="1:32">
      <c r="A246" s="58">
        <v>242</v>
      </c>
      <c r="B246" s="59" t="s">
        <v>1113</v>
      </c>
      <c r="C246" s="59" t="s">
        <v>1114</v>
      </c>
      <c r="D246" s="59" t="s">
        <v>487</v>
      </c>
      <c r="E246" s="96" t="s">
        <v>1115</v>
      </c>
      <c r="F246" s="59" t="s">
        <v>1116</v>
      </c>
      <c r="G246" s="97">
        <v>2</v>
      </c>
      <c r="H246" s="81" t="s">
        <v>94</v>
      </c>
      <c r="I246" s="81" t="s">
        <v>38</v>
      </c>
      <c r="J246" s="81" t="s">
        <v>39</v>
      </c>
      <c r="K246" s="81" t="s">
        <v>1117</v>
      </c>
      <c r="L246" s="82" t="s">
        <v>56</v>
      </c>
      <c r="M246" s="82" t="s">
        <v>179</v>
      </c>
      <c r="N246" s="64" t="s">
        <v>1118</v>
      </c>
      <c r="O246" s="47" t="s">
        <v>44</v>
      </c>
      <c r="P246" s="84">
        <v>45442</v>
      </c>
      <c r="Q246" s="131" t="s">
        <v>128</v>
      </c>
      <c r="R246" s="99" t="s">
        <v>46</v>
      </c>
      <c r="S246" s="99" t="s">
        <v>47</v>
      </c>
      <c r="T246" s="87">
        <v>45413</v>
      </c>
      <c r="U246" s="87">
        <f t="shared" ref="U246:U255" si="64">T246+7</f>
        <v>45420</v>
      </c>
      <c r="V246" s="87">
        <v>45429</v>
      </c>
      <c r="W246" s="87">
        <v>45432</v>
      </c>
      <c r="X246" s="60"/>
      <c r="Y246" s="315" t="s">
        <v>150</v>
      </c>
      <c r="Z246" s="71" t="s">
        <v>1116</v>
      </c>
      <c r="AA246" s="71">
        <v>161</v>
      </c>
      <c r="AB246" s="89" t="s">
        <v>49</v>
      </c>
      <c r="AC246" s="73">
        <f t="shared" si="62"/>
        <v>2</v>
      </c>
      <c r="AD246" s="73">
        <f t="shared" si="63"/>
        <v>0</v>
      </c>
      <c r="AE246" s="101" t="s">
        <v>151</v>
      </c>
      <c r="AF246" s="101" t="s">
        <v>1119</v>
      </c>
    </row>
    <row r="247" s="21" customFormat="1" ht="11" customHeight="1" spans="1:32">
      <c r="A247" s="58">
        <v>243</v>
      </c>
      <c r="B247" s="59" t="s">
        <v>1120</v>
      </c>
      <c r="C247" s="59" t="s">
        <v>1121</v>
      </c>
      <c r="D247" s="59" t="s">
        <v>487</v>
      </c>
      <c r="E247" s="96" t="s">
        <v>1122</v>
      </c>
      <c r="F247" s="59" t="s">
        <v>1123</v>
      </c>
      <c r="G247" s="97">
        <v>2</v>
      </c>
      <c r="H247" s="81" t="s">
        <v>94</v>
      </c>
      <c r="I247" s="81" t="s">
        <v>38</v>
      </c>
      <c r="J247" s="81" t="s">
        <v>39</v>
      </c>
      <c r="K247" s="81" t="s">
        <v>1117</v>
      </c>
      <c r="L247" s="82" t="s">
        <v>56</v>
      </c>
      <c r="M247" s="82" t="s">
        <v>179</v>
      </c>
      <c r="N247" s="64" t="s">
        <v>1118</v>
      </c>
      <c r="O247" s="47" t="s">
        <v>44</v>
      </c>
      <c r="P247" s="84">
        <v>45442</v>
      </c>
      <c r="Q247" s="131" t="s">
        <v>128</v>
      </c>
      <c r="R247" s="99" t="s">
        <v>46</v>
      </c>
      <c r="S247" s="99" t="s">
        <v>47</v>
      </c>
      <c r="T247" s="87">
        <v>45413</v>
      </c>
      <c r="U247" s="87">
        <f t="shared" si="64"/>
        <v>45420</v>
      </c>
      <c r="V247" s="87">
        <v>45429</v>
      </c>
      <c r="W247" s="87">
        <v>45432</v>
      </c>
      <c r="X247" s="60"/>
      <c r="Y247" s="315" t="s">
        <v>150</v>
      </c>
      <c r="Z247" s="71" t="s">
        <v>1123</v>
      </c>
      <c r="AA247" s="71">
        <v>162</v>
      </c>
      <c r="AB247" s="89" t="s">
        <v>49</v>
      </c>
      <c r="AC247" s="73">
        <f t="shared" si="62"/>
        <v>2</v>
      </c>
      <c r="AD247" s="73">
        <f t="shared" si="63"/>
        <v>0</v>
      </c>
      <c r="AE247" s="101" t="s">
        <v>151</v>
      </c>
      <c r="AF247" s="101" t="s">
        <v>1119</v>
      </c>
    </row>
    <row r="248" s="21" customFormat="1" customHeight="1" spans="1:32">
      <c r="A248" s="58">
        <v>244</v>
      </c>
      <c r="B248" s="59" t="s">
        <v>1124</v>
      </c>
      <c r="C248" s="59" t="s">
        <v>1125</v>
      </c>
      <c r="D248" s="59" t="s">
        <v>487</v>
      </c>
      <c r="E248" s="96" t="s">
        <v>1126</v>
      </c>
      <c r="F248" s="59" t="s">
        <v>1127</v>
      </c>
      <c r="G248" s="97">
        <v>2</v>
      </c>
      <c r="H248" s="81" t="s">
        <v>94</v>
      </c>
      <c r="I248" s="81" t="s">
        <v>38</v>
      </c>
      <c r="J248" s="81" t="s">
        <v>39</v>
      </c>
      <c r="K248" s="81" t="s">
        <v>1117</v>
      </c>
      <c r="L248" s="82" t="s">
        <v>56</v>
      </c>
      <c r="M248" s="82" t="s">
        <v>179</v>
      </c>
      <c r="N248" s="64" t="s">
        <v>1118</v>
      </c>
      <c r="O248" s="47" t="s">
        <v>44</v>
      </c>
      <c r="P248" s="84">
        <v>45442</v>
      </c>
      <c r="Q248" s="131" t="s">
        <v>128</v>
      </c>
      <c r="R248" s="99" t="s">
        <v>46</v>
      </c>
      <c r="S248" s="99" t="s">
        <v>47</v>
      </c>
      <c r="T248" s="87">
        <v>45413</v>
      </c>
      <c r="U248" s="87">
        <f t="shared" si="64"/>
        <v>45420</v>
      </c>
      <c r="V248" s="87">
        <v>45429</v>
      </c>
      <c r="W248" s="87">
        <v>45432</v>
      </c>
      <c r="X248" s="60"/>
      <c r="Y248" s="315" t="s">
        <v>150</v>
      </c>
      <c r="Z248" s="71" t="s">
        <v>1127</v>
      </c>
      <c r="AA248" s="71">
        <v>163</v>
      </c>
      <c r="AB248" s="89" t="s">
        <v>49</v>
      </c>
      <c r="AC248" s="73">
        <f t="shared" si="62"/>
        <v>2</v>
      </c>
      <c r="AD248" s="73">
        <f t="shared" si="63"/>
        <v>0</v>
      </c>
      <c r="AE248" s="101" t="s">
        <v>151</v>
      </c>
      <c r="AF248" s="101" t="s">
        <v>1119</v>
      </c>
    </row>
    <row r="249" s="21" customFormat="1" ht="16" customHeight="1" spans="1:32">
      <c r="A249" s="58">
        <v>245</v>
      </c>
      <c r="B249" s="59" t="s">
        <v>1128</v>
      </c>
      <c r="C249" s="59" t="s">
        <v>1129</v>
      </c>
      <c r="D249" s="59" t="s">
        <v>487</v>
      </c>
      <c r="E249" s="96" t="s">
        <v>1130</v>
      </c>
      <c r="F249" s="59" t="s">
        <v>1131</v>
      </c>
      <c r="G249" s="97">
        <v>2</v>
      </c>
      <c r="H249" s="81" t="s">
        <v>94</v>
      </c>
      <c r="I249" s="81" t="s">
        <v>38</v>
      </c>
      <c r="J249" s="81" t="s">
        <v>39</v>
      </c>
      <c r="K249" s="81" t="s">
        <v>1117</v>
      </c>
      <c r="L249" s="82" t="s">
        <v>56</v>
      </c>
      <c r="M249" s="82" t="s">
        <v>179</v>
      </c>
      <c r="N249" s="64" t="s">
        <v>1118</v>
      </c>
      <c r="O249" s="47" t="s">
        <v>44</v>
      </c>
      <c r="P249" s="84">
        <v>45442</v>
      </c>
      <c r="Q249" s="131" t="s">
        <v>128</v>
      </c>
      <c r="R249" s="99" t="s">
        <v>46</v>
      </c>
      <c r="S249" s="99" t="s">
        <v>47</v>
      </c>
      <c r="T249" s="87">
        <v>45413</v>
      </c>
      <c r="U249" s="87">
        <f t="shared" si="64"/>
        <v>45420</v>
      </c>
      <c r="V249" s="87">
        <v>45429</v>
      </c>
      <c r="W249" s="87">
        <v>45432</v>
      </c>
      <c r="X249" s="60"/>
      <c r="Y249" s="315" t="s">
        <v>150</v>
      </c>
      <c r="Z249" s="71" t="s">
        <v>1132</v>
      </c>
      <c r="AA249" s="71">
        <v>165</v>
      </c>
      <c r="AB249" s="89" t="s">
        <v>49</v>
      </c>
      <c r="AC249" s="73">
        <f t="shared" si="62"/>
        <v>2</v>
      </c>
      <c r="AD249" s="73">
        <f t="shared" si="63"/>
        <v>0</v>
      </c>
      <c r="AE249" s="101" t="s">
        <v>151</v>
      </c>
      <c r="AF249" s="101" t="s">
        <v>1119</v>
      </c>
    </row>
    <row r="250" s="21" customFormat="1" ht="19" customHeight="1" spans="1:32">
      <c r="A250" s="58">
        <v>246</v>
      </c>
      <c r="B250" s="59" t="s">
        <v>1133</v>
      </c>
      <c r="C250" s="59" t="s">
        <v>1134</v>
      </c>
      <c r="D250" s="59" t="s">
        <v>487</v>
      </c>
      <c r="E250" s="96" t="s">
        <v>1135</v>
      </c>
      <c r="F250" s="59" t="s">
        <v>1131</v>
      </c>
      <c r="G250" s="97">
        <v>2</v>
      </c>
      <c r="H250" s="81" t="s">
        <v>94</v>
      </c>
      <c r="I250" s="81" t="s">
        <v>38</v>
      </c>
      <c r="J250" s="81" t="s">
        <v>39</v>
      </c>
      <c r="K250" s="81" t="s">
        <v>1117</v>
      </c>
      <c r="L250" s="82" t="s">
        <v>56</v>
      </c>
      <c r="M250" s="82" t="s">
        <v>179</v>
      </c>
      <c r="N250" s="64" t="s">
        <v>1118</v>
      </c>
      <c r="O250" s="47" t="s">
        <v>44</v>
      </c>
      <c r="P250" s="84">
        <v>45442</v>
      </c>
      <c r="Q250" s="131" t="s">
        <v>128</v>
      </c>
      <c r="R250" s="99" t="s">
        <v>46</v>
      </c>
      <c r="S250" s="99" t="s">
        <v>47</v>
      </c>
      <c r="T250" s="87">
        <v>45413</v>
      </c>
      <c r="U250" s="87">
        <f t="shared" si="64"/>
        <v>45420</v>
      </c>
      <c r="V250" s="87">
        <v>45429</v>
      </c>
      <c r="W250" s="87">
        <v>45432</v>
      </c>
      <c r="X250" s="60"/>
      <c r="Y250" s="315" t="s">
        <v>150</v>
      </c>
      <c r="Z250" s="71" t="s">
        <v>1132</v>
      </c>
      <c r="AA250" s="71">
        <v>168</v>
      </c>
      <c r="AB250" s="89" t="s">
        <v>49</v>
      </c>
      <c r="AC250" s="73">
        <f t="shared" si="62"/>
        <v>2</v>
      </c>
      <c r="AD250" s="73">
        <f t="shared" si="63"/>
        <v>0</v>
      </c>
      <c r="AE250" s="101" t="s">
        <v>151</v>
      </c>
      <c r="AF250" s="101" t="s">
        <v>1119</v>
      </c>
    </row>
    <row r="251" s="21" customFormat="1" ht="16" customHeight="1" spans="1:32">
      <c r="A251" s="58">
        <v>247</v>
      </c>
      <c r="B251" s="59" t="s">
        <v>1136</v>
      </c>
      <c r="C251" s="59" t="s">
        <v>1137</v>
      </c>
      <c r="D251" s="59" t="s">
        <v>487</v>
      </c>
      <c r="E251" s="96" t="s">
        <v>1138</v>
      </c>
      <c r="F251" s="59" t="s">
        <v>1131</v>
      </c>
      <c r="G251" s="97">
        <v>2</v>
      </c>
      <c r="H251" s="81" t="s">
        <v>94</v>
      </c>
      <c r="I251" s="81" t="s">
        <v>38</v>
      </c>
      <c r="J251" s="81" t="s">
        <v>39</v>
      </c>
      <c r="K251" s="81" t="s">
        <v>1117</v>
      </c>
      <c r="L251" s="82" t="s">
        <v>56</v>
      </c>
      <c r="M251" s="82" t="s">
        <v>179</v>
      </c>
      <c r="N251" s="64" t="s">
        <v>1118</v>
      </c>
      <c r="O251" s="47" t="s">
        <v>44</v>
      </c>
      <c r="P251" s="84">
        <v>45442</v>
      </c>
      <c r="Q251" s="131" t="s">
        <v>128</v>
      </c>
      <c r="R251" s="99" t="s">
        <v>46</v>
      </c>
      <c r="S251" s="99" t="s">
        <v>47</v>
      </c>
      <c r="T251" s="87">
        <v>45413</v>
      </c>
      <c r="U251" s="87">
        <f t="shared" si="64"/>
        <v>45420</v>
      </c>
      <c r="V251" s="87">
        <v>45429</v>
      </c>
      <c r="W251" s="87">
        <v>45432</v>
      </c>
      <c r="X251" s="60"/>
      <c r="Y251" s="315" t="s">
        <v>150</v>
      </c>
      <c r="Z251" s="71" t="s">
        <v>1132</v>
      </c>
      <c r="AA251" s="71">
        <v>170</v>
      </c>
      <c r="AB251" s="89" t="s">
        <v>49</v>
      </c>
      <c r="AC251" s="73">
        <f t="shared" si="62"/>
        <v>2</v>
      </c>
      <c r="AD251" s="73">
        <f t="shared" si="63"/>
        <v>0</v>
      </c>
      <c r="AE251" s="101" t="s">
        <v>151</v>
      </c>
      <c r="AF251" s="101" t="s">
        <v>1119</v>
      </c>
    </row>
    <row r="252" s="21" customFormat="1" ht="13" customHeight="1" spans="1:32">
      <c r="A252" s="58">
        <v>248</v>
      </c>
      <c r="B252" s="59" t="s">
        <v>1139</v>
      </c>
      <c r="C252" s="59" t="s">
        <v>1140</v>
      </c>
      <c r="D252" s="59" t="s">
        <v>487</v>
      </c>
      <c r="E252" s="96" t="s">
        <v>1141</v>
      </c>
      <c r="F252" s="59" t="s">
        <v>1142</v>
      </c>
      <c r="G252" s="97">
        <v>2</v>
      </c>
      <c r="H252" s="81" t="s">
        <v>94</v>
      </c>
      <c r="I252" s="81" t="s">
        <v>38</v>
      </c>
      <c r="J252" s="81" t="s">
        <v>39</v>
      </c>
      <c r="K252" s="81" t="s">
        <v>1117</v>
      </c>
      <c r="L252" s="82" t="s">
        <v>56</v>
      </c>
      <c r="M252" s="82" t="s">
        <v>179</v>
      </c>
      <c r="N252" s="64" t="s">
        <v>1118</v>
      </c>
      <c r="O252" s="47" t="s">
        <v>44</v>
      </c>
      <c r="P252" s="84">
        <v>45397</v>
      </c>
      <c r="Q252" s="131" t="s">
        <v>128</v>
      </c>
      <c r="R252" s="99" t="s">
        <v>46</v>
      </c>
      <c r="S252" s="127" t="s">
        <v>147</v>
      </c>
      <c r="T252" s="86">
        <v>45413</v>
      </c>
      <c r="U252" s="86">
        <f t="shared" si="64"/>
        <v>45420</v>
      </c>
      <c r="V252" s="86">
        <v>45429</v>
      </c>
      <c r="W252" s="86">
        <v>45432</v>
      </c>
      <c r="X252" s="160"/>
      <c r="Y252" s="315" t="s">
        <v>150</v>
      </c>
      <c r="Z252" s="71" t="s">
        <v>1142</v>
      </c>
      <c r="AA252" s="71">
        <v>177</v>
      </c>
      <c r="AB252" s="89" t="s">
        <v>49</v>
      </c>
      <c r="AC252" s="73">
        <f t="shared" si="62"/>
        <v>2</v>
      </c>
      <c r="AD252" s="73">
        <f t="shared" si="63"/>
        <v>0</v>
      </c>
      <c r="AE252" s="101" t="s">
        <v>151</v>
      </c>
      <c r="AF252" s="101" t="s">
        <v>1119</v>
      </c>
    </row>
    <row r="253" s="21" customFormat="1" ht="15" customHeight="1" spans="1:32">
      <c r="A253" s="58">
        <v>249</v>
      </c>
      <c r="B253" s="59" t="s">
        <v>1143</v>
      </c>
      <c r="C253" s="59" t="s">
        <v>1144</v>
      </c>
      <c r="D253" s="59" t="s">
        <v>487</v>
      </c>
      <c r="E253" s="96" t="s">
        <v>1145</v>
      </c>
      <c r="F253" s="59" t="s">
        <v>1146</v>
      </c>
      <c r="G253" s="97">
        <v>2</v>
      </c>
      <c r="H253" s="81" t="s">
        <v>94</v>
      </c>
      <c r="I253" s="81" t="s">
        <v>38</v>
      </c>
      <c r="J253" s="81" t="s">
        <v>39</v>
      </c>
      <c r="K253" s="81" t="s">
        <v>1117</v>
      </c>
      <c r="L253" s="82" t="s">
        <v>56</v>
      </c>
      <c r="M253" s="82" t="s">
        <v>179</v>
      </c>
      <c r="N253" s="64" t="s">
        <v>1118</v>
      </c>
      <c r="O253" s="47" t="s">
        <v>44</v>
      </c>
      <c r="P253" s="84">
        <v>45397</v>
      </c>
      <c r="Q253" s="131" t="s">
        <v>128</v>
      </c>
      <c r="R253" s="99" t="s">
        <v>46</v>
      </c>
      <c r="S253" s="127" t="s">
        <v>147</v>
      </c>
      <c r="T253" s="86">
        <v>45413</v>
      </c>
      <c r="U253" s="86">
        <f t="shared" si="64"/>
        <v>45420</v>
      </c>
      <c r="V253" s="86">
        <v>45429</v>
      </c>
      <c r="W253" s="86">
        <v>45432</v>
      </c>
      <c r="X253" s="160"/>
      <c r="Y253" s="315" t="s">
        <v>150</v>
      </c>
      <c r="Z253" s="71" t="s">
        <v>1146</v>
      </c>
      <c r="AA253" s="71">
        <v>178</v>
      </c>
      <c r="AB253" s="89" t="s">
        <v>49</v>
      </c>
      <c r="AC253" s="73">
        <f t="shared" si="62"/>
        <v>2</v>
      </c>
      <c r="AD253" s="73">
        <f t="shared" si="63"/>
        <v>0</v>
      </c>
      <c r="AE253" s="101" t="s">
        <v>151</v>
      </c>
      <c r="AF253" s="101" t="s">
        <v>1119</v>
      </c>
    </row>
    <row r="254" s="21" customFormat="1" customHeight="1" spans="1:32">
      <c r="A254" s="58">
        <v>250</v>
      </c>
      <c r="B254" s="59" t="s">
        <v>1147</v>
      </c>
      <c r="C254" s="59" t="s">
        <v>1148</v>
      </c>
      <c r="D254" s="59" t="s">
        <v>487</v>
      </c>
      <c r="E254" s="96" t="s">
        <v>1149</v>
      </c>
      <c r="F254" s="59" t="s">
        <v>1150</v>
      </c>
      <c r="G254" s="97">
        <v>2</v>
      </c>
      <c r="H254" s="81" t="s">
        <v>94</v>
      </c>
      <c r="I254" s="81" t="s">
        <v>38</v>
      </c>
      <c r="J254" s="81" t="s">
        <v>39</v>
      </c>
      <c r="K254" s="81" t="s">
        <v>1117</v>
      </c>
      <c r="L254" s="82" t="s">
        <v>56</v>
      </c>
      <c r="M254" s="82" t="s">
        <v>179</v>
      </c>
      <c r="N254" s="64" t="s">
        <v>1118</v>
      </c>
      <c r="O254" s="47" t="s">
        <v>44</v>
      </c>
      <c r="P254" s="84">
        <v>45397</v>
      </c>
      <c r="Q254" s="131" t="s">
        <v>128</v>
      </c>
      <c r="R254" s="99" t="s">
        <v>46</v>
      </c>
      <c r="S254" s="127" t="s">
        <v>147</v>
      </c>
      <c r="T254" s="86">
        <v>45413</v>
      </c>
      <c r="U254" s="86">
        <f t="shared" si="64"/>
        <v>45420</v>
      </c>
      <c r="V254" s="86">
        <v>45429</v>
      </c>
      <c r="W254" s="86">
        <v>45432</v>
      </c>
      <c r="X254" s="160"/>
      <c r="Y254" s="315" t="s">
        <v>150</v>
      </c>
      <c r="Z254" s="71" t="s">
        <v>1150</v>
      </c>
      <c r="AA254" s="71">
        <v>179</v>
      </c>
      <c r="AB254" s="89" t="s">
        <v>49</v>
      </c>
      <c r="AC254" s="73">
        <f t="shared" si="62"/>
        <v>2</v>
      </c>
      <c r="AD254" s="73">
        <f t="shared" si="63"/>
        <v>0</v>
      </c>
      <c r="AE254" s="101" t="s">
        <v>151</v>
      </c>
      <c r="AF254" s="101" t="s">
        <v>1119</v>
      </c>
    </row>
    <row r="255" s="21" customFormat="1" ht="10" customHeight="1" spans="1:32">
      <c r="A255" s="58">
        <v>251</v>
      </c>
      <c r="B255" s="59" t="s">
        <v>1151</v>
      </c>
      <c r="C255" s="60"/>
      <c r="D255" s="59" t="s">
        <v>487</v>
      </c>
      <c r="E255" s="96" t="s">
        <v>1152</v>
      </c>
      <c r="F255" s="59" t="s">
        <v>1153</v>
      </c>
      <c r="G255" s="97">
        <v>1</v>
      </c>
      <c r="H255" s="81" t="s">
        <v>94</v>
      </c>
      <c r="I255" s="81" t="s">
        <v>38</v>
      </c>
      <c r="J255" s="81" t="s">
        <v>39</v>
      </c>
      <c r="K255" s="81" t="s">
        <v>1117</v>
      </c>
      <c r="L255" s="82" t="s">
        <v>56</v>
      </c>
      <c r="M255" s="82" t="s">
        <v>179</v>
      </c>
      <c r="N255" s="64" t="s">
        <v>1118</v>
      </c>
      <c r="O255" s="47" t="s">
        <v>44</v>
      </c>
      <c r="P255" s="84">
        <v>45442</v>
      </c>
      <c r="Q255" s="131" t="s">
        <v>128</v>
      </c>
      <c r="R255" s="99" t="s">
        <v>46</v>
      </c>
      <c r="S255" s="99" t="s">
        <v>47</v>
      </c>
      <c r="T255" s="87">
        <v>45413</v>
      </c>
      <c r="U255" s="87">
        <f t="shared" si="64"/>
        <v>45420</v>
      </c>
      <c r="V255" s="87">
        <v>45429</v>
      </c>
      <c r="W255" s="87">
        <v>45432</v>
      </c>
      <c r="X255" s="60"/>
      <c r="Y255" s="315" t="s">
        <v>150</v>
      </c>
      <c r="Z255" s="71" t="s">
        <v>1153</v>
      </c>
      <c r="AA255" s="71">
        <v>180</v>
      </c>
      <c r="AB255" s="89" t="s">
        <v>49</v>
      </c>
      <c r="AC255" s="73">
        <f t="shared" si="62"/>
        <v>1</v>
      </c>
      <c r="AD255" s="73">
        <f t="shared" si="63"/>
        <v>0</v>
      </c>
      <c r="AE255" s="101" t="s">
        <v>151</v>
      </c>
      <c r="AF255" s="101" t="s">
        <v>1119</v>
      </c>
    </row>
    <row r="256" s="21" customFormat="1" ht="13" customHeight="1" spans="1:32">
      <c r="A256" s="58">
        <v>252</v>
      </c>
      <c r="B256" s="59" t="s">
        <v>82</v>
      </c>
      <c r="C256" s="60"/>
      <c r="D256" s="59" t="s">
        <v>34</v>
      </c>
      <c r="E256" s="96" t="s">
        <v>1154</v>
      </c>
      <c r="F256" s="59" t="s">
        <v>1155</v>
      </c>
      <c r="G256" s="97">
        <v>1</v>
      </c>
      <c r="H256" s="81" t="s">
        <v>37</v>
      </c>
      <c r="I256" s="81" t="s">
        <v>38</v>
      </c>
      <c r="J256" s="81" t="s">
        <v>39</v>
      </c>
      <c r="K256" s="81" t="s">
        <v>1156</v>
      </c>
      <c r="L256" s="82" t="s">
        <v>1157</v>
      </c>
      <c r="M256" s="82" t="s">
        <v>179</v>
      </c>
      <c r="N256" s="133" t="s">
        <v>1158</v>
      </c>
      <c r="O256" s="98"/>
      <c r="P256" s="84">
        <v>45488</v>
      </c>
      <c r="Q256" s="99" t="s">
        <v>45</v>
      </c>
      <c r="R256" s="99" t="s">
        <v>46</v>
      </c>
      <c r="S256" s="99" t="s">
        <v>87</v>
      </c>
      <c r="T256" s="102">
        <v>45490</v>
      </c>
      <c r="U256" s="87">
        <v>45525</v>
      </c>
      <c r="V256" s="87">
        <f>U256+7</f>
        <v>45532</v>
      </c>
      <c r="W256" s="87">
        <f>V256+3</f>
        <v>45535</v>
      </c>
      <c r="X256" s="60"/>
      <c r="Y256" s="70" t="s">
        <v>88</v>
      </c>
      <c r="Z256" s="71" t="s">
        <v>1159</v>
      </c>
      <c r="AA256" s="71">
        <v>111</v>
      </c>
      <c r="AB256" s="89" t="s">
        <v>49</v>
      </c>
      <c r="AC256" s="73">
        <f t="shared" si="62"/>
        <v>1</v>
      </c>
      <c r="AD256" s="73">
        <f t="shared" si="63"/>
        <v>0</v>
      </c>
      <c r="AE256" s="101" t="s">
        <v>89</v>
      </c>
      <c r="AF256" s="101" t="s">
        <v>1160</v>
      </c>
    </row>
    <row r="257" s="21" customFormat="1" ht="21" customHeight="1" spans="1:32">
      <c r="A257" s="58">
        <v>253</v>
      </c>
      <c r="B257" s="59" t="s">
        <v>1161</v>
      </c>
      <c r="C257" s="60"/>
      <c r="D257" s="59" t="s">
        <v>188</v>
      </c>
      <c r="E257" s="96" t="s">
        <v>1162</v>
      </c>
      <c r="F257" s="59" t="s">
        <v>1163</v>
      </c>
      <c r="G257" s="97">
        <v>1</v>
      </c>
      <c r="H257" s="81" t="s">
        <v>94</v>
      </c>
      <c r="I257" s="81" t="s">
        <v>38</v>
      </c>
      <c r="J257" s="81" t="s">
        <v>39</v>
      </c>
      <c r="K257" s="81" t="s">
        <v>1164</v>
      </c>
      <c r="L257" s="82" t="s">
        <v>1165</v>
      </c>
      <c r="M257" s="82" t="s">
        <v>42</v>
      </c>
      <c r="N257" s="64" t="s">
        <v>1166</v>
      </c>
      <c r="O257" s="47" t="s">
        <v>44</v>
      </c>
      <c r="P257" s="84">
        <v>45361</v>
      </c>
      <c r="Q257" s="131" t="s">
        <v>128</v>
      </c>
      <c r="R257" s="85" t="s">
        <v>46</v>
      </c>
      <c r="S257" s="99" t="s">
        <v>47</v>
      </c>
      <c r="T257" s="87">
        <v>45361</v>
      </c>
      <c r="U257" s="87">
        <v>45378</v>
      </c>
      <c r="V257" s="87">
        <v>45388</v>
      </c>
      <c r="W257" s="87">
        <f t="shared" ref="W257:W266" si="65">V257+7</f>
        <v>45395</v>
      </c>
      <c r="X257" s="60"/>
      <c r="Y257" s="70" t="s">
        <v>125</v>
      </c>
      <c r="Z257" s="71" t="s">
        <v>1163</v>
      </c>
      <c r="AA257" s="71">
        <v>251</v>
      </c>
      <c r="AB257" s="54" t="s">
        <v>253</v>
      </c>
      <c r="AC257" s="73">
        <v>1</v>
      </c>
      <c r="AD257" s="73">
        <v>0</v>
      </c>
      <c r="AE257" s="101" t="s">
        <v>254</v>
      </c>
      <c r="AF257" s="101" t="s">
        <v>1167</v>
      </c>
    </row>
    <row r="258" s="21" customFormat="1" ht="13" customHeight="1" spans="1:32">
      <c r="A258" s="58">
        <v>254</v>
      </c>
      <c r="B258" s="59" t="s">
        <v>1168</v>
      </c>
      <c r="C258" s="60"/>
      <c r="D258" s="59" t="s">
        <v>34</v>
      </c>
      <c r="E258" s="96" t="s">
        <v>1169</v>
      </c>
      <c r="F258" s="59" t="s">
        <v>1170</v>
      </c>
      <c r="G258" s="97">
        <v>1</v>
      </c>
      <c r="H258" s="81" t="s">
        <v>94</v>
      </c>
      <c r="I258" s="81" t="s">
        <v>38</v>
      </c>
      <c r="J258" s="81" t="s">
        <v>39</v>
      </c>
      <c r="K258" s="81" t="s">
        <v>1171</v>
      </c>
      <c r="L258" s="82" t="s">
        <v>1165</v>
      </c>
      <c r="M258" s="82" t="s">
        <v>42</v>
      </c>
      <c r="N258" s="64" t="s">
        <v>1172</v>
      </c>
      <c r="O258" s="47" t="s">
        <v>44</v>
      </c>
      <c r="P258" s="84">
        <v>45412</v>
      </c>
      <c r="Q258" s="131" t="s">
        <v>128</v>
      </c>
      <c r="R258" s="99" t="s">
        <v>46</v>
      </c>
      <c r="S258" s="127" t="s">
        <v>147</v>
      </c>
      <c r="T258" s="87">
        <v>45394</v>
      </c>
      <c r="U258" s="87">
        <f t="shared" ref="U258:U266" si="66">T258+7</f>
        <v>45401</v>
      </c>
      <c r="V258" s="87">
        <v>45412</v>
      </c>
      <c r="W258" s="87">
        <f t="shared" si="65"/>
        <v>45419</v>
      </c>
      <c r="X258" s="60"/>
      <c r="Y258" s="315" t="s">
        <v>79</v>
      </c>
      <c r="Z258" s="71" t="s">
        <v>1170</v>
      </c>
      <c r="AA258" s="71">
        <v>102</v>
      </c>
      <c r="AB258" s="89" t="s">
        <v>49</v>
      </c>
      <c r="AC258" s="73">
        <f t="shared" ref="AC258:AC269" si="67">G258</f>
        <v>1</v>
      </c>
      <c r="AD258" s="73">
        <f t="shared" ref="AD258:AD269" si="68">G258-AC258</f>
        <v>0</v>
      </c>
      <c r="AE258" s="129" t="s">
        <v>138</v>
      </c>
      <c r="AF258" s="101" t="s">
        <v>1173</v>
      </c>
    </row>
    <row r="259" s="21" customFormat="1" ht="11" customHeight="1" spans="1:32">
      <c r="A259" s="58">
        <v>255</v>
      </c>
      <c r="B259" s="59" t="s">
        <v>1174</v>
      </c>
      <c r="C259" s="60"/>
      <c r="D259" s="59" t="s">
        <v>34</v>
      </c>
      <c r="E259" s="96" t="s">
        <v>1175</v>
      </c>
      <c r="F259" s="59" t="s">
        <v>1176</v>
      </c>
      <c r="G259" s="97">
        <v>1</v>
      </c>
      <c r="H259" s="81" t="s">
        <v>94</v>
      </c>
      <c r="I259" s="81" t="s">
        <v>38</v>
      </c>
      <c r="J259" s="81" t="s">
        <v>39</v>
      </c>
      <c r="K259" s="81" t="s">
        <v>1171</v>
      </c>
      <c r="L259" s="82" t="s">
        <v>1165</v>
      </c>
      <c r="M259" s="82" t="s">
        <v>42</v>
      </c>
      <c r="N259" s="64" t="s">
        <v>1172</v>
      </c>
      <c r="O259" s="47" t="s">
        <v>44</v>
      </c>
      <c r="P259" s="84">
        <v>45412</v>
      </c>
      <c r="Q259" s="131" t="s">
        <v>128</v>
      </c>
      <c r="R259" s="99" t="s">
        <v>46</v>
      </c>
      <c r="S259" s="127" t="s">
        <v>147</v>
      </c>
      <c r="T259" s="87">
        <v>45394</v>
      </c>
      <c r="U259" s="87">
        <f t="shared" si="66"/>
        <v>45401</v>
      </c>
      <c r="V259" s="87">
        <v>45412</v>
      </c>
      <c r="W259" s="87">
        <f t="shared" si="65"/>
        <v>45419</v>
      </c>
      <c r="X259" s="60"/>
      <c r="Y259" s="315" t="s">
        <v>79</v>
      </c>
      <c r="Z259" s="117" t="s">
        <v>1176</v>
      </c>
      <c r="AA259" s="117">
        <v>103</v>
      </c>
      <c r="AB259" s="89" t="s">
        <v>49</v>
      </c>
      <c r="AC259" s="73">
        <f t="shared" si="67"/>
        <v>1</v>
      </c>
      <c r="AD259" s="73">
        <f t="shared" si="68"/>
        <v>0</v>
      </c>
      <c r="AE259" s="129" t="s">
        <v>138</v>
      </c>
      <c r="AF259" s="101" t="s">
        <v>1173</v>
      </c>
    </row>
    <row r="260" s="21" customFormat="1" ht="13" customHeight="1" spans="1:32">
      <c r="A260" s="58">
        <v>256</v>
      </c>
      <c r="B260" s="59" t="s">
        <v>1177</v>
      </c>
      <c r="C260" s="59" t="s">
        <v>1178</v>
      </c>
      <c r="D260" s="59" t="s">
        <v>487</v>
      </c>
      <c r="E260" s="96" t="s">
        <v>1169</v>
      </c>
      <c r="F260" s="59" t="s">
        <v>1170</v>
      </c>
      <c r="G260" s="97">
        <v>2</v>
      </c>
      <c r="H260" s="81" t="s">
        <v>94</v>
      </c>
      <c r="I260" s="81" t="s">
        <v>38</v>
      </c>
      <c r="J260" s="81" t="s">
        <v>39</v>
      </c>
      <c r="K260" s="81" t="s">
        <v>1171</v>
      </c>
      <c r="L260" s="82" t="s">
        <v>1165</v>
      </c>
      <c r="M260" s="82" t="s">
        <v>42</v>
      </c>
      <c r="N260" s="64" t="s">
        <v>1172</v>
      </c>
      <c r="O260" s="47" t="s">
        <v>44</v>
      </c>
      <c r="P260" s="84">
        <v>45442</v>
      </c>
      <c r="Q260" s="131" t="s">
        <v>128</v>
      </c>
      <c r="R260" s="99" t="s">
        <v>46</v>
      </c>
      <c r="S260" s="99" t="s">
        <v>47</v>
      </c>
      <c r="T260" s="86">
        <v>45394</v>
      </c>
      <c r="U260" s="86">
        <f t="shared" si="66"/>
        <v>45401</v>
      </c>
      <c r="V260" s="87">
        <v>45412</v>
      </c>
      <c r="W260" s="87">
        <f t="shared" si="65"/>
        <v>45419</v>
      </c>
      <c r="X260" s="160"/>
      <c r="Y260" s="316" t="s">
        <v>79</v>
      </c>
      <c r="Z260" s="161" t="s">
        <v>1170</v>
      </c>
      <c r="AA260" s="117">
        <v>200</v>
      </c>
      <c r="AB260" s="89" t="s">
        <v>49</v>
      </c>
      <c r="AC260" s="73">
        <f t="shared" si="67"/>
        <v>2</v>
      </c>
      <c r="AD260" s="73">
        <f t="shared" si="68"/>
        <v>0</v>
      </c>
      <c r="AE260" s="129" t="s">
        <v>138</v>
      </c>
      <c r="AF260" s="101" t="s">
        <v>1173</v>
      </c>
    </row>
    <row r="261" s="21" customFormat="1" customHeight="1" spans="1:32">
      <c r="A261" s="58">
        <v>257</v>
      </c>
      <c r="B261" s="59" t="s">
        <v>1179</v>
      </c>
      <c r="C261" s="59" t="s">
        <v>1180</v>
      </c>
      <c r="D261" s="59" t="s">
        <v>487</v>
      </c>
      <c r="E261" s="96" t="s">
        <v>1175</v>
      </c>
      <c r="F261" s="59" t="s">
        <v>1176</v>
      </c>
      <c r="G261" s="97">
        <v>2</v>
      </c>
      <c r="H261" s="81" t="s">
        <v>94</v>
      </c>
      <c r="I261" s="81" t="s">
        <v>38</v>
      </c>
      <c r="J261" s="81" t="s">
        <v>39</v>
      </c>
      <c r="K261" s="81" t="s">
        <v>1171</v>
      </c>
      <c r="L261" s="82" t="s">
        <v>1165</v>
      </c>
      <c r="M261" s="82" t="s">
        <v>42</v>
      </c>
      <c r="N261" s="64" t="s">
        <v>1172</v>
      </c>
      <c r="O261" s="47" t="s">
        <v>44</v>
      </c>
      <c r="P261" s="84">
        <v>45442</v>
      </c>
      <c r="Q261" s="131" t="s">
        <v>128</v>
      </c>
      <c r="R261" s="99" t="s">
        <v>46</v>
      </c>
      <c r="S261" s="99" t="s">
        <v>47</v>
      </c>
      <c r="T261" s="86">
        <v>45394</v>
      </c>
      <c r="U261" s="86">
        <f t="shared" si="66"/>
        <v>45401</v>
      </c>
      <c r="V261" s="87">
        <v>45412</v>
      </c>
      <c r="W261" s="87">
        <f t="shared" si="65"/>
        <v>45419</v>
      </c>
      <c r="X261" s="160"/>
      <c r="Y261" s="316" t="s">
        <v>79</v>
      </c>
      <c r="Z261" s="161" t="s">
        <v>1176</v>
      </c>
      <c r="AA261" s="117">
        <v>201</v>
      </c>
      <c r="AB261" s="89" t="s">
        <v>49</v>
      </c>
      <c r="AC261" s="73">
        <f t="shared" si="67"/>
        <v>2</v>
      </c>
      <c r="AD261" s="73">
        <f t="shared" si="68"/>
        <v>0</v>
      </c>
      <c r="AE261" s="129" t="s">
        <v>138</v>
      </c>
      <c r="AF261" s="101" t="s">
        <v>1173</v>
      </c>
    </row>
    <row r="262" s="21" customFormat="1" ht="13" customHeight="1" spans="1:32">
      <c r="A262" s="58">
        <v>258</v>
      </c>
      <c r="B262" s="59" t="s">
        <v>1181</v>
      </c>
      <c r="C262" s="59" t="s">
        <v>1182</v>
      </c>
      <c r="D262" s="59" t="s">
        <v>487</v>
      </c>
      <c r="E262" s="96" t="s">
        <v>1183</v>
      </c>
      <c r="F262" s="59" t="s">
        <v>1184</v>
      </c>
      <c r="G262" s="97">
        <v>2</v>
      </c>
      <c r="H262" s="81" t="s">
        <v>94</v>
      </c>
      <c r="I262" s="81" t="s">
        <v>38</v>
      </c>
      <c r="J262" s="81" t="s">
        <v>39</v>
      </c>
      <c r="K262" s="81" t="s">
        <v>1171</v>
      </c>
      <c r="L262" s="82" t="s">
        <v>1165</v>
      </c>
      <c r="M262" s="82" t="s">
        <v>42</v>
      </c>
      <c r="N262" s="64" t="s">
        <v>1172</v>
      </c>
      <c r="O262" s="47" t="s">
        <v>44</v>
      </c>
      <c r="P262" s="84">
        <v>45442</v>
      </c>
      <c r="Q262" s="131" t="s">
        <v>128</v>
      </c>
      <c r="R262" s="99" t="s">
        <v>46</v>
      </c>
      <c r="S262" s="99" t="s">
        <v>47</v>
      </c>
      <c r="T262" s="86">
        <v>45394</v>
      </c>
      <c r="U262" s="86">
        <f t="shared" si="66"/>
        <v>45401</v>
      </c>
      <c r="V262" s="87">
        <v>45412</v>
      </c>
      <c r="W262" s="87">
        <f t="shared" si="65"/>
        <v>45419</v>
      </c>
      <c r="X262" s="160"/>
      <c r="Y262" s="316" t="s">
        <v>79</v>
      </c>
      <c r="Z262" s="161" t="s">
        <v>1184</v>
      </c>
      <c r="AA262" s="117">
        <v>202</v>
      </c>
      <c r="AB262" s="89" t="s">
        <v>49</v>
      </c>
      <c r="AC262" s="73">
        <f t="shared" si="67"/>
        <v>2</v>
      </c>
      <c r="AD262" s="73">
        <f t="shared" si="68"/>
        <v>0</v>
      </c>
      <c r="AE262" s="129" t="s">
        <v>138</v>
      </c>
      <c r="AF262" s="101" t="s">
        <v>1173</v>
      </c>
    </row>
    <row r="263" s="21" customFormat="1" ht="12" customHeight="1" spans="1:32">
      <c r="A263" s="58">
        <v>259</v>
      </c>
      <c r="B263" s="59" t="s">
        <v>1185</v>
      </c>
      <c r="C263" s="60"/>
      <c r="D263" s="59" t="s">
        <v>188</v>
      </c>
      <c r="E263" s="96" t="s">
        <v>1186</v>
      </c>
      <c r="F263" s="59" t="s">
        <v>1187</v>
      </c>
      <c r="G263" s="97">
        <v>1</v>
      </c>
      <c r="H263" s="81" t="s">
        <v>94</v>
      </c>
      <c r="I263" s="81" t="s">
        <v>38</v>
      </c>
      <c r="J263" s="81" t="s">
        <v>39</v>
      </c>
      <c r="K263" s="81" t="s">
        <v>1171</v>
      </c>
      <c r="L263" s="82" t="s">
        <v>1165</v>
      </c>
      <c r="M263" s="82" t="s">
        <v>42</v>
      </c>
      <c r="N263" s="64" t="s">
        <v>1172</v>
      </c>
      <c r="O263" s="47" t="s">
        <v>44</v>
      </c>
      <c r="P263" s="84">
        <v>45397</v>
      </c>
      <c r="Q263" s="131" t="s">
        <v>128</v>
      </c>
      <c r="R263" s="99" t="s">
        <v>46</v>
      </c>
      <c r="S263" s="127" t="s">
        <v>147</v>
      </c>
      <c r="T263" s="87">
        <v>45394</v>
      </c>
      <c r="U263" s="87">
        <f t="shared" si="66"/>
        <v>45401</v>
      </c>
      <c r="V263" s="87">
        <v>45412</v>
      </c>
      <c r="W263" s="87">
        <f t="shared" si="65"/>
        <v>45419</v>
      </c>
      <c r="X263" s="60"/>
      <c r="Y263" s="315" t="s">
        <v>79</v>
      </c>
      <c r="Z263" s="117" t="s">
        <v>1188</v>
      </c>
      <c r="AA263" s="117">
        <v>133</v>
      </c>
      <c r="AB263" s="89" t="s">
        <v>49</v>
      </c>
      <c r="AC263" s="73">
        <f t="shared" si="67"/>
        <v>1</v>
      </c>
      <c r="AD263" s="73">
        <f t="shared" si="68"/>
        <v>0</v>
      </c>
      <c r="AE263" s="129" t="s">
        <v>138</v>
      </c>
      <c r="AF263" s="101" t="s">
        <v>1173</v>
      </c>
    </row>
    <row r="264" s="21" customFormat="1" ht="11" customHeight="1" spans="1:32">
      <c r="A264" s="58">
        <v>260</v>
      </c>
      <c r="B264" s="59" t="s">
        <v>1189</v>
      </c>
      <c r="C264" s="60"/>
      <c r="D264" s="59" t="s">
        <v>188</v>
      </c>
      <c r="E264" s="96" t="s">
        <v>1186</v>
      </c>
      <c r="F264" s="59" t="s">
        <v>1187</v>
      </c>
      <c r="G264" s="97">
        <v>1</v>
      </c>
      <c r="H264" s="81" t="s">
        <v>94</v>
      </c>
      <c r="I264" s="81" t="s">
        <v>38</v>
      </c>
      <c r="J264" s="81" t="s">
        <v>39</v>
      </c>
      <c r="K264" s="81" t="s">
        <v>1171</v>
      </c>
      <c r="L264" s="82" t="s">
        <v>1165</v>
      </c>
      <c r="M264" s="82" t="s">
        <v>42</v>
      </c>
      <c r="N264" s="64" t="s">
        <v>1172</v>
      </c>
      <c r="O264" s="47" t="s">
        <v>44</v>
      </c>
      <c r="P264" s="84">
        <v>45397</v>
      </c>
      <c r="Q264" s="131" t="s">
        <v>128</v>
      </c>
      <c r="R264" s="99" t="s">
        <v>46</v>
      </c>
      <c r="S264" s="127" t="s">
        <v>147</v>
      </c>
      <c r="T264" s="87">
        <v>45394</v>
      </c>
      <c r="U264" s="87">
        <f t="shared" si="66"/>
        <v>45401</v>
      </c>
      <c r="V264" s="87">
        <v>45412</v>
      </c>
      <c r="W264" s="87">
        <f t="shared" si="65"/>
        <v>45419</v>
      </c>
      <c r="X264" s="60"/>
      <c r="Y264" s="315" t="s">
        <v>79</v>
      </c>
      <c r="Z264" s="117" t="s">
        <v>1188</v>
      </c>
      <c r="AA264" s="117">
        <v>133</v>
      </c>
      <c r="AB264" s="89" t="s">
        <v>49</v>
      </c>
      <c r="AC264" s="73">
        <f t="shared" si="67"/>
        <v>1</v>
      </c>
      <c r="AD264" s="73">
        <f t="shared" si="68"/>
        <v>0</v>
      </c>
      <c r="AE264" s="129" t="s">
        <v>138</v>
      </c>
      <c r="AF264" s="101" t="s">
        <v>1173</v>
      </c>
    </row>
    <row r="265" s="21" customFormat="1" ht="12" customHeight="1" spans="1:32">
      <c r="A265" s="58">
        <v>261</v>
      </c>
      <c r="B265" s="59" t="s">
        <v>1190</v>
      </c>
      <c r="C265" s="60"/>
      <c r="D265" s="59" t="s">
        <v>188</v>
      </c>
      <c r="E265" s="96" t="s">
        <v>1186</v>
      </c>
      <c r="F265" s="59" t="s">
        <v>1187</v>
      </c>
      <c r="G265" s="97">
        <v>1</v>
      </c>
      <c r="H265" s="81" t="s">
        <v>94</v>
      </c>
      <c r="I265" s="81" t="s">
        <v>38</v>
      </c>
      <c r="J265" s="81" t="s">
        <v>39</v>
      </c>
      <c r="K265" s="81" t="s">
        <v>1171</v>
      </c>
      <c r="L265" s="82" t="s">
        <v>1165</v>
      </c>
      <c r="M265" s="82" t="s">
        <v>42</v>
      </c>
      <c r="N265" s="64" t="s">
        <v>1172</v>
      </c>
      <c r="O265" s="47" t="s">
        <v>44</v>
      </c>
      <c r="P265" s="84">
        <v>45397</v>
      </c>
      <c r="Q265" s="131" t="s">
        <v>128</v>
      </c>
      <c r="R265" s="99" t="s">
        <v>46</v>
      </c>
      <c r="S265" s="127" t="s">
        <v>147</v>
      </c>
      <c r="T265" s="87">
        <v>45394</v>
      </c>
      <c r="U265" s="87">
        <f t="shared" si="66"/>
        <v>45401</v>
      </c>
      <c r="V265" s="87">
        <v>45412</v>
      </c>
      <c r="W265" s="87">
        <f t="shared" si="65"/>
        <v>45419</v>
      </c>
      <c r="X265" s="60"/>
      <c r="Y265" s="315" t="s">
        <v>79</v>
      </c>
      <c r="Z265" s="117" t="s">
        <v>1188</v>
      </c>
      <c r="AA265" s="117">
        <v>133</v>
      </c>
      <c r="AB265" s="89" t="s">
        <v>49</v>
      </c>
      <c r="AC265" s="73">
        <f t="shared" si="67"/>
        <v>1</v>
      </c>
      <c r="AD265" s="73">
        <f t="shared" si="68"/>
        <v>0</v>
      </c>
      <c r="AE265" s="129" t="s">
        <v>138</v>
      </c>
      <c r="AF265" s="101" t="s">
        <v>1173</v>
      </c>
    </row>
    <row r="266" s="21" customFormat="1" ht="13" customHeight="1" spans="1:32">
      <c r="A266" s="58">
        <v>262</v>
      </c>
      <c r="B266" s="59" t="s">
        <v>1191</v>
      </c>
      <c r="C266" s="60"/>
      <c r="D266" s="59" t="s">
        <v>188</v>
      </c>
      <c r="E266" s="96" t="s">
        <v>1186</v>
      </c>
      <c r="F266" s="59" t="s">
        <v>1187</v>
      </c>
      <c r="G266" s="97">
        <v>1</v>
      </c>
      <c r="H266" s="81" t="s">
        <v>94</v>
      </c>
      <c r="I266" s="81" t="s">
        <v>38</v>
      </c>
      <c r="J266" s="81" t="s">
        <v>39</v>
      </c>
      <c r="K266" s="81" t="s">
        <v>1171</v>
      </c>
      <c r="L266" s="82" t="s">
        <v>1165</v>
      </c>
      <c r="M266" s="82" t="s">
        <v>42</v>
      </c>
      <c r="N266" s="64" t="s">
        <v>1172</v>
      </c>
      <c r="O266" s="47" t="s">
        <v>44</v>
      </c>
      <c r="P266" s="84">
        <v>45397</v>
      </c>
      <c r="Q266" s="131" t="s">
        <v>128</v>
      </c>
      <c r="R266" s="99" t="s">
        <v>46</v>
      </c>
      <c r="S266" s="127" t="s">
        <v>147</v>
      </c>
      <c r="T266" s="87">
        <v>45394</v>
      </c>
      <c r="U266" s="87">
        <f t="shared" si="66"/>
        <v>45401</v>
      </c>
      <c r="V266" s="87">
        <v>45412</v>
      </c>
      <c r="W266" s="87">
        <f t="shared" si="65"/>
        <v>45419</v>
      </c>
      <c r="X266" s="60"/>
      <c r="Y266" s="315" t="s">
        <v>79</v>
      </c>
      <c r="Z266" s="117" t="s">
        <v>1188</v>
      </c>
      <c r="AA266" s="117">
        <v>133</v>
      </c>
      <c r="AB266" s="89" t="s">
        <v>49</v>
      </c>
      <c r="AC266" s="73">
        <f t="shared" si="67"/>
        <v>1</v>
      </c>
      <c r="AD266" s="73">
        <f t="shared" si="68"/>
        <v>0</v>
      </c>
      <c r="AE266" s="129" t="s">
        <v>138</v>
      </c>
      <c r="AF266" s="101" t="s">
        <v>1173</v>
      </c>
    </row>
    <row r="267" s="21" customFormat="1" ht="15" customHeight="1" spans="1:32">
      <c r="A267" s="75">
        <v>263</v>
      </c>
      <c r="B267" s="76" t="s">
        <v>82</v>
      </c>
      <c r="C267" s="60"/>
      <c r="D267" s="76" t="s">
        <v>1192</v>
      </c>
      <c r="E267" s="78" t="s">
        <v>1193</v>
      </c>
      <c r="F267" s="106" t="s">
        <v>1194</v>
      </c>
      <c r="G267" s="79">
        <v>141</v>
      </c>
      <c r="H267" s="80" t="s">
        <v>37</v>
      </c>
      <c r="I267" s="80" t="s">
        <v>38</v>
      </c>
      <c r="J267" s="80" t="s">
        <v>39</v>
      </c>
      <c r="K267" s="80" t="s">
        <v>1195</v>
      </c>
      <c r="L267" s="94" t="s">
        <v>1196</v>
      </c>
      <c r="M267" s="94" t="s">
        <v>42</v>
      </c>
      <c r="N267" s="145" t="s">
        <v>1197</v>
      </c>
      <c r="O267" s="47" t="s">
        <v>44</v>
      </c>
      <c r="P267" s="84"/>
      <c r="Q267" s="85" t="s">
        <v>128</v>
      </c>
      <c r="R267" s="85" t="s">
        <v>66</v>
      </c>
      <c r="S267" s="127" t="s">
        <v>67</v>
      </c>
      <c r="T267" s="86">
        <v>45427</v>
      </c>
      <c r="U267" s="87">
        <v>45428</v>
      </c>
      <c r="V267" s="87">
        <v>45434</v>
      </c>
      <c r="W267" s="87">
        <v>45438</v>
      </c>
      <c r="X267" s="192"/>
      <c r="Y267" s="70" t="s">
        <v>929</v>
      </c>
      <c r="Z267" s="71" t="s">
        <v>1194</v>
      </c>
      <c r="AA267" s="71">
        <v>306</v>
      </c>
      <c r="AB267" s="193" t="s">
        <v>1198</v>
      </c>
      <c r="AC267" s="73">
        <f t="shared" si="67"/>
        <v>141</v>
      </c>
      <c r="AD267" s="73">
        <f t="shared" si="68"/>
        <v>0</v>
      </c>
      <c r="AE267" s="101" t="s">
        <v>953</v>
      </c>
      <c r="AF267" s="101" t="s">
        <v>1199</v>
      </c>
    </row>
    <row r="268" s="22" customFormat="1" ht="21" customHeight="1" spans="1:32">
      <c r="A268" s="75">
        <v>264</v>
      </c>
      <c r="B268" s="76" t="s">
        <v>1200</v>
      </c>
      <c r="C268" s="317" t="s">
        <v>1201</v>
      </c>
      <c r="D268" s="76" t="s">
        <v>34</v>
      </c>
      <c r="E268" s="78" t="s">
        <v>1202</v>
      </c>
      <c r="F268" s="76" t="s">
        <v>1203</v>
      </c>
      <c r="G268" s="79">
        <v>1</v>
      </c>
      <c r="H268" s="80" t="s">
        <v>37</v>
      </c>
      <c r="I268" s="81" t="s">
        <v>38</v>
      </c>
      <c r="J268" s="81" t="s">
        <v>39</v>
      </c>
      <c r="K268" s="80" t="s">
        <v>1204</v>
      </c>
      <c r="L268" s="82" t="s">
        <v>1165</v>
      </c>
      <c r="M268" s="82" t="s">
        <v>42</v>
      </c>
      <c r="N268" s="83" t="s">
        <v>1205</v>
      </c>
      <c r="O268" s="47" t="s">
        <v>44</v>
      </c>
      <c r="P268" s="84">
        <v>45366</v>
      </c>
      <c r="Q268" s="85" t="s">
        <v>1206</v>
      </c>
      <c r="R268" s="85" t="s">
        <v>46</v>
      </c>
      <c r="S268" s="85" t="s">
        <v>47</v>
      </c>
      <c r="T268" s="195">
        <v>45457</v>
      </c>
      <c r="U268" s="87">
        <f>T268+4</f>
        <v>45461</v>
      </c>
      <c r="V268" s="87">
        <f>U268+14</f>
        <v>45475</v>
      </c>
      <c r="W268" s="87">
        <f>V268+7</f>
        <v>45482</v>
      </c>
      <c r="X268" s="77"/>
      <c r="Y268" s="88" t="s">
        <v>48</v>
      </c>
      <c r="Z268" s="71" t="s">
        <v>1203</v>
      </c>
      <c r="AA268" s="71">
        <v>132</v>
      </c>
      <c r="AB268" s="89" t="s">
        <v>49</v>
      </c>
      <c r="AC268" s="73">
        <f t="shared" si="67"/>
        <v>1</v>
      </c>
      <c r="AD268" s="73">
        <f t="shared" si="68"/>
        <v>0</v>
      </c>
      <c r="AE268" s="90" t="s">
        <v>50</v>
      </c>
      <c r="AF268" s="90" t="s">
        <v>1207</v>
      </c>
    </row>
    <row r="269" s="22" customFormat="1" ht="15" customHeight="1" spans="1:32">
      <c r="A269" s="75">
        <v>265</v>
      </c>
      <c r="B269" s="76" t="s">
        <v>1208</v>
      </c>
      <c r="C269" s="76" t="s">
        <v>1209</v>
      </c>
      <c r="D269" s="76" t="s">
        <v>487</v>
      </c>
      <c r="E269" s="78" t="s">
        <v>1210</v>
      </c>
      <c r="F269" s="76" t="s">
        <v>1211</v>
      </c>
      <c r="G269" s="79">
        <v>2</v>
      </c>
      <c r="H269" s="80" t="s">
        <v>94</v>
      </c>
      <c r="I269" s="81" t="s">
        <v>38</v>
      </c>
      <c r="J269" s="81" t="s">
        <v>39</v>
      </c>
      <c r="K269" s="80" t="s">
        <v>1212</v>
      </c>
      <c r="L269" s="82" t="s">
        <v>1213</v>
      </c>
      <c r="M269" s="82" t="s">
        <v>1213</v>
      </c>
      <c r="N269" s="141" t="s">
        <v>536</v>
      </c>
      <c r="O269" s="47" t="s">
        <v>44</v>
      </c>
      <c r="P269" s="84">
        <v>45442</v>
      </c>
      <c r="Q269" s="85" t="s">
        <v>128</v>
      </c>
      <c r="R269" s="85" t="s">
        <v>46</v>
      </c>
      <c r="S269" s="85" t="s">
        <v>47</v>
      </c>
      <c r="T269" s="195">
        <v>45457</v>
      </c>
      <c r="U269" s="87">
        <f>T269+4</f>
        <v>45461</v>
      </c>
      <c r="V269" s="87">
        <f>U269+14</f>
        <v>45475</v>
      </c>
      <c r="W269" s="87">
        <f>V269+7</f>
        <v>45482</v>
      </c>
      <c r="X269" s="77"/>
      <c r="Y269" s="88" t="s">
        <v>48</v>
      </c>
      <c r="Z269" s="151" t="s">
        <v>1214</v>
      </c>
      <c r="AA269" s="151" t="s">
        <v>1215</v>
      </c>
      <c r="AB269" s="89" t="s">
        <v>49</v>
      </c>
      <c r="AC269" s="73">
        <f t="shared" si="67"/>
        <v>2</v>
      </c>
      <c r="AD269" s="73">
        <f t="shared" si="68"/>
        <v>0</v>
      </c>
      <c r="AE269" s="90" t="s">
        <v>50</v>
      </c>
      <c r="AF269" s="90" t="s">
        <v>1216</v>
      </c>
    </row>
    <row r="270" s="21" customFormat="1" ht="13" customHeight="1" spans="1:32">
      <c r="A270" s="58">
        <v>266</v>
      </c>
      <c r="B270" s="59" t="s">
        <v>1217</v>
      </c>
      <c r="C270" s="60"/>
      <c r="D270" s="59" t="s">
        <v>487</v>
      </c>
      <c r="E270" s="96" t="s">
        <v>1218</v>
      </c>
      <c r="F270" s="59" t="s">
        <v>1219</v>
      </c>
      <c r="G270" s="97">
        <v>1</v>
      </c>
      <c r="H270" s="81" t="s">
        <v>94</v>
      </c>
      <c r="I270" s="81" t="s">
        <v>38</v>
      </c>
      <c r="J270" s="81" t="s">
        <v>39</v>
      </c>
      <c r="K270" s="81" t="s">
        <v>1220</v>
      </c>
      <c r="L270" s="82" t="s">
        <v>1221</v>
      </c>
      <c r="M270" s="82" t="s">
        <v>96</v>
      </c>
      <c r="N270" s="64" t="s">
        <v>739</v>
      </c>
      <c r="O270" s="47" t="s">
        <v>44</v>
      </c>
      <c r="P270" s="84">
        <v>45392</v>
      </c>
      <c r="Q270" s="131" t="s">
        <v>128</v>
      </c>
      <c r="R270" s="85" t="s">
        <v>46</v>
      </c>
      <c r="S270" s="127" t="s">
        <v>147</v>
      </c>
      <c r="T270" s="87">
        <v>45361</v>
      </c>
      <c r="U270" s="87">
        <v>45378</v>
      </c>
      <c r="V270" s="87">
        <v>45388</v>
      </c>
      <c r="W270" s="87">
        <f>V270+7</f>
        <v>45395</v>
      </c>
      <c r="X270" s="60"/>
      <c r="Y270" s="70" t="s">
        <v>125</v>
      </c>
      <c r="Z270" s="151" t="s">
        <v>828</v>
      </c>
      <c r="AA270" s="151" t="s">
        <v>1222</v>
      </c>
      <c r="AB270" s="54" t="s">
        <v>253</v>
      </c>
      <c r="AC270" s="73">
        <v>1</v>
      </c>
      <c r="AD270" s="73">
        <v>0</v>
      </c>
      <c r="AE270" s="101" t="s">
        <v>254</v>
      </c>
      <c r="AF270" s="101" t="s">
        <v>1223</v>
      </c>
    </row>
    <row r="271" s="22" customFormat="1" ht="19" customHeight="1" spans="1:32">
      <c r="A271" s="75">
        <v>1</v>
      </c>
      <c r="B271" s="76" t="s">
        <v>1224</v>
      </c>
      <c r="C271" s="77"/>
      <c r="D271" s="76" t="s">
        <v>1225</v>
      </c>
      <c r="E271" s="78" t="s">
        <v>1226</v>
      </c>
      <c r="F271" s="76" t="s">
        <v>1227</v>
      </c>
      <c r="G271" s="196">
        <v>262</v>
      </c>
      <c r="H271" s="80" t="s">
        <v>1228</v>
      </c>
      <c r="I271" s="80" t="s">
        <v>38</v>
      </c>
      <c r="J271" s="80" t="s">
        <v>39</v>
      </c>
      <c r="K271" s="80" t="s">
        <v>1229</v>
      </c>
      <c r="L271" s="94" t="s">
        <v>41</v>
      </c>
      <c r="M271" s="94" t="s">
        <v>42</v>
      </c>
      <c r="N271" s="83" t="s">
        <v>1230</v>
      </c>
      <c r="O271" s="98"/>
      <c r="P271" s="84"/>
      <c r="Q271" s="85" t="s">
        <v>128</v>
      </c>
      <c r="R271" s="85" t="s">
        <v>46</v>
      </c>
      <c r="S271" s="85" t="s">
        <v>87</v>
      </c>
      <c r="T271" s="102">
        <v>45490</v>
      </c>
      <c r="U271" s="87">
        <v>45525</v>
      </c>
      <c r="V271" s="87">
        <f t="shared" ref="V271:V273" si="69">U271+7</f>
        <v>45532</v>
      </c>
      <c r="W271" s="87">
        <f t="shared" ref="W271:W273" si="70">V271+3</f>
        <v>45535</v>
      </c>
      <c r="X271" s="77"/>
      <c r="Y271" s="88" t="s">
        <v>88</v>
      </c>
      <c r="Z271" s="151"/>
      <c r="AA271" s="71" t="s">
        <v>1231</v>
      </c>
      <c r="AB271" s="89"/>
      <c r="AC271" s="197">
        <f t="shared" ref="AC271:AC273" si="71">G271</f>
        <v>262</v>
      </c>
      <c r="AD271" s="197">
        <v>0</v>
      </c>
      <c r="AE271" s="90" t="s">
        <v>1232</v>
      </c>
      <c r="AF271" s="90" t="s">
        <v>1233</v>
      </c>
    </row>
    <row r="272" s="22" customFormat="1" ht="15" customHeight="1" spans="1:32">
      <c r="A272" s="75">
        <v>2</v>
      </c>
      <c r="B272" s="76" t="s">
        <v>1224</v>
      </c>
      <c r="C272" s="77"/>
      <c r="D272" s="76" t="s">
        <v>1234</v>
      </c>
      <c r="E272" s="78" t="s">
        <v>1235</v>
      </c>
      <c r="F272" s="76" t="s">
        <v>1236</v>
      </c>
      <c r="G272" s="196">
        <f>240+534+1.6</f>
        <v>775.6</v>
      </c>
      <c r="H272" s="80" t="s">
        <v>1237</v>
      </c>
      <c r="I272" s="81" t="s">
        <v>38</v>
      </c>
      <c r="J272" s="81" t="s">
        <v>39</v>
      </c>
      <c r="K272" s="80" t="s">
        <v>1238</v>
      </c>
      <c r="L272" s="82" t="s">
        <v>41</v>
      </c>
      <c r="M272" s="82" t="s">
        <v>42</v>
      </c>
      <c r="N272" s="83" t="s">
        <v>1239</v>
      </c>
      <c r="O272" s="98"/>
      <c r="P272" s="84"/>
      <c r="Q272" s="99" t="s">
        <v>128</v>
      </c>
      <c r="R272" s="85" t="s">
        <v>46</v>
      </c>
      <c r="S272" s="99" t="s">
        <v>87</v>
      </c>
      <c r="T272" s="102">
        <v>45490</v>
      </c>
      <c r="U272" s="87">
        <v>45525</v>
      </c>
      <c r="V272" s="87">
        <f t="shared" si="69"/>
        <v>45532</v>
      </c>
      <c r="W272" s="87">
        <f t="shared" si="70"/>
        <v>45535</v>
      </c>
      <c r="X272" s="77"/>
      <c r="Y272" s="88" t="s">
        <v>88</v>
      </c>
      <c r="Z272" s="151"/>
      <c r="AA272" s="71" t="s">
        <v>1231</v>
      </c>
      <c r="AB272" s="89"/>
      <c r="AC272" s="198"/>
      <c r="AD272" s="198"/>
      <c r="AE272" s="101" t="s">
        <v>1240</v>
      </c>
      <c r="AF272" s="90" t="s">
        <v>1241</v>
      </c>
    </row>
    <row r="273" s="22" customFormat="1" ht="15" customHeight="1" spans="1:32">
      <c r="A273" s="75">
        <v>3</v>
      </c>
      <c r="B273" s="76" t="s">
        <v>1224</v>
      </c>
      <c r="C273" s="77"/>
      <c r="D273" s="76" t="s">
        <v>1242</v>
      </c>
      <c r="E273" s="78" t="s">
        <v>1243</v>
      </c>
      <c r="F273" s="76" t="s">
        <v>1244</v>
      </c>
      <c r="G273" s="199"/>
      <c r="H273" s="80"/>
      <c r="I273" s="81" t="s">
        <v>38</v>
      </c>
      <c r="J273" s="81" t="s">
        <v>39</v>
      </c>
      <c r="K273" s="80" t="s">
        <v>1238</v>
      </c>
      <c r="L273" s="82" t="s">
        <v>41</v>
      </c>
      <c r="M273" s="82" t="s">
        <v>42</v>
      </c>
      <c r="N273" s="83" t="s">
        <v>1239</v>
      </c>
      <c r="O273" s="98"/>
      <c r="P273" s="84"/>
      <c r="Q273" s="99" t="s">
        <v>128</v>
      </c>
      <c r="R273" s="85" t="s">
        <v>46</v>
      </c>
      <c r="S273" s="99" t="s">
        <v>87</v>
      </c>
      <c r="T273" s="102">
        <v>45490</v>
      </c>
      <c r="U273" s="87">
        <v>45525</v>
      </c>
      <c r="V273" s="87">
        <f t="shared" si="69"/>
        <v>45532</v>
      </c>
      <c r="W273" s="87">
        <f t="shared" si="70"/>
        <v>45535</v>
      </c>
      <c r="X273" s="77"/>
      <c r="Y273" s="88" t="s">
        <v>88</v>
      </c>
      <c r="Z273" s="151"/>
      <c r="AA273" s="71" t="s">
        <v>1231</v>
      </c>
      <c r="AB273" s="89"/>
      <c r="AC273" s="200"/>
      <c r="AD273" s="200"/>
      <c r="AE273" s="101" t="s">
        <v>1240</v>
      </c>
      <c r="AF273" s="90" t="s">
        <v>1241</v>
      </c>
    </row>
    <row r="274" s="21" customFormat="1" ht="15" customHeight="1" spans="1:32">
      <c r="A274" s="75">
        <v>4</v>
      </c>
      <c r="B274" s="76" t="s">
        <v>1224</v>
      </c>
      <c r="C274" s="60"/>
      <c r="D274" s="76" t="s">
        <v>1225</v>
      </c>
      <c r="E274" s="78" t="s">
        <v>1245</v>
      </c>
      <c r="F274" s="76" t="s">
        <v>1246</v>
      </c>
      <c r="G274" s="201">
        <v>34</v>
      </c>
      <c r="H274" s="80" t="s">
        <v>37</v>
      </c>
      <c r="I274" s="80" t="s">
        <v>38</v>
      </c>
      <c r="J274" s="80" t="s">
        <v>39</v>
      </c>
      <c r="K274" s="80" t="s">
        <v>1247</v>
      </c>
      <c r="L274" s="107" t="s">
        <v>41</v>
      </c>
      <c r="M274" s="107" t="s">
        <v>42</v>
      </c>
      <c r="N274" s="64" t="s">
        <v>1248</v>
      </c>
      <c r="O274" s="47" t="s">
        <v>44</v>
      </c>
      <c r="P274" s="84"/>
      <c r="Q274" s="131" t="s">
        <v>128</v>
      </c>
      <c r="R274" s="85" t="s">
        <v>66</v>
      </c>
      <c r="S274" s="127" t="s">
        <v>67</v>
      </c>
      <c r="T274" s="86">
        <v>45427</v>
      </c>
      <c r="U274" s="87">
        <v>45428</v>
      </c>
      <c r="V274" s="87">
        <v>45434</v>
      </c>
      <c r="W274" s="87">
        <v>45438</v>
      </c>
      <c r="X274" s="192"/>
      <c r="Y274" s="70" t="s">
        <v>1249</v>
      </c>
      <c r="Z274" s="151"/>
      <c r="AA274" s="71" t="s">
        <v>1250</v>
      </c>
      <c r="AB274" s="89"/>
      <c r="AC274" s="73" t="s">
        <v>1251</v>
      </c>
      <c r="AD274" s="73">
        <v>0</v>
      </c>
      <c r="AE274" s="101" t="s">
        <v>1252</v>
      </c>
      <c r="AF274" s="101" t="s">
        <v>1253</v>
      </c>
    </row>
    <row r="275" s="21" customFormat="1" ht="15" customHeight="1" spans="1:32">
      <c r="A275" s="75">
        <v>5</v>
      </c>
      <c r="B275" s="76" t="s">
        <v>1224</v>
      </c>
      <c r="C275" s="60"/>
      <c r="D275" s="76" t="s">
        <v>1234</v>
      </c>
      <c r="E275" s="78" t="s">
        <v>1254</v>
      </c>
      <c r="F275" s="76" t="s">
        <v>1255</v>
      </c>
      <c r="G275" s="201">
        <f>943+3140+69-34</f>
        <v>4118</v>
      </c>
      <c r="H275" s="80" t="s">
        <v>37</v>
      </c>
      <c r="I275" s="81" t="s">
        <v>38</v>
      </c>
      <c r="J275" s="81" t="s">
        <v>39</v>
      </c>
      <c r="K275" s="80" t="s">
        <v>1247</v>
      </c>
      <c r="L275" s="107" t="s">
        <v>41</v>
      </c>
      <c r="M275" s="107" t="s">
        <v>42</v>
      </c>
      <c r="N275" s="64" t="s">
        <v>1248</v>
      </c>
      <c r="O275" s="47" t="s">
        <v>44</v>
      </c>
      <c r="P275" s="84"/>
      <c r="Q275" s="99" t="s">
        <v>128</v>
      </c>
      <c r="R275" s="85" t="s">
        <v>66</v>
      </c>
      <c r="S275" s="127" t="s">
        <v>67</v>
      </c>
      <c r="T275" s="86">
        <v>45427</v>
      </c>
      <c r="U275" s="87">
        <v>45428</v>
      </c>
      <c r="V275" s="87">
        <v>45434</v>
      </c>
      <c r="W275" s="87">
        <v>45438</v>
      </c>
      <c r="X275" s="192"/>
      <c r="Y275" s="70" t="s">
        <v>1249</v>
      </c>
      <c r="Z275" s="151"/>
      <c r="AA275" s="71" t="s">
        <v>1250</v>
      </c>
      <c r="AB275" s="89"/>
      <c r="AC275" s="73">
        <v>4118</v>
      </c>
      <c r="AD275" s="73">
        <v>0</v>
      </c>
      <c r="AE275" s="101" t="s">
        <v>1252</v>
      </c>
      <c r="AF275" s="101" t="s">
        <v>1253</v>
      </c>
    </row>
    <row r="276" s="21" customFormat="1" ht="15" customHeight="1" spans="1:32">
      <c r="A276" s="75">
        <v>6</v>
      </c>
      <c r="B276" s="76" t="s">
        <v>1224</v>
      </c>
      <c r="C276" s="60"/>
      <c r="D276" s="59" t="s">
        <v>1242</v>
      </c>
      <c r="E276" s="78" t="s">
        <v>1256</v>
      </c>
      <c r="F276" s="76" t="s">
        <v>1257</v>
      </c>
      <c r="G276" s="202"/>
      <c r="H276" s="80" t="s">
        <v>37</v>
      </c>
      <c r="I276" s="81" t="s">
        <v>38</v>
      </c>
      <c r="J276" s="81" t="s">
        <v>39</v>
      </c>
      <c r="K276" s="80" t="s">
        <v>1247</v>
      </c>
      <c r="L276" s="107" t="s">
        <v>41</v>
      </c>
      <c r="M276" s="107" t="s">
        <v>42</v>
      </c>
      <c r="N276" s="64" t="s">
        <v>1248</v>
      </c>
      <c r="O276" s="47" t="s">
        <v>44</v>
      </c>
      <c r="P276" s="84"/>
      <c r="Q276" s="99" t="s">
        <v>128</v>
      </c>
      <c r="R276" s="85" t="s">
        <v>66</v>
      </c>
      <c r="S276" s="127" t="s">
        <v>67</v>
      </c>
      <c r="T276" s="86">
        <v>45427</v>
      </c>
      <c r="U276" s="87">
        <v>45428</v>
      </c>
      <c r="V276" s="87">
        <v>45434</v>
      </c>
      <c r="W276" s="87">
        <v>45438</v>
      </c>
      <c r="X276" s="192"/>
      <c r="Y276" s="70" t="s">
        <v>1249</v>
      </c>
      <c r="Z276" s="151"/>
      <c r="AA276" s="71" t="s">
        <v>1250</v>
      </c>
      <c r="AB276" s="54" t="s">
        <v>1258</v>
      </c>
      <c r="AC276" s="73"/>
      <c r="AD276" s="73">
        <f>G276-AC276</f>
        <v>0</v>
      </c>
      <c r="AE276" s="101" t="s">
        <v>1252</v>
      </c>
      <c r="AF276" s="101" t="s">
        <v>1253</v>
      </c>
    </row>
    <row r="277" s="21" customFormat="1" ht="15" customHeight="1" spans="1:32">
      <c r="A277" s="75">
        <v>7</v>
      </c>
      <c r="B277" s="76" t="s">
        <v>1224</v>
      </c>
      <c r="C277" s="60"/>
      <c r="D277" s="76" t="s">
        <v>1225</v>
      </c>
      <c r="E277" s="166" t="s">
        <v>1259</v>
      </c>
      <c r="F277" s="76" t="s">
        <v>1260</v>
      </c>
      <c r="G277" s="203"/>
      <c r="H277" s="80" t="s">
        <v>37</v>
      </c>
      <c r="I277" s="80" t="s">
        <v>38</v>
      </c>
      <c r="J277" s="80" t="s">
        <v>39</v>
      </c>
      <c r="K277" s="80" t="s">
        <v>1247</v>
      </c>
      <c r="L277" s="107" t="s">
        <v>41</v>
      </c>
      <c r="M277" s="107" t="s">
        <v>42</v>
      </c>
      <c r="N277" s="64" t="s">
        <v>1248</v>
      </c>
      <c r="O277" s="47" t="s">
        <v>44</v>
      </c>
      <c r="P277" s="84"/>
      <c r="Q277" s="131" t="s">
        <v>128</v>
      </c>
      <c r="R277" s="85" t="s">
        <v>66</v>
      </c>
      <c r="S277" s="127" t="s">
        <v>67</v>
      </c>
      <c r="T277" s="86">
        <v>45427</v>
      </c>
      <c r="U277" s="87">
        <v>45428</v>
      </c>
      <c r="V277" s="87">
        <v>45434</v>
      </c>
      <c r="W277" s="87">
        <v>45438</v>
      </c>
      <c r="X277" s="192"/>
      <c r="Y277" s="70" t="s">
        <v>1249</v>
      </c>
      <c r="Z277" s="151"/>
      <c r="AA277" s="71" t="s">
        <v>1250</v>
      </c>
      <c r="AB277" s="89"/>
      <c r="AC277" s="73"/>
      <c r="AD277" s="73">
        <f>G277-AC277</f>
        <v>0</v>
      </c>
      <c r="AE277" s="101" t="s">
        <v>1252</v>
      </c>
      <c r="AF277" s="101" t="s">
        <v>1253</v>
      </c>
    </row>
    <row r="278" s="22" customFormat="1" ht="15" customHeight="1" spans="1:32">
      <c r="A278" s="75">
        <v>8</v>
      </c>
      <c r="B278" s="76" t="s">
        <v>1224</v>
      </c>
      <c r="C278" s="77"/>
      <c r="D278" s="76" t="s">
        <v>1225</v>
      </c>
      <c r="E278" s="78" t="s">
        <v>1261</v>
      </c>
      <c r="F278" s="76" t="s">
        <v>1262</v>
      </c>
      <c r="G278" s="196">
        <v>291</v>
      </c>
      <c r="H278" s="204" t="s">
        <v>1263</v>
      </c>
      <c r="I278" s="80" t="s">
        <v>38</v>
      </c>
      <c r="J278" s="80" t="s">
        <v>39</v>
      </c>
      <c r="K278" s="80" t="s">
        <v>1264</v>
      </c>
      <c r="L278" s="107" t="s">
        <v>41</v>
      </c>
      <c r="M278" s="107" t="s">
        <v>42</v>
      </c>
      <c r="N278" s="83" t="s">
        <v>1265</v>
      </c>
      <c r="O278" s="98"/>
      <c r="P278" s="84"/>
      <c r="Q278" s="99" t="s">
        <v>128</v>
      </c>
      <c r="R278" s="85" t="s">
        <v>46</v>
      </c>
      <c r="S278" s="99" t="s">
        <v>87</v>
      </c>
      <c r="T278" s="102">
        <v>45490</v>
      </c>
      <c r="U278" s="87">
        <v>45525</v>
      </c>
      <c r="V278" s="87">
        <f t="shared" ref="V278:V280" si="72">U278+7</f>
        <v>45532</v>
      </c>
      <c r="W278" s="87">
        <f t="shared" ref="W278:W280" si="73">V278+3</f>
        <v>45535</v>
      </c>
      <c r="X278" s="77"/>
      <c r="Y278" s="88" t="s">
        <v>88</v>
      </c>
      <c r="Z278" s="151"/>
      <c r="AA278" s="71" t="s">
        <v>1266</v>
      </c>
      <c r="AB278" s="89"/>
      <c r="AC278" s="197">
        <v>19700</v>
      </c>
      <c r="AD278" s="197">
        <v>0</v>
      </c>
      <c r="AE278" s="101" t="s">
        <v>89</v>
      </c>
      <c r="AF278" s="90" t="s">
        <v>1267</v>
      </c>
    </row>
    <row r="279" s="22" customFormat="1" ht="15" customHeight="1" spans="1:32">
      <c r="A279" s="75">
        <v>9</v>
      </c>
      <c r="B279" s="76" t="s">
        <v>1224</v>
      </c>
      <c r="C279" s="77"/>
      <c r="D279" s="76" t="s">
        <v>1234</v>
      </c>
      <c r="E279" s="78" t="s">
        <v>1268</v>
      </c>
      <c r="F279" s="76" t="s">
        <v>1269</v>
      </c>
      <c r="G279" s="196">
        <f>1044+18656-291</f>
        <v>19409</v>
      </c>
      <c r="H279" s="205"/>
      <c r="I279" s="81" t="s">
        <v>38</v>
      </c>
      <c r="J279" s="81" t="s">
        <v>39</v>
      </c>
      <c r="K279" s="80" t="s">
        <v>1264</v>
      </c>
      <c r="L279" s="82" t="s">
        <v>41</v>
      </c>
      <c r="M279" s="82" t="s">
        <v>42</v>
      </c>
      <c r="N279" s="83" t="s">
        <v>1265</v>
      </c>
      <c r="O279" s="98"/>
      <c r="P279" s="84"/>
      <c r="Q279" s="99" t="s">
        <v>128</v>
      </c>
      <c r="R279" s="85" t="s">
        <v>46</v>
      </c>
      <c r="S279" s="99" t="s">
        <v>87</v>
      </c>
      <c r="T279" s="102">
        <v>45490</v>
      </c>
      <c r="U279" s="87">
        <v>45525</v>
      </c>
      <c r="V279" s="87">
        <f t="shared" si="72"/>
        <v>45532</v>
      </c>
      <c r="W279" s="87">
        <f t="shared" si="73"/>
        <v>45535</v>
      </c>
      <c r="X279" s="77"/>
      <c r="Y279" s="88" t="s">
        <v>88</v>
      </c>
      <c r="Z279" s="151"/>
      <c r="AA279" s="71" t="s">
        <v>1266</v>
      </c>
      <c r="AB279" s="89"/>
      <c r="AC279" s="198"/>
      <c r="AD279" s="198"/>
      <c r="AE279" s="101" t="s">
        <v>89</v>
      </c>
      <c r="AF279" s="90" t="s">
        <v>1267</v>
      </c>
    </row>
    <row r="280" s="22" customFormat="1" ht="15" customHeight="1" spans="1:32">
      <c r="A280" s="75">
        <v>10</v>
      </c>
      <c r="B280" s="76" t="s">
        <v>1224</v>
      </c>
      <c r="C280" s="77"/>
      <c r="D280" s="76" t="s">
        <v>1242</v>
      </c>
      <c r="E280" s="78" t="s">
        <v>1270</v>
      </c>
      <c r="F280" s="76" t="s">
        <v>1271</v>
      </c>
      <c r="G280" s="199"/>
      <c r="H280" s="206"/>
      <c r="I280" s="81" t="s">
        <v>38</v>
      </c>
      <c r="J280" s="81" t="s">
        <v>39</v>
      </c>
      <c r="K280" s="80" t="s">
        <v>1264</v>
      </c>
      <c r="L280" s="82" t="s">
        <v>41</v>
      </c>
      <c r="M280" s="82" t="s">
        <v>42</v>
      </c>
      <c r="N280" s="83" t="s">
        <v>1265</v>
      </c>
      <c r="O280" s="98"/>
      <c r="P280" s="84"/>
      <c r="Q280" s="99" t="s">
        <v>128</v>
      </c>
      <c r="R280" s="85" t="s">
        <v>46</v>
      </c>
      <c r="S280" s="99" t="s">
        <v>87</v>
      </c>
      <c r="T280" s="102">
        <v>45490</v>
      </c>
      <c r="U280" s="87">
        <v>45525</v>
      </c>
      <c r="V280" s="87">
        <f t="shared" si="72"/>
        <v>45532</v>
      </c>
      <c r="W280" s="87">
        <f t="shared" si="73"/>
        <v>45535</v>
      </c>
      <c r="X280" s="77"/>
      <c r="Y280" s="88" t="s">
        <v>88</v>
      </c>
      <c r="Z280" s="151"/>
      <c r="AA280" s="71" t="s">
        <v>1266</v>
      </c>
      <c r="AB280" s="89"/>
      <c r="AC280" s="200"/>
      <c r="AD280" s="200"/>
      <c r="AE280" s="101" t="s">
        <v>89</v>
      </c>
      <c r="AF280" s="90" t="s">
        <v>1267</v>
      </c>
    </row>
    <row r="281" s="23" customFormat="1" ht="15" customHeight="1" spans="1:32">
      <c r="A281" s="91">
        <v>11</v>
      </c>
      <c r="B281" s="92" t="s">
        <v>1224</v>
      </c>
      <c r="C281" s="147"/>
      <c r="D281" s="207" t="s">
        <v>1272</v>
      </c>
      <c r="E281" s="208" t="s">
        <v>1273</v>
      </c>
      <c r="F281" s="207" t="s">
        <v>1274</v>
      </c>
      <c r="G281" s="209">
        <v>1</v>
      </c>
      <c r="H281" s="210" t="s">
        <v>1275</v>
      </c>
      <c r="I281" s="210" t="s">
        <v>1276</v>
      </c>
      <c r="J281" s="210" t="s">
        <v>39</v>
      </c>
      <c r="K281" s="147"/>
      <c r="L281" s="211" t="s">
        <v>82</v>
      </c>
      <c r="M281" s="211" t="s">
        <v>82</v>
      </c>
      <c r="N281" s="212" t="s">
        <v>1277</v>
      </c>
      <c r="O281" s="213"/>
      <c r="P281" s="116"/>
      <c r="Q281" s="99" t="s">
        <v>1278</v>
      </c>
      <c r="R281" s="99" t="s">
        <v>1279</v>
      </c>
      <c r="S281" s="99"/>
      <c r="T281" s="87"/>
      <c r="U281" s="87"/>
      <c r="V281" s="87"/>
      <c r="W281" s="87">
        <v>45412</v>
      </c>
      <c r="X281" s="147"/>
      <c r="Y281" s="70"/>
      <c r="Z281" s="214"/>
      <c r="AA281" s="214" t="s">
        <v>1280</v>
      </c>
      <c r="AB281" s="89"/>
      <c r="AC281" s="73">
        <f>G281</f>
        <v>1</v>
      </c>
      <c r="AD281" s="73">
        <f t="shared" ref="AD281:AD286" si="74">G281-AC281</f>
        <v>0</v>
      </c>
      <c r="AE281" s="118"/>
      <c r="AF281" s="118"/>
    </row>
    <row r="282" s="24" customFormat="1" ht="15" customHeight="1" spans="1:32">
      <c r="A282" s="215">
        <v>1</v>
      </c>
      <c r="B282" s="216" t="s">
        <v>1281</v>
      </c>
      <c r="C282" s="217"/>
      <c r="D282" s="216" t="s">
        <v>1192</v>
      </c>
      <c r="E282" s="218" t="s">
        <v>1282</v>
      </c>
      <c r="F282" s="216" t="s">
        <v>1283</v>
      </c>
      <c r="G282" s="219">
        <v>96</v>
      </c>
      <c r="H282" s="220" t="s">
        <v>94</v>
      </c>
      <c r="I282" s="220" t="s">
        <v>1284</v>
      </c>
      <c r="J282" s="220" t="s">
        <v>1285</v>
      </c>
      <c r="K282" s="220" t="s">
        <v>1286</v>
      </c>
      <c r="L282" s="221" t="s">
        <v>1157</v>
      </c>
      <c r="M282" s="221" t="s">
        <v>42</v>
      </c>
      <c r="N282" s="222" t="s">
        <v>1287</v>
      </c>
      <c r="O282" s="47" t="s">
        <v>44</v>
      </c>
      <c r="P282" s="223"/>
      <c r="Q282" s="224" t="s">
        <v>1288</v>
      </c>
      <c r="R282" s="85" t="s">
        <v>46</v>
      </c>
      <c r="S282" s="85"/>
      <c r="T282" s="87"/>
      <c r="U282" s="87"/>
      <c r="V282" s="87"/>
      <c r="W282" s="87">
        <v>45504</v>
      </c>
      <c r="X282" s="220" t="s">
        <v>1288</v>
      </c>
      <c r="Y282" s="88" t="s">
        <v>1289</v>
      </c>
      <c r="Z282" s="151" t="s">
        <v>1290</v>
      </c>
      <c r="AA282" s="151" t="s">
        <v>1291</v>
      </c>
      <c r="AB282" s="89"/>
      <c r="AC282" s="73">
        <f>G282</f>
        <v>96</v>
      </c>
      <c r="AD282" s="73">
        <f t="shared" si="74"/>
        <v>0</v>
      </c>
      <c r="AE282" s="225"/>
      <c r="AF282" s="120" t="s">
        <v>1292</v>
      </c>
    </row>
    <row r="283" s="24" customFormat="1" ht="15" customHeight="1" spans="1:32">
      <c r="A283" s="215">
        <v>2</v>
      </c>
      <c r="B283" s="216" t="s">
        <v>1281</v>
      </c>
      <c r="C283" s="217"/>
      <c r="D283" s="216" t="s">
        <v>1192</v>
      </c>
      <c r="E283" s="218" t="s">
        <v>1293</v>
      </c>
      <c r="F283" s="216" t="s">
        <v>1294</v>
      </c>
      <c r="G283" s="219">
        <v>17</v>
      </c>
      <c r="H283" s="220" t="s">
        <v>94</v>
      </c>
      <c r="I283" s="220" t="s">
        <v>1284</v>
      </c>
      <c r="J283" s="220" t="s">
        <v>1295</v>
      </c>
      <c r="K283" s="220" t="s">
        <v>1296</v>
      </c>
      <c r="L283" s="221" t="s">
        <v>1157</v>
      </c>
      <c r="M283" s="221" t="s">
        <v>42</v>
      </c>
      <c r="N283" s="226" t="s">
        <v>1297</v>
      </c>
      <c r="O283" s="227"/>
      <c r="P283" s="223"/>
      <c r="Q283" s="224" t="s">
        <v>1288</v>
      </c>
      <c r="R283" s="85" t="s">
        <v>46</v>
      </c>
      <c r="S283" s="85" t="s">
        <v>67</v>
      </c>
      <c r="T283" s="87"/>
      <c r="U283" s="87" t="s">
        <v>1298</v>
      </c>
      <c r="V283" s="87">
        <v>45683</v>
      </c>
      <c r="W283" s="87">
        <v>45690</v>
      </c>
      <c r="X283" s="220" t="s">
        <v>1288</v>
      </c>
      <c r="Y283" s="88"/>
      <c r="Z283" s="151" t="s">
        <v>1299</v>
      </c>
      <c r="AA283" s="151" t="s">
        <v>1300</v>
      </c>
      <c r="AB283" s="89"/>
      <c r="AC283" s="73">
        <v>17</v>
      </c>
      <c r="AD283" s="73">
        <f t="shared" si="74"/>
        <v>0</v>
      </c>
      <c r="AE283" s="120" t="s">
        <v>1301</v>
      </c>
      <c r="AF283" s="120" t="s">
        <v>1302</v>
      </c>
    </row>
    <row r="284" s="24" customFormat="1" ht="15" customHeight="1" spans="1:32">
      <c r="A284" s="215">
        <v>2</v>
      </c>
      <c r="B284" s="216" t="s">
        <v>1281</v>
      </c>
      <c r="C284" s="217"/>
      <c r="D284" s="216" t="s">
        <v>1192</v>
      </c>
      <c r="E284" s="218" t="s">
        <v>1303</v>
      </c>
      <c r="F284" s="216"/>
      <c r="G284" s="219">
        <v>202</v>
      </c>
      <c r="H284" s="220" t="s">
        <v>94</v>
      </c>
      <c r="I284" s="220"/>
      <c r="J284" s="220"/>
      <c r="K284" s="220" t="s">
        <v>1304</v>
      </c>
      <c r="L284" s="221" t="s">
        <v>41</v>
      </c>
      <c r="M284" s="221"/>
      <c r="N284" s="141" t="s">
        <v>1305</v>
      </c>
      <c r="O284" s="47"/>
      <c r="P284" s="223"/>
      <c r="Q284" s="85" t="s">
        <v>45</v>
      </c>
      <c r="R284" s="85" t="s">
        <v>66</v>
      </c>
      <c r="S284" s="95" t="s">
        <v>1306</v>
      </c>
      <c r="T284" s="102">
        <v>45555</v>
      </c>
      <c r="U284" s="87">
        <f t="shared" ref="U284:U287" si="75">T284+7</f>
        <v>45562</v>
      </c>
      <c r="V284" s="87">
        <f t="shared" ref="V284:V287" si="76">U284+14</f>
        <v>45576</v>
      </c>
      <c r="W284" s="87">
        <f t="shared" ref="W284:W287" si="77">V284+7</f>
        <v>45583</v>
      </c>
      <c r="X284" s="220"/>
      <c r="Y284" s="88" t="s">
        <v>1307</v>
      </c>
      <c r="Z284" s="151" t="s">
        <v>1299</v>
      </c>
      <c r="AA284" s="151" t="s">
        <v>1308</v>
      </c>
      <c r="AB284" s="89"/>
      <c r="AC284" s="73">
        <v>202</v>
      </c>
      <c r="AD284" s="73">
        <f t="shared" si="74"/>
        <v>0</v>
      </c>
      <c r="AE284" s="120" t="s">
        <v>1309</v>
      </c>
      <c r="AF284" s="120" t="s">
        <v>1310</v>
      </c>
    </row>
    <row r="285" s="24" customFormat="1" ht="15" customHeight="1" spans="1:32">
      <c r="A285" s="215">
        <v>3</v>
      </c>
      <c r="B285" s="216" t="s">
        <v>1281</v>
      </c>
      <c r="C285" s="217"/>
      <c r="D285" s="216" t="s">
        <v>1192</v>
      </c>
      <c r="E285" s="218" t="s">
        <v>1311</v>
      </c>
      <c r="F285" s="216" t="s">
        <v>1312</v>
      </c>
      <c r="G285" s="219">
        <v>16</v>
      </c>
      <c r="H285" s="220" t="s">
        <v>94</v>
      </c>
      <c r="I285" s="220" t="s">
        <v>38</v>
      </c>
      <c r="J285" s="220" t="s">
        <v>1313</v>
      </c>
      <c r="K285" s="220" t="s">
        <v>1314</v>
      </c>
      <c r="L285" s="221" t="s">
        <v>1157</v>
      </c>
      <c r="M285" s="221" t="s">
        <v>42</v>
      </c>
      <c r="N285" s="228" t="s">
        <v>1315</v>
      </c>
      <c r="O285" s="227" t="s">
        <v>44</v>
      </c>
      <c r="P285" s="223"/>
      <c r="Q285" s="224" t="s">
        <v>1316</v>
      </c>
      <c r="R285" s="85" t="s">
        <v>66</v>
      </c>
      <c r="S285" s="95" t="s">
        <v>1306</v>
      </c>
      <c r="T285" s="102">
        <v>45555</v>
      </c>
      <c r="U285" s="87">
        <f t="shared" si="75"/>
        <v>45562</v>
      </c>
      <c r="V285" s="87">
        <f t="shared" si="76"/>
        <v>45576</v>
      </c>
      <c r="W285" s="87">
        <f t="shared" si="77"/>
        <v>45583</v>
      </c>
      <c r="X285" s="220" t="s">
        <v>1317</v>
      </c>
      <c r="Y285" s="88" t="s">
        <v>1307</v>
      </c>
      <c r="Z285" s="151" t="s">
        <v>1318</v>
      </c>
      <c r="AA285" s="151" t="s">
        <v>1319</v>
      </c>
      <c r="AB285" s="89"/>
      <c r="AC285" s="73">
        <v>16</v>
      </c>
      <c r="AD285" s="73">
        <f t="shared" si="74"/>
        <v>0</v>
      </c>
      <c r="AE285" s="120" t="s">
        <v>1320</v>
      </c>
      <c r="AF285" s="120" t="s">
        <v>1321</v>
      </c>
    </row>
    <row r="286" s="24" customFormat="1" ht="15" customHeight="1" spans="1:32">
      <c r="A286" s="215">
        <v>4</v>
      </c>
      <c r="B286" s="216" t="s">
        <v>1281</v>
      </c>
      <c r="C286" s="217"/>
      <c r="D286" s="216" t="s">
        <v>1192</v>
      </c>
      <c r="E286" s="218" t="s">
        <v>1322</v>
      </c>
      <c r="F286" s="216" t="s">
        <v>1323</v>
      </c>
      <c r="G286" s="229">
        <v>55</v>
      </c>
      <c r="H286" s="230" t="s">
        <v>94</v>
      </c>
      <c r="I286" s="220" t="s">
        <v>38</v>
      </c>
      <c r="J286" s="220" t="s">
        <v>1313</v>
      </c>
      <c r="K286" s="220" t="s">
        <v>1324</v>
      </c>
      <c r="L286" s="221" t="s">
        <v>1157</v>
      </c>
      <c r="M286" s="221" t="s">
        <v>42</v>
      </c>
      <c r="N286" s="228" t="s">
        <v>1325</v>
      </c>
      <c r="O286" s="227" t="s">
        <v>44</v>
      </c>
      <c r="P286" s="223"/>
      <c r="Q286" s="224" t="s">
        <v>1316</v>
      </c>
      <c r="R286" s="85" t="s">
        <v>66</v>
      </c>
      <c r="S286" s="95" t="s">
        <v>1306</v>
      </c>
      <c r="T286" s="102">
        <v>45524</v>
      </c>
      <c r="U286" s="87">
        <f t="shared" si="75"/>
        <v>45531</v>
      </c>
      <c r="V286" s="87">
        <f t="shared" si="76"/>
        <v>45545</v>
      </c>
      <c r="W286" s="87">
        <f t="shared" si="77"/>
        <v>45552</v>
      </c>
      <c r="X286" s="220" t="s">
        <v>1326</v>
      </c>
      <c r="Y286" s="88" t="s">
        <v>225</v>
      </c>
      <c r="Z286" s="151" t="s">
        <v>1318</v>
      </c>
      <c r="AA286" s="151" t="s">
        <v>1319</v>
      </c>
      <c r="AB286" s="89"/>
      <c r="AC286" s="197">
        <f t="shared" ref="AC286:AC292" si="78">G286</f>
        <v>55</v>
      </c>
      <c r="AD286" s="197">
        <f t="shared" si="74"/>
        <v>0</v>
      </c>
      <c r="AE286" s="90" t="s">
        <v>1327</v>
      </c>
      <c r="AF286" s="90" t="s">
        <v>1328</v>
      </c>
    </row>
    <row r="287" s="24" customFormat="1" ht="15" customHeight="1" spans="1:32">
      <c r="A287" s="215">
        <v>6</v>
      </c>
      <c r="B287" s="216" t="s">
        <v>1281</v>
      </c>
      <c r="C287" s="217"/>
      <c r="D287" s="216" t="s">
        <v>1192</v>
      </c>
      <c r="E287" s="218" t="s">
        <v>1329</v>
      </c>
      <c r="F287" s="216" t="s">
        <v>1330</v>
      </c>
      <c r="G287" s="231"/>
      <c r="H287" s="232"/>
      <c r="I287" s="220" t="s">
        <v>38</v>
      </c>
      <c r="J287" s="220" t="s">
        <v>1313</v>
      </c>
      <c r="K287" s="220" t="s">
        <v>1324</v>
      </c>
      <c r="L287" s="221" t="s">
        <v>1157</v>
      </c>
      <c r="M287" s="221" t="s">
        <v>42</v>
      </c>
      <c r="N287" s="233" t="s">
        <v>1331</v>
      </c>
      <c r="O287" s="227" t="s">
        <v>44</v>
      </c>
      <c r="P287" s="223"/>
      <c r="Q287" s="224" t="s">
        <v>1316</v>
      </c>
      <c r="R287" s="85" t="s">
        <v>66</v>
      </c>
      <c r="S287" s="95" t="s">
        <v>1306</v>
      </c>
      <c r="T287" s="102">
        <v>45524</v>
      </c>
      <c r="U287" s="87">
        <f t="shared" si="75"/>
        <v>45531</v>
      </c>
      <c r="V287" s="87">
        <f t="shared" si="76"/>
        <v>45545</v>
      </c>
      <c r="W287" s="87">
        <f t="shared" si="77"/>
        <v>45552</v>
      </c>
      <c r="X287" s="220" t="s">
        <v>1332</v>
      </c>
      <c r="Y287" s="88" t="s">
        <v>225</v>
      </c>
      <c r="Z287" s="151" t="s">
        <v>1318</v>
      </c>
      <c r="AA287" s="151" t="s">
        <v>1319</v>
      </c>
      <c r="AB287" s="89"/>
      <c r="AC287" s="200"/>
      <c r="AD287" s="200"/>
      <c r="AE287" s="90" t="s">
        <v>1327</v>
      </c>
      <c r="AF287" s="90" t="s">
        <v>1328</v>
      </c>
    </row>
    <row r="288" s="28" customFormat="1" ht="15" customHeight="1" spans="1:32">
      <c r="A288" s="234">
        <v>7</v>
      </c>
      <c r="B288" s="235" t="s">
        <v>1281</v>
      </c>
      <c r="C288" s="236"/>
      <c r="D288" s="235" t="s">
        <v>1192</v>
      </c>
      <c r="E288" s="237" t="s">
        <v>1333</v>
      </c>
      <c r="F288" s="235" t="s">
        <v>1334</v>
      </c>
      <c r="G288" s="238">
        <v>1</v>
      </c>
      <c r="H288" s="239" t="s">
        <v>1335</v>
      </c>
      <c r="I288" s="239" t="s">
        <v>38</v>
      </c>
      <c r="J288" s="239" t="s">
        <v>1313</v>
      </c>
      <c r="K288" s="120" t="s">
        <v>1336</v>
      </c>
      <c r="L288" s="124"/>
      <c r="M288" s="124" t="s">
        <v>1337</v>
      </c>
      <c r="N288" s="240" t="s">
        <v>1325</v>
      </c>
      <c r="O288" s="98"/>
      <c r="P288" s="84"/>
      <c r="Q288" s="241" t="s">
        <v>1338</v>
      </c>
      <c r="R288" s="85"/>
      <c r="S288" s="85"/>
      <c r="T288" s="242"/>
      <c r="U288" s="87"/>
      <c r="V288" s="87"/>
      <c r="W288" s="87"/>
      <c r="X288" s="239" t="s">
        <v>1339</v>
      </c>
      <c r="Y288" s="243"/>
      <c r="Z288" s="151"/>
      <c r="AA288" s="244" t="s">
        <v>1340</v>
      </c>
      <c r="AB288" s="89"/>
      <c r="AC288" s="73">
        <f t="shared" si="78"/>
        <v>1</v>
      </c>
      <c r="AD288" s="73">
        <f t="shared" ref="AD288:AD291" si="79">G288-AC288</f>
        <v>0</v>
      </c>
      <c r="AE288" s="90" t="s">
        <v>1327</v>
      </c>
      <c r="AF288" s="90" t="s">
        <v>1328</v>
      </c>
    </row>
    <row r="289" s="28" customFormat="1" ht="15" customHeight="1" spans="1:32">
      <c r="A289" s="234">
        <v>8</v>
      </c>
      <c r="B289" s="235" t="s">
        <v>1281</v>
      </c>
      <c r="C289" s="236"/>
      <c r="D289" s="235" t="s">
        <v>1192</v>
      </c>
      <c r="E289" s="237" t="s">
        <v>1341</v>
      </c>
      <c r="F289" s="235" t="s">
        <v>1342</v>
      </c>
      <c r="G289" s="238">
        <v>1</v>
      </c>
      <c r="H289" s="245" t="s">
        <v>1335</v>
      </c>
      <c r="I289" s="239" t="s">
        <v>38</v>
      </c>
      <c r="J289" s="239" t="s">
        <v>1313</v>
      </c>
      <c r="K289" s="120" t="s">
        <v>1336</v>
      </c>
      <c r="L289" s="124"/>
      <c r="M289" s="124" t="s">
        <v>1337</v>
      </c>
      <c r="N289" s="240" t="s">
        <v>1325</v>
      </c>
      <c r="O289" s="98"/>
      <c r="P289" s="84"/>
      <c r="Q289" s="241" t="s">
        <v>1338</v>
      </c>
      <c r="R289" s="85"/>
      <c r="S289" s="85"/>
      <c r="T289" s="242"/>
      <c r="U289" s="87"/>
      <c r="V289" s="87"/>
      <c r="W289" s="87"/>
      <c r="X289" s="239" t="s">
        <v>1343</v>
      </c>
      <c r="Y289" s="243"/>
      <c r="Z289" s="151"/>
      <c r="AA289" s="244" t="s">
        <v>1340</v>
      </c>
      <c r="AB289" s="89"/>
      <c r="AC289" s="73">
        <f t="shared" si="78"/>
        <v>1</v>
      </c>
      <c r="AD289" s="73">
        <f t="shared" si="79"/>
        <v>0</v>
      </c>
      <c r="AE289" s="90" t="s">
        <v>1327</v>
      </c>
      <c r="AF289" s="90" t="s">
        <v>1328</v>
      </c>
    </row>
    <row r="290" s="28" customFormat="1" ht="15" customHeight="1" spans="1:32">
      <c r="A290" s="234">
        <v>9</v>
      </c>
      <c r="B290" s="235" t="s">
        <v>1281</v>
      </c>
      <c r="C290" s="236"/>
      <c r="D290" s="235" t="s">
        <v>1192</v>
      </c>
      <c r="E290" s="237" t="s">
        <v>1344</v>
      </c>
      <c r="F290" s="235" t="s">
        <v>1345</v>
      </c>
      <c r="G290" s="238">
        <v>1</v>
      </c>
      <c r="H290" s="245" t="s">
        <v>1335</v>
      </c>
      <c r="I290" s="239" t="s">
        <v>38</v>
      </c>
      <c r="J290" s="239" t="s">
        <v>1313</v>
      </c>
      <c r="K290" s="120" t="s">
        <v>1336</v>
      </c>
      <c r="L290" s="124"/>
      <c r="M290" s="124" t="s">
        <v>1337</v>
      </c>
      <c r="N290" s="240" t="s">
        <v>1325</v>
      </c>
      <c r="O290" s="98"/>
      <c r="P290" s="84"/>
      <c r="Q290" s="241" t="s">
        <v>1338</v>
      </c>
      <c r="R290" s="85"/>
      <c r="S290" s="85"/>
      <c r="T290" s="242"/>
      <c r="U290" s="87"/>
      <c r="V290" s="87"/>
      <c r="W290" s="87"/>
      <c r="X290" s="239" t="s">
        <v>1346</v>
      </c>
      <c r="Y290" s="243"/>
      <c r="Z290" s="151"/>
      <c r="AA290" s="244" t="s">
        <v>1340</v>
      </c>
      <c r="AB290" s="89"/>
      <c r="AC290" s="73">
        <f t="shared" si="78"/>
        <v>1</v>
      </c>
      <c r="AD290" s="73">
        <f t="shared" si="79"/>
        <v>0</v>
      </c>
      <c r="AE290" s="90" t="s">
        <v>1327</v>
      </c>
      <c r="AF290" s="90" t="s">
        <v>1328</v>
      </c>
    </row>
    <row r="291" s="28" customFormat="1" ht="15" customHeight="1" spans="1:32">
      <c r="A291" s="234">
        <v>10</v>
      </c>
      <c r="B291" s="235" t="s">
        <v>1281</v>
      </c>
      <c r="C291" s="236"/>
      <c r="D291" s="235" t="s">
        <v>1192</v>
      </c>
      <c r="E291" s="237" t="s">
        <v>1347</v>
      </c>
      <c r="F291" s="235" t="s">
        <v>1348</v>
      </c>
      <c r="G291" s="238">
        <v>1</v>
      </c>
      <c r="H291" s="245" t="s">
        <v>1335</v>
      </c>
      <c r="I291" s="239" t="s">
        <v>38</v>
      </c>
      <c r="J291" s="239" t="s">
        <v>1313</v>
      </c>
      <c r="K291" s="120" t="s">
        <v>1349</v>
      </c>
      <c r="L291" s="246" t="s">
        <v>1157</v>
      </c>
      <c r="M291" s="246" t="s">
        <v>42</v>
      </c>
      <c r="N291" s="240" t="s">
        <v>1350</v>
      </c>
      <c r="O291" s="98"/>
      <c r="P291" s="84"/>
      <c r="Q291" s="241" t="s">
        <v>1338</v>
      </c>
      <c r="R291" s="85"/>
      <c r="S291" s="85"/>
      <c r="T291" s="242"/>
      <c r="U291" s="87"/>
      <c r="V291" s="87"/>
      <c r="W291" s="87"/>
      <c r="X291" s="239" t="s">
        <v>1351</v>
      </c>
      <c r="Y291" s="243"/>
      <c r="Z291" s="151"/>
      <c r="AA291" s="151" t="s">
        <v>1319</v>
      </c>
      <c r="AB291" s="89"/>
      <c r="AC291" s="73">
        <f t="shared" si="78"/>
        <v>1</v>
      </c>
      <c r="AD291" s="73">
        <f t="shared" si="79"/>
        <v>0</v>
      </c>
      <c r="AE291" s="90" t="s">
        <v>1327</v>
      </c>
      <c r="AF291" s="90" t="s">
        <v>1328</v>
      </c>
    </row>
    <row r="292" s="22" customFormat="1" ht="15" customHeight="1" spans="1:32">
      <c r="A292" s="75">
        <v>11</v>
      </c>
      <c r="B292" s="76" t="s">
        <v>1281</v>
      </c>
      <c r="C292" s="77"/>
      <c r="D292" s="76" t="s">
        <v>1192</v>
      </c>
      <c r="E292" s="78" t="s">
        <v>1352</v>
      </c>
      <c r="F292" s="76" t="s">
        <v>1353</v>
      </c>
      <c r="G292" s="219">
        <v>44</v>
      </c>
      <c r="H292" s="220" t="s">
        <v>94</v>
      </c>
      <c r="I292" s="80" t="s">
        <v>38</v>
      </c>
      <c r="J292" s="80" t="s">
        <v>1313</v>
      </c>
      <c r="K292" s="80" t="s">
        <v>1354</v>
      </c>
      <c r="L292" s="94" t="s">
        <v>1157</v>
      </c>
      <c r="M292" s="94" t="s">
        <v>42</v>
      </c>
      <c r="N292" s="156" t="s">
        <v>1355</v>
      </c>
      <c r="O292" s="47" t="s">
        <v>44</v>
      </c>
      <c r="P292" s="84"/>
      <c r="Q292" s="85" t="s">
        <v>128</v>
      </c>
      <c r="R292" s="85" t="s">
        <v>66</v>
      </c>
      <c r="S292" s="95" t="s">
        <v>1306</v>
      </c>
      <c r="T292" s="102">
        <v>45524</v>
      </c>
      <c r="U292" s="87">
        <f>T292+7</f>
        <v>45531</v>
      </c>
      <c r="V292" s="87">
        <f>U292+14</f>
        <v>45545</v>
      </c>
      <c r="W292" s="87">
        <f>V292+7</f>
        <v>45552</v>
      </c>
      <c r="X292" s="80" t="s">
        <v>1356</v>
      </c>
      <c r="Y292" s="88" t="s">
        <v>225</v>
      </c>
      <c r="Z292" s="151" t="s">
        <v>1318</v>
      </c>
      <c r="AA292" s="151" t="s">
        <v>1319</v>
      </c>
      <c r="AB292" s="89"/>
      <c r="AC292" s="73">
        <f t="shared" si="78"/>
        <v>44</v>
      </c>
      <c r="AD292" s="73">
        <f t="shared" ref="AD292:AD296" si="80">G292-AC292</f>
        <v>0</v>
      </c>
      <c r="AE292" s="90" t="s">
        <v>1327</v>
      </c>
      <c r="AF292" s="90" t="s">
        <v>1328</v>
      </c>
    </row>
    <row r="293" s="22" customFormat="1" ht="15" customHeight="1" spans="1:32">
      <c r="A293" s="75">
        <v>12</v>
      </c>
      <c r="B293" s="76" t="s">
        <v>1281</v>
      </c>
      <c r="C293" s="77"/>
      <c r="D293" s="76" t="s">
        <v>1357</v>
      </c>
      <c r="E293" s="76" t="s">
        <v>1358</v>
      </c>
      <c r="F293" s="76" t="s">
        <v>1359</v>
      </c>
      <c r="G293" s="79">
        <v>1</v>
      </c>
      <c r="H293" s="80" t="s">
        <v>94</v>
      </c>
      <c r="I293" s="80" t="s">
        <v>38</v>
      </c>
      <c r="J293" s="80" t="s">
        <v>1313</v>
      </c>
      <c r="K293" s="80" t="s">
        <v>1360</v>
      </c>
      <c r="L293" s="94" t="s">
        <v>1361</v>
      </c>
      <c r="M293" s="94" t="s">
        <v>42</v>
      </c>
      <c r="N293" s="141" t="s">
        <v>1362</v>
      </c>
      <c r="O293" s="47" t="s">
        <v>44</v>
      </c>
      <c r="P293" s="84"/>
      <c r="Q293" s="85" t="s">
        <v>128</v>
      </c>
      <c r="R293" s="85" t="s">
        <v>66</v>
      </c>
      <c r="S293" s="95" t="s">
        <v>1306</v>
      </c>
      <c r="T293" s="102">
        <v>45524</v>
      </c>
      <c r="U293" s="87">
        <f>T293+3</f>
        <v>45527</v>
      </c>
      <c r="V293" s="87">
        <f>U293+10</f>
        <v>45537</v>
      </c>
      <c r="W293" s="87">
        <f>V293+5</f>
        <v>45542</v>
      </c>
      <c r="X293" s="247"/>
      <c r="Y293" s="88" t="s">
        <v>225</v>
      </c>
      <c r="Z293" s="151"/>
      <c r="AA293" s="151" t="s">
        <v>1280</v>
      </c>
      <c r="AB293" s="89"/>
      <c r="AC293" s="73">
        <v>1</v>
      </c>
      <c r="AD293" s="73">
        <v>0</v>
      </c>
      <c r="AE293" s="90" t="s">
        <v>1363</v>
      </c>
      <c r="AF293" s="90" t="s">
        <v>1364</v>
      </c>
    </row>
    <row r="294" s="22" customFormat="1" ht="15" customHeight="1" spans="1:32">
      <c r="A294" s="75">
        <v>1</v>
      </c>
      <c r="B294" s="76" t="s">
        <v>1365</v>
      </c>
      <c r="C294" s="77"/>
      <c r="D294" s="76" t="s">
        <v>1192</v>
      </c>
      <c r="E294" s="78" t="s">
        <v>1366</v>
      </c>
      <c r="F294" s="76" t="s">
        <v>1367</v>
      </c>
      <c r="G294" s="79">
        <v>1</v>
      </c>
      <c r="H294" s="204" t="s">
        <v>1030</v>
      </c>
      <c r="I294" s="248" t="s">
        <v>1368</v>
      </c>
      <c r="J294" s="248" t="s">
        <v>1313</v>
      </c>
      <c r="K294" s="78" t="s">
        <v>1369</v>
      </c>
      <c r="L294" s="249" t="s">
        <v>56</v>
      </c>
      <c r="M294" s="249" t="s">
        <v>42</v>
      </c>
      <c r="N294" s="250" t="s">
        <v>1370</v>
      </c>
      <c r="O294" s="251"/>
      <c r="P294" s="84">
        <v>45352</v>
      </c>
      <c r="Q294" s="85" t="s">
        <v>1371</v>
      </c>
      <c r="R294" s="85" t="s">
        <v>1279</v>
      </c>
      <c r="S294" s="85"/>
      <c r="T294" s="87"/>
      <c r="U294" s="87"/>
      <c r="V294" s="87"/>
      <c r="W294" s="87">
        <v>45352</v>
      </c>
      <c r="X294" s="80" t="s">
        <v>1372</v>
      </c>
      <c r="Y294" s="88"/>
      <c r="Z294" s="151"/>
      <c r="AA294" s="252"/>
      <c r="AB294" s="89"/>
      <c r="AC294" s="73">
        <v>1</v>
      </c>
      <c r="AD294" s="73">
        <f t="shared" si="80"/>
        <v>0</v>
      </c>
      <c r="AE294" s="252"/>
      <c r="AF294" s="252"/>
    </row>
    <row r="295" s="22" customFormat="1" ht="15" customHeight="1" spans="1:32">
      <c r="A295" s="75">
        <v>1</v>
      </c>
      <c r="B295" s="253" t="s">
        <v>1373</v>
      </c>
      <c r="C295" s="77"/>
      <c r="D295" s="76" t="s">
        <v>1192</v>
      </c>
      <c r="E295" s="78" t="s">
        <v>1374</v>
      </c>
      <c r="F295" s="76" t="s">
        <v>1375</v>
      </c>
      <c r="G295" s="79">
        <v>1</v>
      </c>
      <c r="H295" s="248"/>
      <c r="I295" s="80" t="s">
        <v>38</v>
      </c>
      <c r="J295" s="80" t="s">
        <v>1313</v>
      </c>
      <c r="K295" s="254" t="s">
        <v>1376</v>
      </c>
      <c r="L295" s="255"/>
      <c r="M295" s="255"/>
      <c r="N295" s="256" t="s">
        <v>1377</v>
      </c>
      <c r="O295" s="98"/>
      <c r="P295" s="66"/>
      <c r="Q295" s="257"/>
      <c r="R295" s="85" t="s">
        <v>46</v>
      </c>
      <c r="S295" s="85"/>
      <c r="T295" s="87"/>
      <c r="U295" s="87"/>
      <c r="V295" s="87"/>
      <c r="W295" s="87"/>
      <c r="X295" s="77"/>
      <c r="Y295" s="88"/>
      <c r="Z295" s="151"/>
      <c r="AA295" s="252"/>
      <c r="AB295" s="89"/>
      <c r="AC295" s="73">
        <v>1</v>
      </c>
      <c r="AD295" s="73">
        <f t="shared" si="80"/>
        <v>0</v>
      </c>
      <c r="AE295" s="120" t="s">
        <v>1378</v>
      </c>
      <c r="AF295" s="120" t="s">
        <v>1379</v>
      </c>
    </row>
    <row r="296" s="22" customFormat="1" ht="15" customHeight="1" spans="1:32">
      <c r="A296" s="258" t="s">
        <v>32</v>
      </c>
      <c r="B296" s="77"/>
      <c r="C296" s="77"/>
      <c r="D296" s="77"/>
      <c r="E296" s="77"/>
      <c r="F296" s="77"/>
      <c r="G296" s="77"/>
      <c r="H296" s="248"/>
      <c r="I296" s="77"/>
      <c r="J296" s="77"/>
      <c r="K296" s="77"/>
      <c r="L296" s="255"/>
      <c r="M296" s="255"/>
      <c r="N296" s="156"/>
      <c r="O296" s="259"/>
      <c r="P296" s="66"/>
      <c r="Q296" s="257"/>
      <c r="R296" s="85" t="s">
        <v>46</v>
      </c>
      <c r="S296" s="85"/>
      <c r="T296" s="87"/>
      <c r="U296" s="87"/>
      <c r="V296" s="87"/>
      <c r="W296" s="87"/>
      <c r="X296" s="252"/>
      <c r="Y296" s="88"/>
      <c r="Z296" s="151"/>
      <c r="AA296" s="252"/>
      <c r="AB296" s="89"/>
      <c r="AC296" s="73">
        <v>0</v>
      </c>
      <c r="AD296" s="73">
        <f t="shared" si="80"/>
        <v>0</v>
      </c>
      <c r="AE296" s="252"/>
      <c r="AF296" s="252"/>
    </row>
    <row r="297" s="22" customFormat="1" ht="15" customHeight="1" spans="1:32">
      <c r="A297" s="260">
        <v>1</v>
      </c>
      <c r="B297" s="258" t="s">
        <v>1380</v>
      </c>
      <c r="C297" s="77"/>
      <c r="D297" s="258" t="s">
        <v>1381</v>
      </c>
      <c r="E297" s="77"/>
      <c r="F297" s="258" t="s">
        <v>1382</v>
      </c>
      <c r="G297" s="138">
        <v>2</v>
      </c>
      <c r="H297" s="44" t="s">
        <v>37</v>
      </c>
      <c r="I297" s="44" t="s">
        <v>38</v>
      </c>
      <c r="J297" s="44" t="s">
        <v>39</v>
      </c>
      <c r="K297" s="44" t="s">
        <v>1383</v>
      </c>
      <c r="L297" s="45" t="s">
        <v>1384</v>
      </c>
      <c r="M297" s="45" t="s">
        <v>42</v>
      </c>
      <c r="N297" s="261" t="s">
        <v>1385</v>
      </c>
      <c r="O297" s="47" t="s">
        <v>44</v>
      </c>
      <c r="P297" s="84">
        <v>45488</v>
      </c>
      <c r="Q297" s="85" t="s">
        <v>128</v>
      </c>
      <c r="R297" s="85" t="s">
        <v>46</v>
      </c>
      <c r="S297" s="85" t="s">
        <v>47</v>
      </c>
      <c r="T297" s="195">
        <v>45457</v>
      </c>
      <c r="U297" s="87">
        <f t="shared" ref="U297:U313" si="81">T297+4</f>
        <v>45461</v>
      </c>
      <c r="V297" s="87">
        <f t="shared" ref="V297:V314" si="82">U297+14</f>
        <v>45475</v>
      </c>
      <c r="W297" s="87">
        <f t="shared" ref="W297:W314" si="83">V297+7</f>
        <v>45482</v>
      </c>
      <c r="X297" s="143"/>
      <c r="Y297" s="88" t="s">
        <v>48</v>
      </c>
      <c r="Z297" s="151" t="s">
        <v>1386</v>
      </c>
      <c r="AA297" s="151" t="s">
        <v>1387</v>
      </c>
      <c r="AB297" s="89" t="s">
        <v>49</v>
      </c>
      <c r="AC297" s="73">
        <f t="shared" ref="AC297:AC315" si="84">G297</f>
        <v>2</v>
      </c>
      <c r="AD297" s="73">
        <f t="shared" ref="AD297:AD315" si="85">G297-AC297</f>
        <v>0</v>
      </c>
      <c r="AE297" s="90" t="s">
        <v>50</v>
      </c>
      <c r="AF297" s="90" t="s">
        <v>1388</v>
      </c>
    </row>
    <row r="298" s="22" customFormat="1" ht="15" customHeight="1" spans="1:32">
      <c r="A298" s="260">
        <v>2</v>
      </c>
      <c r="B298" s="258" t="s">
        <v>1389</v>
      </c>
      <c r="C298" s="77"/>
      <c r="D298" s="258" t="s">
        <v>1381</v>
      </c>
      <c r="E298" s="77"/>
      <c r="F298" s="258" t="s">
        <v>1390</v>
      </c>
      <c r="G298" s="138">
        <v>2</v>
      </c>
      <c r="H298" s="44" t="s">
        <v>37</v>
      </c>
      <c r="I298" s="44" t="s">
        <v>38</v>
      </c>
      <c r="J298" s="44" t="s">
        <v>39</v>
      </c>
      <c r="K298" s="44" t="s">
        <v>1383</v>
      </c>
      <c r="L298" s="45" t="s">
        <v>1384</v>
      </c>
      <c r="M298" s="45" t="s">
        <v>42</v>
      </c>
      <c r="N298" s="261" t="s">
        <v>1385</v>
      </c>
      <c r="O298" s="47" t="s">
        <v>44</v>
      </c>
      <c r="P298" s="84">
        <v>45488</v>
      </c>
      <c r="Q298" s="85" t="s">
        <v>128</v>
      </c>
      <c r="R298" s="85" t="s">
        <v>46</v>
      </c>
      <c r="S298" s="85" t="s">
        <v>47</v>
      </c>
      <c r="T298" s="195">
        <v>45457</v>
      </c>
      <c r="U298" s="87">
        <f t="shared" si="81"/>
        <v>45461</v>
      </c>
      <c r="V298" s="87">
        <f t="shared" si="82"/>
        <v>45475</v>
      </c>
      <c r="W298" s="87">
        <f t="shared" si="83"/>
        <v>45482</v>
      </c>
      <c r="X298" s="143"/>
      <c r="Y298" s="88" t="s">
        <v>48</v>
      </c>
      <c r="Z298" s="151" t="s">
        <v>1391</v>
      </c>
      <c r="AA298" s="151" t="s">
        <v>1392</v>
      </c>
      <c r="AB298" s="89" t="s">
        <v>49</v>
      </c>
      <c r="AC298" s="73">
        <f t="shared" si="84"/>
        <v>2</v>
      </c>
      <c r="AD298" s="73">
        <f t="shared" si="85"/>
        <v>0</v>
      </c>
      <c r="AE298" s="90" t="s">
        <v>50</v>
      </c>
      <c r="AF298" s="90" t="s">
        <v>1388</v>
      </c>
    </row>
    <row r="299" s="22" customFormat="1" ht="15" customHeight="1" spans="1:32">
      <c r="A299" s="260">
        <v>3</v>
      </c>
      <c r="B299" s="258" t="s">
        <v>1393</v>
      </c>
      <c r="C299" s="77"/>
      <c r="D299" s="258" t="s">
        <v>1381</v>
      </c>
      <c r="E299" s="77"/>
      <c r="F299" s="258" t="s">
        <v>1394</v>
      </c>
      <c r="G299" s="138">
        <v>2</v>
      </c>
      <c r="H299" s="44" t="s">
        <v>37</v>
      </c>
      <c r="I299" s="262" t="s">
        <v>38</v>
      </c>
      <c r="J299" s="262" t="s">
        <v>39</v>
      </c>
      <c r="K299" s="44" t="s">
        <v>1383</v>
      </c>
      <c r="L299" s="263" t="s">
        <v>1384</v>
      </c>
      <c r="M299" s="263" t="s">
        <v>42</v>
      </c>
      <c r="N299" s="261" t="s">
        <v>1385</v>
      </c>
      <c r="O299" s="47" t="s">
        <v>44</v>
      </c>
      <c r="P299" s="84">
        <v>45488</v>
      </c>
      <c r="Q299" s="85" t="s">
        <v>128</v>
      </c>
      <c r="R299" s="85" t="s">
        <v>46</v>
      </c>
      <c r="S299" s="85" t="s">
        <v>47</v>
      </c>
      <c r="T299" s="195">
        <v>45457</v>
      </c>
      <c r="U299" s="87">
        <f t="shared" si="81"/>
        <v>45461</v>
      </c>
      <c r="V299" s="87">
        <f t="shared" si="82"/>
        <v>45475</v>
      </c>
      <c r="W299" s="87">
        <f t="shared" si="83"/>
        <v>45482</v>
      </c>
      <c r="X299" s="143"/>
      <c r="Y299" s="88" t="s">
        <v>48</v>
      </c>
      <c r="Z299" s="151" t="s">
        <v>1395</v>
      </c>
      <c r="AA299" s="151" t="s">
        <v>1396</v>
      </c>
      <c r="AB299" s="89" t="s">
        <v>49</v>
      </c>
      <c r="AC299" s="73">
        <f t="shared" si="84"/>
        <v>2</v>
      </c>
      <c r="AD299" s="73">
        <f t="shared" si="85"/>
        <v>0</v>
      </c>
      <c r="AE299" s="90" t="s">
        <v>50</v>
      </c>
      <c r="AF299" s="90" t="s">
        <v>1388</v>
      </c>
    </row>
    <row r="300" s="22" customFormat="1" ht="15" customHeight="1" spans="1:32">
      <c r="A300" s="260">
        <v>4</v>
      </c>
      <c r="B300" s="258" t="s">
        <v>1397</v>
      </c>
      <c r="C300" s="77"/>
      <c r="D300" s="258" t="s">
        <v>1381</v>
      </c>
      <c r="E300" s="77"/>
      <c r="F300" s="258" t="s">
        <v>1398</v>
      </c>
      <c r="G300" s="138">
        <v>2</v>
      </c>
      <c r="H300" s="44" t="s">
        <v>37</v>
      </c>
      <c r="I300" s="262" t="s">
        <v>38</v>
      </c>
      <c r="J300" s="262" t="s">
        <v>39</v>
      </c>
      <c r="K300" s="44" t="s">
        <v>1383</v>
      </c>
      <c r="L300" s="263" t="s">
        <v>1384</v>
      </c>
      <c r="M300" s="263" t="s">
        <v>42</v>
      </c>
      <c r="N300" s="261" t="s">
        <v>1385</v>
      </c>
      <c r="O300" s="47" t="s">
        <v>44</v>
      </c>
      <c r="P300" s="84">
        <v>45488</v>
      </c>
      <c r="Q300" s="85" t="s">
        <v>128</v>
      </c>
      <c r="R300" s="85" t="s">
        <v>46</v>
      </c>
      <c r="S300" s="85" t="s">
        <v>47</v>
      </c>
      <c r="T300" s="195">
        <v>45457</v>
      </c>
      <c r="U300" s="87">
        <f t="shared" si="81"/>
        <v>45461</v>
      </c>
      <c r="V300" s="87">
        <f t="shared" si="82"/>
        <v>45475</v>
      </c>
      <c r="W300" s="87">
        <f t="shared" si="83"/>
        <v>45482</v>
      </c>
      <c r="X300" s="143"/>
      <c r="Y300" s="88" t="s">
        <v>48</v>
      </c>
      <c r="Z300" s="151" t="s">
        <v>1399</v>
      </c>
      <c r="AA300" s="151" t="s">
        <v>1400</v>
      </c>
      <c r="AB300" s="89" t="s">
        <v>49</v>
      </c>
      <c r="AC300" s="73">
        <f t="shared" si="84"/>
        <v>2</v>
      </c>
      <c r="AD300" s="73">
        <f t="shared" si="85"/>
        <v>0</v>
      </c>
      <c r="AE300" s="90" t="s">
        <v>50</v>
      </c>
      <c r="AF300" s="90" t="s">
        <v>1388</v>
      </c>
    </row>
    <row r="301" s="22" customFormat="1" ht="15" customHeight="1" spans="1:32">
      <c r="A301" s="260">
        <v>5</v>
      </c>
      <c r="B301" s="258" t="s">
        <v>1401</v>
      </c>
      <c r="C301" s="77"/>
      <c r="D301" s="258" t="s">
        <v>1381</v>
      </c>
      <c r="E301" s="77"/>
      <c r="F301" s="258" t="s">
        <v>1402</v>
      </c>
      <c r="G301" s="138">
        <v>2</v>
      </c>
      <c r="H301" s="44" t="s">
        <v>37</v>
      </c>
      <c r="I301" s="262" t="s">
        <v>38</v>
      </c>
      <c r="J301" s="262" t="s">
        <v>39</v>
      </c>
      <c r="K301" s="44" t="s">
        <v>1383</v>
      </c>
      <c r="L301" s="263" t="s">
        <v>1384</v>
      </c>
      <c r="M301" s="263" t="s">
        <v>42</v>
      </c>
      <c r="N301" s="261" t="s">
        <v>1385</v>
      </c>
      <c r="O301" s="47" t="s">
        <v>44</v>
      </c>
      <c r="P301" s="84">
        <v>45488</v>
      </c>
      <c r="Q301" s="85" t="s">
        <v>128</v>
      </c>
      <c r="R301" s="85" t="s">
        <v>46</v>
      </c>
      <c r="S301" s="85" t="s">
        <v>47</v>
      </c>
      <c r="T301" s="195">
        <v>45457</v>
      </c>
      <c r="U301" s="87">
        <f t="shared" si="81"/>
        <v>45461</v>
      </c>
      <c r="V301" s="87">
        <f t="shared" si="82"/>
        <v>45475</v>
      </c>
      <c r="W301" s="87">
        <f t="shared" si="83"/>
        <v>45482</v>
      </c>
      <c r="X301" s="143"/>
      <c r="Y301" s="88" t="s">
        <v>48</v>
      </c>
      <c r="Z301" s="151" t="s">
        <v>1403</v>
      </c>
      <c r="AA301" s="151" t="s">
        <v>1404</v>
      </c>
      <c r="AB301" s="89" t="s">
        <v>49</v>
      </c>
      <c r="AC301" s="73">
        <f t="shared" si="84"/>
        <v>2</v>
      </c>
      <c r="AD301" s="73">
        <f t="shared" si="85"/>
        <v>0</v>
      </c>
      <c r="AE301" s="90" t="s">
        <v>50</v>
      </c>
      <c r="AF301" s="90" t="s">
        <v>1388</v>
      </c>
    </row>
    <row r="302" s="22" customFormat="1" ht="15" customHeight="1" spans="1:32">
      <c r="A302" s="260">
        <v>6</v>
      </c>
      <c r="B302" s="258" t="s">
        <v>1405</v>
      </c>
      <c r="C302" s="77"/>
      <c r="D302" s="258" t="s">
        <v>1381</v>
      </c>
      <c r="E302" s="77"/>
      <c r="F302" s="258" t="s">
        <v>1406</v>
      </c>
      <c r="G302" s="138">
        <v>2</v>
      </c>
      <c r="H302" s="44" t="s">
        <v>37</v>
      </c>
      <c r="I302" s="262" t="s">
        <v>38</v>
      </c>
      <c r="J302" s="262" t="s">
        <v>39</v>
      </c>
      <c r="K302" s="44" t="s">
        <v>1383</v>
      </c>
      <c r="L302" s="263" t="s">
        <v>1384</v>
      </c>
      <c r="M302" s="263" t="s">
        <v>42</v>
      </c>
      <c r="N302" s="261" t="s">
        <v>1385</v>
      </c>
      <c r="O302" s="47" t="s">
        <v>44</v>
      </c>
      <c r="P302" s="84">
        <v>45488</v>
      </c>
      <c r="Q302" s="85" t="s">
        <v>128</v>
      </c>
      <c r="R302" s="85" t="s">
        <v>46</v>
      </c>
      <c r="S302" s="85" t="s">
        <v>47</v>
      </c>
      <c r="T302" s="195">
        <v>45457</v>
      </c>
      <c r="U302" s="87">
        <f t="shared" si="81"/>
        <v>45461</v>
      </c>
      <c r="V302" s="87">
        <f t="shared" si="82"/>
        <v>45475</v>
      </c>
      <c r="W302" s="87">
        <f t="shared" si="83"/>
        <v>45482</v>
      </c>
      <c r="X302" s="143"/>
      <c r="Y302" s="88" t="s">
        <v>48</v>
      </c>
      <c r="Z302" s="151" t="s">
        <v>1407</v>
      </c>
      <c r="AA302" s="151" t="s">
        <v>1408</v>
      </c>
      <c r="AB302" s="89" t="s">
        <v>49</v>
      </c>
      <c r="AC302" s="73">
        <f t="shared" si="84"/>
        <v>2</v>
      </c>
      <c r="AD302" s="73">
        <f t="shared" si="85"/>
        <v>0</v>
      </c>
      <c r="AE302" s="90" t="s">
        <v>50</v>
      </c>
      <c r="AF302" s="90" t="s">
        <v>1388</v>
      </c>
    </row>
    <row r="303" s="22" customFormat="1" ht="15" customHeight="1" spans="1:32">
      <c r="A303" s="260">
        <v>7</v>
      </c>
      <c r="B303" s="258" t="s">
        <v>1409</v>
      </c>
      <c r="C303" s="77"/>
      <c r="D303" s="258" t="s">
        <v>1381</v>
      </c>
      <c r="E303" s="77"/>
      <c r="F303" s="258" t="s">
        <v>1410</v>
      </c>
      <c r="G303" s="138">
        <v>4</v>
      </c>
      <c r="H303" s="44" t="s">
        <v>37</v>
      </c>
      <c r="I303" s="262" t="s">
        <v>38</v>
      </c>
      <c r="J303" s="262" t="s">
        <v>39</v>
      </c>
      <c r="K303" s="44" t="s">
        <v>1383</v>
      </c>
      <c r="L303" s="263" t="s">
        <v>1384</v>
      </c>
      <c r="M303" s="263" t="s">
        <v>42</v>
      </c>
      <c r="N303" s="261" t="s">
        <v>1385</v>
      </c>
      <c r="O303" s="47" t="s">
        <v>44</v>
      </c>
      <c r="P303" s="84">
        <v>45488</v>
      </c>
      <c r="Q303" s="85" t="s">
        <v>128</v>
      </c>
      <c r="R303" s="85" t="s">
        <v>46</v>
      </c>
      <c r="S303" s="85" t="s">
        <v>47</v>
      </c>
      <c r="T303" s="195">
        <v>45457</v>
      </c>
      <c r="U303" s="87">
        <f t="shared" si="81"/>
        <v>45461</v>
      </c>
      <c r="V303" s="87">
        <f t="shared" si="82"/>
        <v>45475</v>
      </c>
      <c r="W303" s="87">
        <f t="shared" si="83"/>
        <v>45482</v>
      </c>
      <c r="X303" s="143"/>
      <c r="Y303" s="88" t="s">
        <v>48</v>
      </c>
      <c r="Z303" s="151" t="s">
        <v>1411</v>
      </c>
      <c r="AA303" s="151" t="s">
        <v>1412</v>
      </c>
      <c r="AB303" s="89" t="s">
        <v>49</v>
      </c>
      <c r="AC303" s="73">
        <f t="shared" si="84"/>
        <v>4</v>
      </c>
      <c r="AD303" s="73">
        <f t="shared" si="85"/>
        <v>0</v>
      </c>
      <c r="AE303" s="90" t="s">
        <v>50</v>
      </c>
      <c r="AF303" s="90" t="s">
        <v>1388</v>
      </c>
    </row>
    <row r="304" s="22" customFormat="1" ht="15" customHeight="1" spans="1:32">
      <c r="A304" s="260">
        <v>8</v>
      </c>
      <c r="B304" s="258" t="s">
        <v>1413</v>
      </c>
      <c r="C304" s="77"/>
      <c r="D304" s="258" t="s">
        <v>1381</v>
      </c>
      <c r="E304" s="77"/>
      <c r="F304" s="258" t="s">
        <v>1410</v>
      </c>
      <c r="G304" s="138">
        <v>2</v>
      </c>
      <c r="H304" s="44" t="s">
        <v>37</v>
      </c>
      <c r="I304" s="262" t="s">
        <v>38</v>
      </c>
      <c r="J304" s="262" t="s">
        <v>39</v>
      </c>
      <c r="K304" s="44" t="s">
        <v>1383</v>
      </c>
      <c r="L304" s="263" t="s">
        <v>1384</v>
      </c>
      <c r="M304" s="263" t="s">
        <v>42</v>
      </c>
      <c r="N304" s="261" t="s">
        <v>1385</v>
      </c>
      <c r="O304" s="47" t="s">
        <v>44</v>
      </c>
      <c r="P304" s="84">
        <v>45488</v>
      </c>
      <c r="Q304" s="85" t="s">
        <v>128</v>
      </c>
      <c r="R304" s="85" t="s">
        <v>46</v>
      </c>
      <c r="S304" s="85" t="s">
        <v>47</v>
      </c>
      <c r="T304" s="195">
        <v>45457</v>
      </c>
      <c r="U304" s="87">
        <f t="shared" si="81"/>
        <v>45461</v>
      </c>
      <c r="V304" s="87">
        <f t="shared" si="82"/>
        <v>45475</v>
      </c>
      <c r="W304" s="87">
        <f t="shared" si="83"/>
        <v>45482</v>
      </c>
      <c r="X304" s="143"/>
      <c r="Y304" s="88" t="s">
        <v>48</v>
      </c>
      <c r="Z304" s="151" t="s">
        <v>1414</v>
      </c>
      <c r="AA304" s="151" t="s">
        <v>1415</v>
      </c>
      <c r="AB304" s="89" t="s">
        <v>49</v>
      </c>
      <c r="AC304" s="73">
        <f t="shared" si="84"/>
        <v>2</v>
      </c>
      <c r="AD304" s="73">
        <f t="shared" si="85"/>
        <v>0</v>
      </c>
      <c r="AE304" s="90" t="s">
        <v>50</v>
      </c>
      <c r="AF304" s="90" t="s">
        <v>1388</v>
      </c>
    </row>
    <row r="305" s="22" customFormat="1" ht="15" customHeight="1" spans="1:32">
      <c r="A305" s="260">
        <v>9</v>
      </c>
      <c r="B305" s="258" t="s">
        <v>1416</v>
      </c>
      <c r="C305" s="77"/>
      <c r="D305" s="258" t="s">
        <v>1381</v>
      </c>
      <c r="E305" s="77"/>
      <c r="F305" s="258" t="s">
        <v>1417</v>
      </c>
      <c r="G305" s="138">
        <v>2</v>
      </c>
      <c r="H305" s="44" t="s">
        <v>37</v>
      </c>
      <c r="I305" s="262" t="s">
        <v>38</v>
      </c>
      <c r="J305" s="262" t="s">
        <v>39</v>
      </c>
      <c r="K305" s="44" t="s">
        <v>1383</v>
      </c>
      <c r="L305" s="263" t="s">
        <v>1384</v>
      </c>
      <c r="M305" s="263" t="s">
        <v>42</v>
      </c>
      <c r="N305" s="261" t="s">
        <v>1385</v>
      </c>
      <c r="O305" s="47" t="s">
        <v>44</v>
      </c>
      <c r="P305" s="84">
        <v>45488</v>
      </c>
      <c r="Q305" s="85" t="s">
        <v>128</v>
      </c>
      <c r="R305" s="85" t="s">
        <v>46</v>
      </c>
      <c r="S305" s="85" t="s">
        <v>47</v>
      </c>
      <c r="T305" s="195">
        <v>45457</v>
      </c>
      <c r="U305" s="87">
        <f t="shared" si="81"/>
        <v>45461</v>
      </c>
      <c r="V305" s="87">
        <f t="shared" si="82"/>
        <v>45475</v>
      </c>
      <c r="W305" s="87">
        <f t="shared" si="83"/>
        <v>45482</v>
      </c>
      <c r="X305" s="143"/>
      <c r="Y305" s="88" t="s">
        <v>48</v>
      </c>
      <c r="Z305" s="151" t="s">
        <v>1418</v>
      </c>
      <c r="AA305" s="318" t="s">
        <v>1419</v>
      </c>
      <c r="AB305" s="89" t="s">
        <v>49</v>
      </c>
      <c r="AC305" s="73">
        <f t="shared" si="84"/>
        <v>2</v>
      </c>
      <c r="AD305" s="73">
        <f t="shared" si="85"/>
        <v>0</v>
      </c>
      <c r="AE305" s="90" t="s">
        <v>50</v>
      </c>
      <c r="AF305" s="90" t="s">
        <v>1388</v>
      </c>
    </row>
    <row r="306" s="22" customFormat="1" ht="15" customHeight="1" spans="1:32">
      <c r="A306" s="260">
        <v>10</v>
      </c>
      <c r="B306" s="258" t="s">
        <v>1420</v>
      </c>
      <c r="C306" s="77"/>
      <c r="D306" s="258" t="s">
        <v>1381</v>
      </c>
      <c r="E306" s="77"/>
      <c r="F306" s="258" t="s">
        <v>1421</v>
      </c>
      <c r="G306" s="138">
        <v>2</v>
      </c>
      <c r="H306" s="44" t="s">
        <v>37</v>
      </c>
      <c r="I306" s="262" t="s">
        <v>38</v>
      </c>
      <c r="J306" s="262" t="s">
        <v>39</v>
      </c>
      <c r="K306" s="44" t="s">
        <v>1383</v>
      </c>
      <c r="L306" s="263" t="s">
        <v>1384</v>
      </c>
      <c r="M306" s="263" t="s">
        <v>42</v>
      </c>
      <c r="N306" s="261" t="s">
        <v>1385</v>
      </c>
      <c r="O306" s="47" t="s">
        <v>44</v>
      </c>
      <c r="P306" s="84">
        <v>45488</v>
      </c>
      <c r="Q306" s="85" t="s">
        <v>128</v>
      </c>
      <c r="R306" s="85" t="s">
        <v>46</v>
      </c>
      <c r="S306" s="85" t="s">
        <v>47</v>
      </c>
      <c r="T306" s="195">
        <v>45457</v>
      </c>
      <c r="U306" s="87">
        <f t="shared" si="81"/>
        <v>45461</v>
      </c>
      <c r="V306" s="87">
        <f t="shared" si="82"/>
        <v>45475</v>
      </c>
      <c r="W306" s="87">
        <f t="shared" si="83"/>
        <v>45482</v>
      </c>
      <c r="X306" s="143"/>
      <c r="Y306" s="88" t="s">
        <v>48</v>
      </c>
      <c r="Z306" s="151" t="s">
        <v>1422</v>
      </c>
      <c r="AA306" s="318" t="s">
        <v>1423</v>
      </c>
      <c r="AB306" s="89" t="s">
        <v>49</v>
      </c>
      <c r="AC306" s="73">
        <f t="shared" si="84"/>
        <v>2</v>
      </c>
      <c r="AD306" s="73">
        <f t="shared" si="85"/>
        <v>0</v>
      </c>
      <c r="AE306" s="90" t="s">
        <v>50</v>
      </c>
      <c r="AF306" s="90" t="s">
        <v>1388</v>
      </c>
    </row>
    <row r="307" s="22" customFormat="1" ht="15" customHeight="1" spans="1:32">
      <c r="A307" s="260">
        <v>11</v>
      </c>
      <c r="B307" s="258" t="s">
        <v>1424</v>
      </c>
      <c r="C307" s="77"/>
      <c r="D307" s="258" t="s">
        <v>1381</v>
      </c>
      <c r="E307" s="77"/>
      <c r="F307" s="258" t="s">
        <v>1425</v>
      </c>
      <c r="G307" s="138">
        <v>2</v>
      </c>
      <c r="H307" s="44" t="s">
        <v>37</v>
      </c>
      <c r="I307" s="262" t="s">
        <v>38</v>
      </c>
      <c r="J307" s="262" t="s">
        <v>39</v>
      </c>
      <c r="K307" s="44" t="s">
        <v>1383</v>
      </c>
      <c r="L307" s="263" t="s">
        <v>1384</v>
      </c>
      <c r="M307" s="263" t="s">
        <v>42</v>
      </c>
      <c r="N307" s="261" t="s">
        <v>1385</v>
      </c>
      <c r="O307" s="47" t="s">
        <v>44</v>
      </c>
      <c r="P307" s="84">
        <v>45488</v>
      </c>
      <c r="Q307" s="85" t="s">
        <v>128</v>
      </c>
      <c r="R307" s="85" t="s">
        <v>46</v>
      </c>
      <c r="S307" s="85" t="s">
        <v>47</v>
      </c>
      <c r="T307" s="195">
        <v>45457</v>
      </c>
      <c r="U307" s="87">
        <f t="shared" si="81"/>
        <v>45461</v>
      </c>
      <c r="V307" s="87">
        <f t="shared" si="82"/>
        <v>45475</v>
      </c>
      <c r="W307" s="87">
        <f t="shared" si="83"/>
        <v>45482</v>
      </c>
      <c r="X307" s="143"/>
      <c r="Y307" s="88" t="s">
        <v>48</v>
      </c>
      <c r="Z307" s="151" t="s">
        <v>1426</v>
      </c>
      <c r="AA307" s="318" t="s">
        <v>1427</v>
      </c>
      <c r="AB307" s="89" t="s">
        <v>49</v>
      </c>
      <c r="AC307" s="73">
        <f t="shared" si="84"/>
        <v>2</v>
      </c>
      <c r="AD307" s="73">
        <f t="shared" si="85"/>
        <v>0</v>
      </c>
      <c r="AE307" s="90" t="s">
        <v>50</v>
      </c>
      <c r="AF307" s="90" t="s">
        <v>1388</v>
      </c>
    </row>
    <row r="308" s="22" customFormat="1" ht="15" customHeight="1" spans="1:32">
      <c r="A308" s="260">
        <v>12</v>
      </c>
      <c r="B308" s="258" t="s">
        <v>1428</v>
      </c>
      <c r="C308" s="77"/>
      <c r="D308" s="258" t="s">
        <v>1381</v>
      </c>
      <c r="E308" s="77"/>
      <c r="F308" s="258" t="s">
        <v>1425</v>
      </c>
      <c r="G308" s="138">
        <v>2</v>
      </c>
      <c r="H308" s="44" t="s">
        <v>37</v>
      </c>
      <c r="I308" s="262" t="s">
        <v>38</v>
      </c>
      <c r="J308" s="262" t="s">
        <v>39</v>
      </c>
      <c r="K308" s="44" t="s">
        <v>1383</v>
      </c>
      <c r="L308" s="63"/>
      <c r="M308" s="263" t="s">
        <v>42</v>
      </c>
      <c r="N308" s="261" t="s">
        <v>1385</v>
      </c>
      <c r="O308" s="47" t="s">
        <v>44</v>
      </c>
      <c r="P308" s="84">
        <v>45488</v>
      </c>
      <c r="Q308" s="85" t="s">
        <v>128</v>
      </c>
      <c r="R308" s="85" t="s">
        <v>46</v>
      </c>
      <c r="S308" s="85" t="s">
        <v>47</v>
      </c>
      <c r="T308" s="195">
        <v>45457</v>
      </c>
      <c r="U308" s="87">
        <f t="shared" si="81"/>
        <v>45461</v>
      </c>
      <c r="V308" s="87">
        <f t="shared" si="82"/>
        <v>45475</v>
      </c>
      <c r="W308" s="87">
        <f t="shared" si="83"/>
        <v>45482</v>
      </c>
      <c r="X308" s="143"/>
      <c r="Y308" s="88" t="s">
        <v>48</v>
      </c>
      <c r="Z308" s="151" t="s">
        <v>1426</v>
      </c>
      <c r="AA308" s="318" t="s">
        <v>1429</v>
      </c>
      <c r="AB308" s="89" t="s">
        <v>49</v>
      </c>
      <c r="AC308" s="73">
        <f t="shared" si="84"/>
        <v>2</v>
      </c>
      <c r="AD308" s="73">
        <f t="shared" si="85"/>
        <v>0</v>
      </c>
      <c r="AE308" s="90" t="s">
        <v>50</v>
      </c>
      <c r="AF308" s="90" t="s">
        <v>1388</v>
      </c>
    </row>
    <row r="309" s="22" customFormat="1" ht="15" customHeight="1" spans="1:32">
      <c r="A309" s="260">
        <v>13</v>
      </c>
      <c r="B309" s="258" t="s">
        <v>1430</v>
      </c>
      <c r="C309" s="77"/>
      <c r="D309" s="258" t="s">
        <v>1381</v>
      </c>
      <c r="E309" s="77"/>
      <c r="F309" s="258" t="s">
        <v>1431</v>
      </c>
      <c r="G309" s="138">
        <v>4</v>
      </c>
      <c r="H309" s="44" t="s">
        <v>37</v>
      </c>
      <c r="I309" s="262" t="s">
        <v>38</v>
      </c>
      <c r="J309" s="262" t="s">
        <v>39</v>
      </c>
      <c r="K309" s="44" t="s">
        <v>1383</v>
      </c>
      <c r="L309" s="263" t="s">
        <v>1384</v>
      </c>
      <c r="M309" s="263" t="s">
        <v>42</v>
      </c>
      <c r="N309" s="261" t="s">
        <v>1385</v>
      </c>
      <c r="O309" s="47" t="s">
        <v>44</v>
      </c>
      <c r="P309" s="84">
        <v>45488</v>
      </c>
      <c r="Q309" s="85" t="s">
        <v>128</v>
      </c>
      <c r="R309" s="85" t="s">
        <v>46</v>
      </c>
      <c r="S309" s="85" t="s">
        <v>47</v>
      </c>
      <c r="T309" s="195">
        <v>45457</v>
      </c>
      <c r="U309" s="87">
        <f t="shared" si="81"/>
        <v>45461</v>
      </c>
      <c r="V309" s="87">
        <f t="shared" si="82"/>
        <v>45475</v>
      </c>
      <c r="W309" s="87">
        <f t="shared" si="83"/>
        <v>45482</v>
      </c>
      <c r="X309" s="143"/>
      <c r="Y309" s="88" t="s">
        <v>48</v>
      </c>
      <c r="Z309" s="151" t="s">
        <v>1432</v>
      </c>
      <c r="AA309" s="318" t="s">
        <v>1433</v>
      </c>
      <c r="AB309" s="89" t="s">
        <v>49</v>
      </c>
      <c r="AC309" s="73">
        <f t="shared" si="84"/>
        <v>4</v>
      </c>
      <c r="AD309" s="73">
        <f t="shared" si="85"/>
        <v>0</v>
      </c>
      <c r="AE309" s="90" t="s">
        <v>50</v>
      </c>
      <c r="AF309" s="90" t="s">
        <v>1388</v>
      </c>
    </row>
    <row r="310" s="22" customFormat="1" ht="15" customHeight="1" spans="1:32">
      <c r="A310" s="260">
        <v>14</v>
      </c>
      <c r="B310" s="258" t="s">
        <v>1434</v>
      </c>
      <c r="C310" s="77"/>
      <c r="D310" s="258" t="s">
        <v>1381</v>
      </c>
      <c r="E310" s="77"/>
      <c r="F310" s="258" t="s">
        <v>1435</v>
      </c>
      <c r="G310" s="138">
        <v>2</v>
      </c>
      <c r="H310" s="44" t="s">
        <v>37</v>
      </c>
      <c r="I310" s="262" t="s">
        <v>38</v>
      </c>
      <c r="J310" s="262" t="s">
        <v>39</v>
      </c>
      <c r="K310" s="44" t="s">
        <v>1383</v>
      </c>
      <c r="L310" s="263" t="s">
        <v>1384</v>
      </c>
      <c r="M310" s="263" t="s">
        <v>42</v>
      </c>
      <c r="N310" s="261" t="s">
        <v>1385</v>
      </c>
      <c r="O310" s="47" t="s">
        <v>44</v>
      </c>
      <c r="P310" s="84">
        <v>45488</v>
      </c>
      <c r="Q310" s="85" t="s">
        <v>128</v>
      </c>
      <c r="R310" s="85" t="s">
        <v>46</v>
      </c>
      <c r="S310" s="85" t="s">
        <v>47</v>
      </c>
      <c r="T310" s="195">
        <v>45457</v>
      </c>
      <c r="U310" s="87">
        <f t="shared" si="81"/>
        <v>45461</v>
      </c>
      <c r="V310" s="87">
        <f t="shared" si="82"/>
        <v>45475</v>
      </c>
      <c r="W310" s="87">
        <f t="shared" si="83"/>
        <v>45482</v>
      </c>
      <c r="X310" s="143"/>
      <c r="Y310" s="88" t="s">
        <v>48</v>
      </c>
      <c r="Z310" s="264" t="s">
        <v>1436</v>
      </c>
      <c r="AA310" s="264" t="s">
        <v>1437</v>
      </c>
      <c r="AB310" s="89" t="s">
        <v>49</v>
      </c>
      <c r="AC310" s="73">
        <f t="shared" si="84"/>
        <v>2</v>
      </c>
      <c r="AD310" s="73">
        <f t="shared" si="85"/>
        <v>0</v>
      </c>
      <c r="AE310" s="90" t="s">
        <v>50</v>
      </c>
      <c r="AF310" s="90" t="s">
        <v>1438</v>
      </c>
    </row>
    <row r="311" s="22" customFormat="1" ht="15" customHeight="1" spans="1:32">
      <c r="A311" s="260">
        <v>15</v>
      </c>
      <c r="B311" s="258" t="s">
        <v>1439</v>
      </c>
      <c r="C311" s="77"/>
      <c r="D311" s="258" t="s">
        <v>1381</v>
      </c>
      <c r="E311" s="77"/>
      <c r="F311" s="258" t="s">
        <v>1440</v>
      </c>
      <c r="G311" s="138">
        <v>2</v>
      </c>
      <c r="H311" s="44" t="s">
        <v>37</v>
      </c>
      <c r="I311" s="262" t="s">
        <v>38</v>
      </c>
      <c r="J311" s="262" t="s">
        <v>39</v>
      </c>
      <c r="K311" s="44" t="s">
        <v>1383</v>
      </c>
      <c r="L311" s="263" t="s">
        <v>1384</v>
      </c>
      <c r="M311" s="263" t="s">
        <v>42</v>
      </c>
      <c r="N311" s="261" t="s">
        <v>1385</v>
      </c>
      <c r="O311" s="47" t="s">
        <v>44</v>
      </c>
      <c r="P311" s="84">
        <v>45488</v>
      </c>
      <c r="Q311" s="85" t="s">
        <v>128</v>
      </c>
      <c r="R311" s="85" t="s">
        <v>46</v>
      </c>
      <c r="S311" s="85" t="s">
        <v>47</v>
      </c>
      <c r="T311" s="195">
        <v>45457</v>
      </c>
      <c r="U311" s="87">
        <f t="shared" si="81"/>
        <v>45461</v>
      </c>
      <c r="V311" s="87">
        <f t="shared" si="82"/>
        <v>45475</v>
      </c>
      <c r="W311" s="87">
        <f t="shared" si="83"/>
        <v>45482</v>
      </c>
      <c r="X311" s="143"/>
      <c r="Y311" s="88" t="s">
        <v>48</v>
      </c>
      <c r="Z311" s="151" t="s">
        <v>1441</v>
      </c>
      <c r="AA311" s="151" t="s">
        <v>1442</v>
      </c>
      <c r="AB311" s="89" t="s">
        <v>49</v>
      </c>
      <c r="AC311" s="73">
        <f t="shared" si="84"/>
        <v>2</v>
      </c>
      <c r="AD311" s="73">
        <f t="shared" si="85"/>
        <v>0</v>
      </c>
      <c r="AE311" s="90" t="s">
        <v>50</v>
      </c>
      <c r="AF311" s="90" t="s">
        <v>1388</v>
      </c>
    </row>
    <row r="312" s="22" customFormat="1" ht="15" customHeight="1" spans="1:32">
      <c r="A312" s="260">
        <v>16</v>
      </c>
      <c r="B312" s="258" t="s">
        <v>1443</v>
      </c>
      <c r="C312" s="77"/>
      <c r="D312" s="258" t="s">
        <v>1381</v>
      </c>
      <c r="E312" s="77"/>
      <c r="F312" s="258" t="s">
        <v>1444</v>
      </c>
      <c r="G312" s="138">
        <v>2</v>
      </c>
      <c r="H312" s="44" t="s">
        <v>37</v>
      </c>
      <c r="I312" s="262" t="s">
        <v>38</v>
      </c>
      <c r="J312" s="262" t="s">
        <v>39</v>
      </c>
      <c r="K312" s="44" t="s">
        <v>1383</v>
      </c>
      <c r="L312" s="263" t="s">
        <v>1384</v>
      </c>
      <c r="M312" s="263" t="s">
        <v>42</v>
      </c>
      <c r="N312" s="261" t="s">
        <v>1385</v>
      </c>
      <c r="O312" s="47" t="s">
        <v>44</v>
      </c>
      <c r="P312" s="84">
        <v>45488</v>
      </c>
      <c r="Q312" s="85" t="s">
        <v>128</v>
      </c>
      <c r="R312" s="85" t="s">
        <v>46</v>
      </c>
      <c r="S312" s="85" t="s">
        <v>47</v>
      </c>
      <c r="T312" s="195">
        <v>45457</v>
      </c>
      <c r="U312" s="87">
        <f t="shared" si="81"/>
        <v>45461</v>
      </c>
      <c r="V312" s="87">
        <f t="shared" si="82"/>
        <v>45475</v>
      </c>
      <c r="W312" s="87">
        <f t="shared" si="83"/>
        <v>45482</v>
      </c>
      <c r="X312" s="143"/>
      <c r="Y312" s="88" t="s">
        <v>48</v>
      </c>
      <c r="Z312" s="151" t="s">
        <v>1445</v>
      </c>
      <c r="AA312" s="151" t="s">
        <v>1446</v>
      </c>
      <c r="AB312" s="89" t="s">
        <v>49</v>
      </c>
      <c r="AC312" s="73">
        <f t="shared" si="84"/>
        <v>2</v>
      </c>
      <c r="AD312" s="73">
        <f t="shared" si="85"/>
        <v>0</v>
      </c>
      <c r="AE312" s="90" t="s">
        <v>50</v>
      </c>
      <c r="AF312" s="90" t="s">
        <v>1388</v>
      </c>
    </row>
    <row r="313" s="22" customFormat="1" ht="15" customHeight="1" spans="1:32">
      <c r="A313" s="134">
        <v>17</v>
      </c>
      <c r="B313" s="265">
        <v>310</v>
      </c>
      <c r="C313" s="266" t="s">
        <v>1447</v>
      </c>
      <c r="D313" s="258" t="s">
        <v>1381</v>
      </c>
      <c r="E313" s="267" t="s">
        <v>1448</v>
      </c>
      <c r="F313" s="258" t="s">
        <v>1449</v>
      </c>
      <c r="G313" s="138">
        <v>1</v>
      </c>
      <c r="H313" s="44" t="s">
        <v>37</v>
      </c>
      <c r="I313" s="262" t="s">
        <v>38</v>
      </c>
      <c r="J313" s="262" t="s">
        <v>39</v>
      </c>
      <c r="K313" s="44" t="s">
        <v>1450</v>
      </c>
      <c r="L313" s="263" t="s">
        <v>1451</v>
      </c>
      <c r="M313" s="263" t="s">
        <v>42</v>
      </c>
      <c r="N313" s="141" t="s">
        <v>1452</v>
      </c>
      <c r="O313" s="47" t="s">
        <v>44</v>
      </c>
      <c r="P313" s="84">
        <v>45442</v>
      </c>
      <c r="Q313" s="85" t="s">
        <v>128</v>
      </c>
      <c r="R313" s="85" t="s">
        <v>46</v>
      </c>
      <c r="S313" s="85" t="s">
        <v>47</v>
      </c>
      <c r="T313" s="195">
        <v>45457</v>
      </c>
      <c r="U313" s="87">
        <f t="shared" si="81"/>
        <v>45461</v>
      </c>
      <c r="V313" s="142">
        <f t="shared" si="82"/>
        <v>45475</v>
      </c>
      <c r="W313" s="142">
        <f t="shared" si="83"/>
        <v>45482</v>
      </c>
      <c r="X313" s="252"/>
      <c r="Y313" s="268" t="s">
        <v>48</v>
      </c>
      <c r="Z313" s="151" t="s">
        <v>1453</v>
      </c>
      <c r="AA313" s="151" t="s">
        <v>1454</v>
      </c>
      <c r="AB313" s="89" t="s">
        <v>49</v>
      </c>
      <c r="AC313" s="73">
        <f t="shared" si="84"/>
        <v>1</v>
      </c>
      <c r="AD313" s="73">
        <f t="shared" si="85"/>
        <v>0</v>
      </c>
      <c r="AE313" s="90" t="s">
        <v>1455</v>
      </c>
      <c r="AF313" s="90" t="s">
        <v>1456</v>
      </c>
    </row>
    <row r="314" s="21" customFormat="1" ht="15" customHeight="1" spans="1:32">
      <c r="A314" s="269">
        <v>18</v>
      </c>
      <c r="B314" s="270">
        <v>320</v>
      </c>
      <c r="C314" s="271" t="s">
        <v>1447</v>
      </c>
      <c r="D314" s="272" t="s">
        <v>1381</v>
      </c>
      <c r="E314" s="273" t="s">
        <v>1457</v>
      </c>
      <c r="F314" s="272" t="s">
        <v>1458</v>
      </c>
      <c r="G314" s="274">
        <v>1</v>
      </c>
      <c r="H314" s="44" t="s">
        <v>37</v>
      </c>
      <c r="I314" s="262" t="s">
        <v>38</v>
      </c>
      <c r="J314" s="262" t="s">
        <v>39</v>
      </c>
      <c r="K314" s="262" t="s">
        <v>1459</v>
      </c>
      <c r="L314" s="263" t="s">
        <v>56</v>
      </c>
      <c r="M314" s="263" t="s">
        <v>42</v>
      </c>
      <c r="N314" s="64" t="s">
        <v>1460</v>
      </c>
      <c r="O314" s="98" t="s">
        <v>44</v>
      </c>
      <c r="P314" s="84">
        <v>45412</v>
      </c>
      <c r="Q314" s="99" t="s">
        <v>128</v>
      </c>
      <c r="R314" s="99" t="s">
        <v>46</v>
      </c>
      <c r="S314" s="99" t="s">
        <v>87</v>
      </c>
      <c r="T314" s="102">
        <v>45490</v>
      </c>
      <c r="U314" s="87">
        <v>45525</v>
      </c>
      <c r="V314" s="87">
        <f t="shared" ref="V314:V319" si="86">U314+7</f>
        <v>45532</v>
      </c>
      <c r="W314" s="87">
        <f t="shared" ref="W314:W319" si="87">V314+3</f>
        <v>45535</v>
      </c>
      <c r="X314" s="74"/>
      <c r="Y314" s="70" t="s">
        <v>88</v>
      </c>
      <c r="Z314" s="151" t="s">
        <v>1461</v>
      </c>
      <c r="AA314" s="151" t="s">
        <v>1462</v>
      </c>
      <c r="AB314" s="89" t="s">
        <v>49</v>
      </c>
      <c r="AC314" s="73">
        <f t="shared" si="84"/>
        <v>1</v>
      </c>
      <c r="AD314" s="73">
        <f t="shared" si="85"/>
        <v>0</v>
      </c>
      <c r="AE314" s="101" t="s">
        <v>89</v>
      </c>
      <c r="AF314" s="101" t="s">
        <v>1463</v>
      </c>
    </row>
    <row r="315" s="21" customFormat="1" ht="15" customHeight="1" spans="1:32">
      <c r="A315" s="269">
        <v>19</v>
      </c>
      <c r="B315" s="270">
        <v>330</v>
      </c>
      <c r="C315" s="271" t="s">
        <v>1447</v>
      </c>
      <c r="D315" s="272" t="s">
        <v>1381</v>
      </c>
      <c r="E315" s="273" t="s">
        <v>1464</v>
      </c>
      <c r="F315" s="272" t="s">
        <v>1465</v>
      </c>
      <c r="G315" s="274">
        <v>1</v>
      </c>
      <c r="H315" s="81" t="s">
        <v>37</v>
      </c>
      <c r="I315" s="262" t="s">
        <v>38</v>
      </c>
      <c r="J315" s="262" t="s">
        <v>39</v>
      </c>
      <c r="K315" s="262" t="s">
        <v>1466</v>
      </c>
      <c r="L315" s="263" t="s">
        <v>1451</v>
      </c>
      <c r="M315" s="263" t="s">
        <v>42</v>
      </c>
      <c r="N315" s="64" t="s">
        <v>1467</v>
      </c>
      <c r="O315" s="98" t="s">
        <v>44</v>
      </c>
      <c r="P315" s="84">
        <v>45412</v>
      </c>
      <c r="Q315" s="99" t="s">
        <v>128</v>
      </c>
      <c r="R315" s="85" t="s">
        <v>66</v>
      </c>
      <c r="S315" s="99" t="s">
        <v>67</v>
      </c>
      <c r="T315" s="102">
        <v>45517</v>
      </c>
      <c r="U315" s="142">
        <v>45520</v>
      </c>
      <c r="V315" s="142">
        <v>45530</v>
      </c>
      <c r="W315" s="142">
        <v>45533</v>
      </c>
      <c r="X315" s="74"/>
      <c r="Y315" s="70" t="s">
        <v>225</v>
      </c>
      <c r="Z315" s="71" t="s">
        <v>1468</v>
      </c>
      <c r="AA315" s="151" t="s">
        <v>1469</v>
      </c>
      <c r="AB315" s="89" t="s">
        <v>49</v>
      </c>
      <c r="AC315" s="73">
        <f t="shared" si="84"/>
        <v>1</v>
      </c>
      <c r="AD315" s="73">
        <f t="shared" si="85"/>
        <v>0</v>
      </c>
      <c r="AE315" s="101" t="s">
        <v>1470</v>
      </c>
      <c r="AF315" s="90" t="s">
        <v>1471</v>
      </c>
    </row>
    <row r="316" s="22" customFormat="1" ht="15" customHeight="1" spans="1:32">
      <c r="A316" s="260">
        <v>20</v>
      </c>
      <c r="B316" s="265">
        <v>340</v>
      </c>
      <c r="C316" s="266" t="s">
        <v>1447</v>
      </c>
      <c r="D316" s="258" t="s">
        <v>1381</v>
      </c>
      <c r="E316" s="267" t="s">
        <v>1472</v>
      </c>
      <c r="F316" s="258" t="s">
        <v>1473</v>
      </c>
      <c r="G316" s="138">
        <v>1</v>
      </c>
      <c r="H316" s="275" t="s">
        <v>37</v>
      </c>
      <c r="I316" s="262" t="s">
        <v>38</v>
      </c>
      <c r="J316" s="262" t="s">
        <v>39</v>
      </c>
      <c r="K316" s="44" t="s">
        <v>1474</v>
      </c>
      <c r="L316" s="263" t="s">
        <v>1475</v>
      </c>
      <c r="M316" s="263" t="s">
        <v>42</v>
      </c>
      <c r="N316" s="250" t="s">
        <v>1476</v>
      </c>
      <c r="O316" s="47" t="s">
        <v>44</v>
      </c>
      <c r="P316" s="84">
        <v>45412</v>
      </c>
      <c r="Q316" s="85" t="s">
        <v>128</v>
      </c>
      <c r="R316" s="85" t="s">
        <v>66</v>
      </c>
      <c r="S316" s="95" t="s">
        <v>67</v>
      </c>
      <c r="T316" s="142">
        <v>45457</v>
      </c>
      <c r="U316" s="87">
        <f t="shared" ref="U316:U327" si="88">T316+4</f>
        <v>45461</v>
      </c>
      <c r="V316" s="142">
        <f>U316+14</f>
        <v>45475</v>
      </c>
      <c r="W316" s="142">
        <f t="shared" ref="W315:W337" si="89">V316+7</f>
        <v>45482</v>
      </c>
      <c r="X316" s="252"/>
      <c r="Y316" s="88" t="s">
        <v>48</v>
      </c>
      <c r="Z316" s="276" t="s">
        <v>1477</v>
      </c>
      <c r="AA316" s="151" t="s">
        <v>1478</v>
      </c>
      <c r="AB316" s="89" t="s">
        <v>49</v>
      </c>
      <c r="AC316" s="73">
        <f t="shared" ref="AC316:AC328" si="90">G316</f>
        <v>1</v>
      </c>
      <c r="AD316" s="73">
        <f t="shared" ref="AD316:AD328" si="91">G316-AC316</f>
        <v>0</v>
      </c>
      <c r="AE316" s="90" t="s">
        <v>1479</v>
      </c>
      <c r="AF316" s="90" t="s">
        <v>1480</v>
      </c>
    </row>
    <row r="317" s="22" customFormat="1" ht="15" customHeight="1" spans="1:32">
      <c r="A317" s="134">
        <v>21</v>
      </c>
      <c r="B317" s="265">
        <v>350</v>
      </c>
      <c r="C317" s="266" t="s">
        <v>1447</v>
      </c>
      <c r="D317" s="258" t="s">
        <v>1381</v>
      </c>
      <c r="E317" s="267" t="s">
        <v>1481</v>
      </c>
      <c r="F317" s="258" t="s">
        <v>1482</v>
      </c>
      <c r="G317" s="138">
        <v>1</v>
      </c>
      <c r="H317" s="275" t="s">
        <v>37</v>
      </c>
      <c r="I317" s="262" t="s">
        <v>38</v>
      </c>
      <c r="J317" s="262" t="s">
        <v>39</v>
      </c>
      <c r="K317" s="44" t="s">
        <v>1483</v>
      </c>
      <c r="L317" s="263" t="s">
        <v>1484</v>
      </c>
      <c r="M317" s="263" t="s">
        <v>1484</v>
      </c>
      <c r="N317" s="141" t="s">
        <v>1485</v>
      </c>
      <c r="O317" s="98"/>
      <c r="P317" s="84">
        <v>45412</v>
      </c>
      <c r="Q317" s="99" t="s">
        <v>128</v>
      </c>
      <c r="R317" s="85" t="s">
        <v>46</v>
      </c>
      <c r="S317" s="99" t="s">
        <v>87</v>
      </c>
      <c r="T317" s="102">
        <v>45490</v>
      </c>
      <c r="U317" s="87">
        <v>45525</v>
      </c>
      <c r="V317" s="87">
        <f t="shared" si="86"/>
        <v>45532</v>
      </c>
      <c r="W317" s="87">
        <f t="shared" si="87"/>
        <v>45535</v>
      </c>
      <c r="X317" s="252"/>
      <c r="Y317" s="88" t="s">
        <v>88</v>
      </c>
      <c r="Z317" s="71" t="s">
        <v>1486</v>
      </c>
      <c r="AA317" s="151" t="s">
        <v>1487</v>
      </c>
      <c r="AB317" s="193" t="s">
        <v>1488</v>
      </c>
      <c r="AC317" s="73">
        <f t="shared" si="90"/>
        <v>1</v>
      </c>
      <c r="AD317" s="73">
        <f t="shared" si="91"/>
        <v>0</v>
      </c>
      <c r="AE317" s="101" t="s">
        <v>89</v>
      </c>
      <c r="AF317" s="90" t="s">
        <v>1489</v>
      </c>
    </row>
    <row r="318" s="21" customFormat="1" ht="15" customHeight="1" spans="1:32">
      <c r="A318" s="269">
        <v>22</v>
      </c>
      <c r="B318" s="270">
        <v>400</v>
      </c>
      <c r="C318" s="271" t="s">
        <v>1447</v>
      </c>
      <c r="D318" s="272" t="s">
        <v>1381</v>
      </c>
      <c r="E318" s="273" t="s">
        <v>1490</v>
      </c>
      <c r="F318" s="272" t="s">
        <v>1491</v>
      </c>
      <c r="G318" s="274">
        <v>1</v>
      </c>
      <c r="H318" s="275" t="s">
        <v>37</v>
      </c>
      <c r="I318" s="262" t="s">
        <v>38</v>
      </c>
      <c r="J318" s="262" t="s">
        <v>39</v>
      </c>
      <c r="K318" s="262" t="s">
        <v>1492</v>
      </c>
      <c r="L318" s="263" t="s">
        <v>1451</v>
      </c>
      <c r="M318" s="263" t="s">
        <v>42</v>
      </c>
      <c r="N318" s="145" t="s">
        <v>1493</v>
      </c>
      <c r="O318" s="98" t="s">
        <v>44</v>
      </c>
      <c r="P318" s="84">
        <v>45488</v>
      </c>
      <c r="Q318" s="99" t="s">
        <v>128</v>
      </c>
      <c r="R318" s="99" t="s">
        <v>46</v>
      </c>
      <c r="S318" s="99" t="s">
        <v>87</v>
      </c>
      <c r="T318" s="102">
        <v>45490</v>
      </c>
      <c r="U318" s="87">
        <v>45525</v>
      </c>
      <c r="V318" s="87">
        <f t="shared" si="86"/>
        <v>45532</v>
      </c>
      <c r="W318" s="87">
        <f t="shared" si="87"/>
        <v>45535</v>
      </c>
      <c r="X318" s="74"/>
      <c r="Y318" s="70" t="s">
        <v>88</v>
      </c>
      <c r="Z318" s="71" t="s">
        <v>1494</v>
      </c>
      <c r="AA318" s="151" t="s">
        <v>1495</v>
      </c>
      <c r="AB318" s="89" t="s">
        <v>49</v>
      </c>
      <c r="AC318" s="73">
        <f t="shared" si="90"/>
        <v>1</v>
      </c>
      <c r="AD318" s="73">
        <f t="shared" si="91"/>
        <v>0</v>
      </c>
      <c r="AE318" s="101" t="s">
        <v>89</v>
      </c>
      <c r="AF318" s="101" t="s">
        <v>1496</v>
      </c>
    </row>
    <row r="319" s="21" customFormat="1" ht="15" customHeight="1" spans="1:32">
      <c r="A319" s="277">
        <v>23</v>
      </c>
      <c r="B319" s="270">
        <v>520</v>
      </c>
      <c r="C319" s="271" t="s">
        <v>1447</v>
      </c>
      <c r="D319" s="272" t="s">
        <v>1381</v>
      </c>
      <c r="E319" s="273" t="s">
        <v>1497</v>
      </c>
      <c r="F319" s="272" t="s">
        <v>1498</v>
      </c>
      <c r="G319" s="274">
        <v>1</v>
      </c>
      <c r="H319" s="275" t="s">
        <v>37</v>
      </c>
      <c r="I319" s="262" t="s">
        <v>38</v>
      </c>
      <c r="J319" s="262" t="s">
        <v>39</v>
      </c>
      <c r="K319" s="262" t="s">
        <v>1499</v>
      </c>
      <c r="L319" s="263" t="s">
        <v>1451</v>
      </c>
      <c r="M319" s="263" t="s">
        <v>42</v>
      </c>
      <c r="N319" s="133" t="s">
        <v>1500</v>
      </c>
      <c r="O319" s="98"/>
      <c r="P319" s="84">
        <v>45412</v>
      </c>
      <c r="Q319" s="99" t="s">
        <v>128</v>
      </c>
      <c r="R319" s="99" t="s">
        <v>46</v>
      </c>
      <c r="S319" s="99" t="s">
        <v>87</v>
      </c>
      <c r="T319" s="102">
        <v>45490</v>
      </c>
      <c r="U319" s="87">
        <v>45525</v>
      </c>
      <c r="V319" s="87">
        <f t="shared" si="86"/>
        <v>45532</v>
      </c>
      <c r="W319" s="87">
        <f t="shared" si="87"/>
        <v>45535</v>
      </c>
      <c r="X319" s="74"/>
      <c r="Y319" s="70" t="s">
        <v>88</v>
      </c>
      <c r="Z319" s="71" t="s">
        <v>1501</v>
      </c>
      <c r="AA319" s="151" t="s">
        <v>1502</v>
      </c>
      <c r="AB319" s="89" t="s">
        <v>49</v>
      </c>
      <c r="AC319" s="73">
        <f t="shared" si="90"/>
        <v>1</v>
      </c>
      <c r="AD319" s="73">
        <f t="shared" si="91"/>
        <v>0</v>
      </c>
      <c r="AE319" s="101" t="s">
        <v>89</v>
      </c>
      <c r="AF319" s="101" t="s">
        <v>1503</v>
      </c>
    </row>
    <row r="320" s="22" customFormat="1" ht="15" customHeight="1" spans="1:32">
      <c r="A320" s="260">
        <v>24</v>
      </c>
      <c r="B320" s="258" t="s">
        <v>1504</v>
      </c>
      <c r="C320" s="77"/>
      <c r="D320" s="258" t="s">
        <v>1381</v>
      </c>
      <c r="E320" s="267" t="s">
        <v>1505</v>
      </c>
      <c r="F320" s="258" t="s">
        <v>1506</v>
      </c>
      <c r="G320" s="138">
        <v>1</v>
      </c>
      <c r="H320" s="275" t="s">
        <v>94</v>
      </c>
      <c r="I320" s="262" t="s">
        <v>38</v>
      </c>
      <c r="J320" s="262" t="s">
        <v>39</v>
      </c>
      <c r="K320" s="44" t="s">
        <v>1212</v>
      </c>
      <c r="L320" s="263" t="s">
        <v>1507</v>
      </c>
      <c r="M320" s="263" t="s">
        <v>173</v>
      </c>
      <c r="N320" s="141" t="s">
        <v>536</v>
      </c>
      <c r="O320" s="47" t="s">
        <v>44</v>
      </c>
      <c r="P320" s="84">
        <v>45412</v>
      </c>
      <c r="Q320" s="85" t="s">
        <v>128</v>
      </c>
      <c r="R320" s="85" t="s">
        <v>46</v>
      </c>
      <c r="S320" s="95" t="s">
        <v>147</v>
      </c>
      <c r="T320" s="86">
        <v>45457</v>
      </c>
      <c r="U320" s="87">
        <f t="shared" si="88"/>
        <v>45461</v>
      </c>
      <c r="V320" s="86">
        <f t="shared" ref="V320:V327" si="92">U320+14</f>
        <v>45475</v>
      </c>
      <c r="W320" s="86">
        <f t="shared" si="89"/>
        <v>45482</v>
      </c>
      <c r="X320" s="252"/>
      <c r="Y320" s="88" t="s">
        <v>48</v>
      </c>
      <c r="Z320" s="71" t="s">
        <v>1508</v>
      </c>
      <c r="AA320" s="151" t="s">
        <v>1509</v>
      </c>
      <c r="AB320" s="89" t="s">
        <v>49</v>
      </c>
      <c r="AC320" s="73">
        <f t="shared" si="90"/>
        <v>1</v>
      </c>
      <c r="AD320" s="73">
        <f t="shared" si="91"/>
        <v>0</v>
      </c>
      <c r="AE320" s="90" t="s">
        <v>50</v>
      </c>
      <c r="AF320" s="90" t="s">
        <v>1216</v>
      </c>
    </row>
    <row r="321" s="22" customFormat="1" ht="15" customHeight="1" spans="1:32">
      <c r="A321" s="260">
        <v>25</v>
      </c>
      <c r="B321" s="258" t="s">
        <v>1510</v>
      </c>
      <c r="C321" s="77"/>
      <c r="D321" s="258" t="s">
        <v>1381</v>
      </c>
      <c r="E321" s="267" t="s">
        <v>1511</v>
      </c>
      <c r="F321" s="258" t="s">
        <v>1512</v>
      </c>
      <c r="G321" s="138">
        <v>1</v>
      </c>
      <c r="H321" s="275" t="s">
        <v>94</v>
      </c>
      <c r="I321" s="262" t="s">
        <v>38</v>
      </c>
      <c r="J321" s="262" t="s">
        <v>39</v>
      </c>
      <c r="K321" s="44" t="s">
        <v>1212</v>
      </c>
      <c r="L321" s="263" t="s">
        <v>1507</v>
      </c>
      <c r="M321" s="263" t="s">
        <v>173</v>
      </c>
      <c r="N321" s="141" t="s">
        <v>536</v>
      </c>
      <c r="O321" s="47" t="s">
        <v>44</v>
      </c>
      <c r="P321" s="84">
        <v>45412</v>
      </c>
      <c r="Q321" s="85" t="s">
        <v>128</v>
      </c>
      <c r="R321" s="85" t="s">
        <v>46</v>
      </c>
      <c r="S321" s="95" t="s">
        <v>147</v>
      </c>
      <c r="T321" s="86">
        <v>45457</v>
      </c>
      <c r="U321" s="87">
        <f t="shared" si="88"/>
        <v>45461</v>
      </c>
      <c r="V321" s="86">
        <f t="shared" si="92"/>
        <v>45475</v>
      </c>
      <c r="W321" s="86">
        <f t="shared" si="89"/>
        <v>45482</v>
      </c>
      <c r="X321" s="252"/>
      <c r="Y321" s="88" t="s">
        <v>48</v>
      </c>
      <c r="Z321" s="71" t="s">
        <v>1508</v>
      </c>
      <c r="AA321" s="151" t="s">
        <v>1509</v>
      </c>
      <c r="AB321" s="89" t="s">
        <v>49</v>
      </c>
      <c r="AC321" s="73">
        <f t="shared" si="90"/>
        <v>1</v>
      </c>
      <c r="AD321" s="73">
        <f t="shared" si="91"/>
        <v>0</v>
      </c>
      <c r="AE321" s="90" t="s">
        <v>50</v>
      </c>
      <c r="AF321" s="90" t="s">
        <v>1216</v>
      </c>
    </row>
    <row r="322" s="22" customFormat="1" ht="15" customHeight="1" spans="1:32">
      <c r="A322" s="260">
        <v>26</v>
      </c>
      <c r="B322" s="258" t="s">
        <v>1513</v>
      </c>
      <c r="C322" s="77"/>
      <c r="D322" s="258" t="s">
        <v>1381</v>
      </c>
      <c r="E322" s="267" t="s">
        <v>1514</v>
      </c>
      <c r="F322" s="258" t="s">
        <v>1515</v>
      </c>
      <c r="G322" s="138">
        <v>1</v>
      </c>
      <c r="H322" s="275" t="s">
        <v>94</v>
      </c>
      <c r="I322" s="262" t="s">
        <v>38</v>
      </c>
      <c r="J322" s="262" t="s">
        <v>39</v>
      </c>
      <c r="K322" s="44" t="s">
        <v>1212</v>
      </c>
      <c r="L322" s="263" t="s">
        <v>1507</v>
      </c>
      <c r="M322" s="263" t="s">
        <v>173</v>
      </c>
      <c r="N322" s="141" t="s">
        <v>536</v>
      </c>
      <c r="O322" s="47" t="s">
        <v>44</v>
      </c>
      <c r="P322" s="84">
        <v>45412</v>
      </c>
      <c r="Q322" s="85" t="s">
        <v>128</v>
      </c>
      <c r="R322" s="85" t="s">
        <v>46</v>
      </c>
      <c r="S322" s="95" t="s">
        <v>147</v>
      </c>
      <c r="T322" s="86">
        <v>45457</v>
      </c>
      <c r="U322" s="87">
        <f t="shared" si="88"/>
        <v>45461</v>
      </c>
      <c r="V322" s="86">
        <f t="shared" si="92"/>
        <v>45475</v>
      </c>
      <c r="W322" s="86">
        <f t="shared" si="89"/>
        <v>45482</v>
      </c>
      <c r="X322" s="252"/>
      <c r="Y322" s="88" t="s">
        <v>48</v>
      </c>
      <c r="Z322" s="71" t="s">
        <v>1214</v>
      </c>
      <c r="AA322" s="151" t="s">
        <v>1215</v>
      </c>
      <c r="AB322" s="89" t="s">
        <v>49</v>
      </c>
      <c r="AC322" s="73">
        <f t="shared" si="90"/>
        <v>1</v>
      </c>
      <c r="AD322" s="73">
        <f t="shared" si="91"/>
        <v>0</v>
      </c>
      <c r="AE322" s="90" t="s">
        <v>50</v>
      </c>
      <c r="AF322" s="90" t="s">
        <v>1216</v>
      </c>
    </row>
    <row r="323" s="22" customFormat="1" ht="15" customHeight="1" spans="1:32">
      <c r="A323" s="91">
        <v>27</v>
      </c>
      <c r="B323" s="92" t="s">
        <v>1516</v>
      </c>
      <c r="C323" s="278"/>
      <c r="D323" s="76" t="s">
        <v>1381</v>
      </c>
      <c r="E323" s="78" t="s">
        <v>292</v>
      </c>
      <c r="F323" s="76" t="s">
        <v>1517</v>
      </c>
      <c r="G323" s="79">
        <v>1</v>
      </c>
      <c r="H323" s="275" t="s">
        <v>94</v>
      </c>
      <c r="I323" s="81" t="s">
        <v>38</v>
      </c>
      <c r="J323" s="81" t="s">
        <v>39</v>
      </c>
      <c r="K323" s="80" t="s">
        <v>1212</v>
      </c>
      <c r="L323" s="82" t="s">
        <v>1507</v>
      </c>
      <c r="M323" s="94" t="s">
        <v>173</v>
      </c>
      <c r="N323" s="141" t="s">
        <v>536</v>
      </c>
      <c r="O323" s="47" t="s">
        <v>44</v>
      </c>
      <c r="P323" s="84">
        <v>45412</v>
      </c>
      <c r="Q323" s="85" t="s">
        <v>128</v>
      </c>
      <c r="R323" s="85" t="s">
        <v>46</v>
      </c>
      <c r="S323" s="95" t="s">
        <v>147</v>
      </c>
      <c r="T323" s="86">
        <v>45457</v>
      </c>
      <c r="U323" s="87">
        <f t="shared" si="88"/>
        <v>45461</v>
      </c>
      <c r="V323" s="86">
        <f t="shared" si="92"/>
        <v>45475</v>
      </c>
      <c r="W323" s="86">
        <f t="shared" si="89"/>
        <v>45482</v>
      </c>
      <c r="X323" s="252"/>
      <c r="Y323" s="88" t="s">
        <v>48</v>
      </c>
      <c r="Z323" s="71" t="s">
        <v>1214</v>
      </c>
      <c r="AA323" s="151" t="s">
        <v>1215</v>
      </c>
      <c r="AB323" s="89" t="s">
        <v>49</v>
      </c>
      <c r="AC323" s="73">
        <f t="shared" si="90"/>
        <v>1</v>
      </c>
      <c r="AD323" s="73">
        <f t="shared" si="91"/>
        <v>0</v>
      </c>
      <c r="AE323" s="90" t="s">
        <v>50</v>
      </c>
      <c r="AF323" s="90" t="s">
        <v>1216</v>
      </c>
    </row>
    <row r="324" s="22" customFormat="1" ht="15" customHeight="1" spans="1:32">
      <c r="A324" s="260">
        <v>28</v>
      </c>
      <c r="B324" s="258" t="s">
        <v>1518</v>
      </c>
      <c r="C324" s="77"/>
      <c r="D324" s="258" t="s">
        <v>1381</v>
      </c>
      <c r="E324" s="267" t="s">
        <v>1519</v>
      </c>
      <c r="F324" s="258" t="s">
        <v>1520</v>
      </c>
      <c r="G324" s="138">
        <v>1</v>
      </c>
      <c r="H324" s="275" t="s">
        <v>94</v>
      </c>
      <c r="I324" s="262" t="s">
        <v>38</v>
      </c>
      <c r="J324" s="262" t="s">
        <v>39</v>
      </c>
      <c r="K324" s="44" t="s">
        <v>1212</v>
      </c>
      <c r="L324" s="263" t="s">
        <v>1507</v>
      </c>
      <c r="M324" s="263" t="s">
        <v>173</v>
      </c>
      <c r="N324" s="141" t="s">
        <v>536</v>
      </c>
      <c r="O324" s="47" t="s">
        <v>44</v>
      </c>
      <c r="P324" s="84">
        <v>45412</v>
      </c>
      <c r="Q324" s="85" t="s">
        <v>128</v>
      </c>
      <c r="R324" s="85" t="s">
        <v>46</v>
      </c>
      <c r="S324" s="95" t="s">
        <v>147</v>
      </c>
      <c r="T324" s="86">
        <v>45457</v>
      </c>
      <c r="U324" s="87">
        <f t="shared" si="88"/>
        <v>45461</v>
      </c>
      <c r="V324" s="86">
        <f t="shared" si="92"/>
        <v>45475</v>
      </c>
      <c r="W324" s="86">
        <f t="shared" si="89"/>
        <v>45482</v>
      </c>
      <c r="X324" s="252"/>
      <c r="Y324" s="88" t="s">
        <v>48</v>
      </c>
      <c r="Z324" s="71" t="s">
        <v>1214</v>
      </c>
      <c r="AA324" s="151" t="s">
        <v>1215</v>
      </c>
      <c r="AB324" s="89" t="s">
        <v>49</v>
      </c>
      <c r="AC324" s="73">
        <f t="shared" si="90"/>
        <v>1</v>
      </c>
      <c r="AD324" s="73">
        <f t="shared" si="91"/>
        <v>0</v>
      </c>
      <c r="AE324" s="90" t="s">
        <v>50</v>
      </c>
      <c r="AF324" s="90" t="s">
        <v>1216</v>
      </c>
    </row>
    <row r="325" s="22" customFormat="1" ht="15" customHeight="1" spans="1:32">
      <c r="A325" s="260">
        <v>29</v>
      </c>
      <c r="B325" s="258" t="s">
        <v>1521</v>
      </c>
      <c r="C325" s="77"/>
      <c r="D325" s="258" t="s">
        <v>1381</v>
      </c>
      <c r="E325" s="267" t="s">
        <v>1522</v>
      </c>
      <c r="F325" s="258" t="s">
        <v>1523</v>
      </c>
      <c r="G325" s="138">
        <v>1</v>
      </c>
      <c r="H325" s="275" t="s">
        <v>94</v>
      </c>
      <c r="I325" s="262" t="s">
        <v>38</v>
      </c>
      <c r="J325" s="262" t="s">
        <v>39</v>
      </c>
      <c r="K325" s="44" t="s">
        <v>1212</v>
      </c>
      <c r="L325" s="263" t="s">
        <v>1507</v>
      </c>
      <c r="M325" s="263" t="s">
        <v>173</v>
      </c>
      <c r="N325" s="141" t="s">
        <v>536</v>
      </c>
      <c r="O325" s="47" t="s">
        <v>44</v>
      </c>
      <c r="P325" s="84">
        <v>45412</v>
      </c>
      <c r="Q325" s="85" t="s">
        <v>128</v>
      </c>
      <c r="R325" s="85" t="s">
        <v>46</v>
      </c>
      <c r="S325" s="95" t="s">
        <v>147</v>
      </c>
      <c r="T325" s="86">
        <v>45457</v>
      </c>
      <c r="U325" s="87">
        <f t="shared" si="88"/>
        <v>45461</v>
      </c>
      <c r="V325" s="86">
        <f t="shared" si="92"/>
        <v>45475</v>
      </c>
      <c r="W325" s="86">
        <f t="shared" si="89"/>
        <v>45482</v>
      </c>
      <c r="X325" s="252"/>
      <c r="Y325" s="88" t="s">
        <v>48</v>
      </c>
      <c r="Z325" s="71" t="s">
        <v>1214</v>
      </c>
      <c r="AA325" s="151" t="s">
        <v>1215</v>
      </c>
      <c r="AB325" s="89" t="s">
        <v>49</v>
      </c>
      <c r="AC325" s="73">
        <f t="shared" si="90"/>
        <v>1</v>
      </c>
      <c r="AD325" s="73">
        <f t="shared" si="91"/>
        <v>0</v>
      </c>
      <c r="AE325" s="90" t="s">
        <v>50</v>
      </c>
      <c r="AF325" s="90" t="s">
        <v>1216</v>
      </c>
    </row>
    <row r="326" s="22" customFormat="1" ht="15" customHeight="1" spans="1:32">
      <c r="A326" s="260">
        <v>30</v>
      </c>
      <c r="B326" s="258" t="s">
        <v>1524</v>
      </c>
      <c r="C326" s="77"/>
      <c r="D326" s="258" t="s">
        <v>1381</v>
      </c>
      <c r="E326" s="267" t="s">
        <v>1525</v>
      </c>
      <c r="F326" s="258" t="s">
        <v>1526</v>
      </c>
      <c r="G326" s="138">
        <v>1</v>
      </c>
      <c r="H326" s="275" t="s">
        <v>94</v>
      </c>
      <c r="I326" s="262" t="s">
        <v>38</v>
      </c>
      <c r="J326" s="262" t="s">
        <v>39</v>
      </c>
      <c r="K326" s="44" t="s">
        <v>1212</v>
      </c>
      <c r="L326" s="263" t="s">
        <v>1507</v>
      </c>
      <c r="M326" s="263" t="s">
        <v>173</v>
      </c>
      <c r="N326" s="141" t="s">
        <v>536</v>
      </c>
      <c r="O326" s="47" t="s">
        <v>44</v>
      </c>
      <c r="P326" s="84">
        <v>45412</v>
      </c>
      <c r="Q326" s="85" t="s">
        <v>128</v>
      </c>
      <c r="R326" s="85" t="s">
        <v>46</v>
      </c>
      <c r="S326" s="95" t="s">
        <v>147</v>
      </c>
      <c r="T326" s="86">
        <v>45457</v>
      </c>
      <c r="U326" s="87">
        <f t="shared" si="88"/>
        <v>45461</v>
      </c>
      <c r="V326" s="86">
        <f t="shared" si="92"/>
        <v>45475</v>
      </c>
      <c r="W326" s="86">
        <f t="shared" si="89"/>
        <v>45482</v>
      </c>
      <c r="X326" s="252"/>
      <c r="Y326" s="88" t="s">
        <v>48</v>
      </c>
      <c r="Z326" s="71" t="s">
        <v>1214</v>
      </c>
      <c r="AA326" s="151" t="s">
        <v>1215</v>
      </c>
      <c r="AB326" s="89" t="s">
        <v>49</v>
      </c>
      <c r="AC326" s="73">
        <f t="shared" si="90"/>
        <v>1</v>
      </c>
      <c r="AD326" s="73">
        <f t="shared" si="91"/>
        <v>0</v>
      </c>
      <c r="AE326" s="90" t="s">
        <v>50</v>
      </c>
      <c r="AF326" s="90" t="s">
        <v>1216</v>
      </c>
    </row>
    <row r="327" s="22" customFormat="1" ht="15" customHeight="1" spans="1:32">
      <c r="A327" s="260">
        <v>31</v>
      </c>
      <c r="B327" s="258" t="s">
        <v>1527</v>
      </c>
      <c r="C327" s="77"/>
      <c r="D327" s="258" t="s">
        <v>1381</v>
      </c>
      <c r="E327" s="267" t="s">
        <v>1528</v>
      </c>
      <c r="F327" s="258" t="s">
        <v>1529</v>
      </c>
      <c r="G327" s="138">
        <v>1</v>
      </c>
      <c r="H327" s="275" t="s">
        <v>94</v>
      </c>
      <c r="I327" s="262" t="s">
        <v>38</v>
      </c>
      <c r="J327" s="262" t="s">
        <v>39</v>
      </c>
      <c r="K327" s="44" t="s">
        <v>1212</v>
      </c>
      <c r="L327" s="263" t="s">
        <v>1507</v>
      </c>
      <c r="M327" s="263" t="s">
        <v>173</v>
      </c>
      <c r="N327" s="141" t="s">
        <v>536</v>
      </c>
      <c r="O327" s="47" t="s">
        <v>44</v>
      </c>
      <c r="P327" s="84">
        <v>45412</v>
      </c>
      <c r="Q327" s="85" t="s">
        <v>128</v>
      </c>
      <c r="R327" s="85" t="s">
        <v>46</v>
      </c>
      <c r="S327" s="95" t="s">
        <v>147</v>
      </c>
      <c r="T327" s="86">
        <v>45457</v>
      </c>
      <c r="U327" s="87">
        <f t="shared" si="88"/>
        <v>45461</v>
      </c>
      <c r="V327" s="86">
        <f t="shared" si="92"/>
        <v>45475</v>
      </c>
      <c r="W327" s="86">
        <f t="shared" si="89"/>
        <v>45482</v>
      </c>
      <c r="X327" s="252"/>
      <c r="Y327" s="88" t="s">
        <v>48</v>
      </c>
      <c r="Z327" s="71" t="s">
        <v>1214</v>
      </c>
      <c r="AA327" s="151" t="s">
        <v>1215</v>
      </c>
      <c r="AB327" s="89" t="s">
        <v>49</v>
      </c>
      <c r="AC327" s="73">
        <f t="shared" si="90"/>
        <v>1</v>
      </c>
      <c r="AD327" s="73">
        <f t="shared" si="91"/>
        <v>0</v>
      </c>
      <c r="AE327" s="90" t="s">
        <v>50</v>
      </c>
      <c r="AF327" s="90" t="s">
        <v>1216</v>
      </c>
    </row>
    <row r="328" s="21" customFormat="1" ht="15" customHeight="1" spans="1:32">
      <c r="A328" s="277">
        <v>32</v>
      </c>
      <c r="B328" s="272" t="s">
        <v>1530</v>
      </c>
      <c r="C328" s="60"/>
      <c r="D328" s="272" t="s">
        <v>1381</v>
      </c>
      <c r="E328" s="273" t="s">
        <v>1531</v>
      </c>
      <c r="F328" s="272" t="s">
        <v>1532</v>
      </c>
      <c r="G328" s="274">
        <v>1</v>
      </c>
      <c r="H328" s="275" t="s">
        <v>94</v>
      </c>
      <c r="I328" s="262" t="s">
        <v>38</v>
      </c>
      <c r="J328" s="262" t="s">
        <v>39</v>
      </c>
      <c r="K328" s="262" t="s">
        <v>1533</v>
      </c>
      <c r="L328" s="279" t="s">
        <v>1534</v>
      </c>
      <c r="M328" s="279" t="s">
        <v>173</v>
      </c>
      <c r="N328" s="133" t="s">
        <v>174</v>
      </c>
      <c r="O328" s="98"/>
      <c r="P328" s="84">
        <v>45442</v>
      </c>
      <c r="Q328" s="99" t="s">
        <v>128</v>
      </c>
      <c r="R328" s="99" t="s">
        <v>46</v>
      </c>
      <c r="S328" s="99" t="s">
        <v>87</v>
      </c>
      <c r="T328" s="102">
        <v>45490</v>
      </c>
      <c r="U328" s="87">
        <v>45525</v>
      </c>
      <c r="V328" s="87">
        <f>U328+7</f>
        <v>45532</v>
      </c>
      <c r="W328" s="87">
        <f>V328+3</f>
        <v>45535</v>
      </c>
      <c r="X328" s="74"/>
      <c r="Y328" s="70" t="s">
        <v>88</v>
      </c>
      <c r="Z328" s="71" t="s">
        <v>1535</v>
      </c>
      <c r="AA328" s="151" t="s">
        <v>1536</v>
      </c>
      <c r="AB328" s="89" t="s">
        <v>49</v>
      </c>
      <c r="AC328" s="73">
        <f t="shared" si="90"/>
        <v>1</v>
      </c>
      <c r="AD328" s="73">
        <f t="shared" si="91"/>
        <v>0</v>
      </c>
      <c r="AE328" s="101" t="s">
        <v>89</v>
      </c>
      <c r="AF328" s="101" t="s">
        <v>175</v>
      </c>
    </row>
    <row r="329" s="21" customFormat="1" ht="15" customHeight="1" spans="1:32">
      <c r="A329" s="277">
        <v>33</v>
      </c>
      <c r="B329" s="272" t="s">
        <v>1537</v>
      </c>
      <c r="C329" s="60"/>
      <c r="D329" s="272" t="s">
        <v>1381</v>
      </c>
      <c r="E329" s="273" t="s">
        <v>1218</v>
      </c>
      <c r="F329" s="272" t="s">
        <v>1538</v>
      </c>
      <c r="G329" s="274">
        <v>1</v>
      </c>
      <c r="H329" s="275" t="s">
        <v>37</v>
      </c>
      <c r="I329" s="262" t="s">
        <v>38</v>
      </c>
      <c r="J329" s="262" t="s">
        <v>39</v>
      </c>
      <c r="K329" s="262" t="s">
        <v>937</v>
      </c>
      <c r="L329" s="263" t="s">
        <v>56</v>
      </c>
      <c r="M329" s="263" t="s">
        <v>42</v>
      </c>
      <c r="N329" s="145" t="s">
        <v>938</v>
      </c>
      <c r="O329" s="98" t="s">
        <v>44</v>
      </c>
      <c r="P329" s="84">
        <v>45412</v>
      </c>
      <c r="Q329" s="131" t="s">
        <v>128</v>
      </c>
      <c r="R329" s="99" t="s">
        <v>46</v>
      </c>
      <c r="S329" s="127" t="s">
        <v>147</v>
      </c>
      <c r="T329" s="87">
        <v>45394</v>
      </c>
      <c r="U329" s="87">
        <f t="shared" ref="U329:U337" si="93">T329+7</f>
        <v>45401</v>
      </c>
      <c r="V329" s="87">
        <v>45412</v>
      </c>
      <c r="W329" s="87">
        <f t="shared" si="89"/>
        <v>45419</v>
      </c>
      <c r="X329" s="74"/>
      <c r="Y329" s="315" t="s">
        <v>79</v>
      </c>
      <c r="Z329" s="71" t="s">
        <v>1539</v>
      </c>
      <c r="AA329" s="151" t="s">
        <v>1540</v>
      </c>
      <c r="AB329" s="89" t="s">
        <v>49</v>
      </c>
      <c r="AC329" s="73">
        <f t="shared" ref="AC329:AC337" si="94">G329</f>
        <v>1</v>
      </c>
      <c r="AD329" s="73">
        <f t="shared" ref="AD329:AD337" si="95">G329-AC329</f>
        <v>0</v>
      </c>
      <c r="AE329" s="129" t="s">
        <v>138</v>
      </c>
      <c r="AF329" s="101" t="s">
        <v>939</v>
      </c>
    </row>
    <row r="330" s="21" customFormat="1" ht="15" customHeight="1" spans="1:32">
      <c r="A330" s="277">
        <v>34</v>
      </c>
      <c r="B330" s="272" t="s">
        <v>1541</v>
      </c>
      <c r="C330" s="60"/>
      <c r="D330" s="272" t="s">
        <v>1381</v>
      </c>
      <c r="E330" s="272" t="s">
        <v>1542</v>
      </c>
      <c r="F330" s="272" t="s">
        <v>1542</v>
      </c>
      <c r="G330" s="274">
        <v>1</v>
      </c>
      <c r="H330" s="275" t="s">
        <v>94</v>
      </c>
      <c r="I330" s="262" t="s">
        <v>38</v>
      </c>
      <c r="J330" s="262" t="s">
        <v>39</v>
      </c>
      <c r="K330" s="262" t="s">
        <v>937</v>
      </c>
      <c r="L330" s="263" t="s">
        <v>56</v>
      </c>
      <c r="M330" s="263" t="s">
        <v>42</v>
      </c>
      <c r="N330" s="145" t="s">
        <v>938</v>
      </c>
      <c r="O330" s="98" t="s">
        <v>44</v>
      </c>
      <c r="P330" s="84">
        <v>45412</v>
      </c>
      <c r="Q330" s="131" t="s">
        <v>128</v>
      </c>
      <c r="R330" s="99" t="s">
        <v>46</v>
      </c>
      <c r="S330" s="127" t="s">
        <v>147</v>
      </c>
      <c r="T330" s="87">
        <v>45394</v>
      </c>
      <c r="U330" s="87">
        <f t="shared" si="93"/>
        <v>45401</v>
      </c>
      <c r="V330" s="87">
        <v>45412</v>
      </c>
      <c r="W330" s="87">
        <f t="shared" si="89"/>
        <v>45419</v>
      </c>
      <c r="X330" s="74"/>
      <c r="Y330" s="315" t="s">
        <v>79</v>
      </c>
      <c r="Z330" s="71" t="s">
        <v>1543</v>
      </c>
      <c r="AA330" s="151" t="s">
        <v>1544</v>
      </c>
      <c r="AB330" s="89" t="s">
        <v>49</v>
      </c>
      <c r="AC330" s="73">
        <f t="shared" si="94"/>
        <v>1</v>
      </c>
      <c r="AD330" s="73">
        <f t="shared" si="95"/>
        <v>0</v>
      </c>
      <c r="AE330" s="129" t="s">
        <v>138</v>
      </c>
      <c r="AF330" s="101" t="s">
        <v>939</v>
      </c>
    </row>
    <row r="331" s="21" customFormat="1" ht="15" customHeight="1" spans="1:32">
      <c r="A331" s="277">
        <v>35</v>
      </c>
      <c r="B331" s="272" t="s">
        <v>1545</v>
      </c>
      <c r="C331" s="60"/>
      <c r="D331" s="272" t="s">
        <v>1381</v>
      </c>
      <c r="E331" s="272" t="s">
        <v>1542</v>
      </c>
      <c r="F331" s="272" t="s">
        <v>1542</v>
      </c>
      <c r="G331" s="274">
        <v>1</v>
      </c>
      <c r="H331" s="275" t="s">
        <v>94</v>
      </c>
      <c r="I331" s="262" t="s">
        <v>38</v>
      </c>
      <c r="J331" s="262" t="s">
        <v>39</v>
      </c>
      <c r="K331" s="262" t="s">
        <v>937</v>
      </c>
      <c r="L331" s="263" t="s">
        <v>56</v>
      </c>
      <c r="M331" s="263" t="s">
        <v>42</v>
      </c>
      <c r="N331" s="145" t="s">
        <v>938</v>
      </c>
      <c r="O331" s="98" t="s">
        <v>44</v>
      </c>
      <c r="P331" s="84">
        <v>45412</v>
      </c>
      <c r="Q331" s="131" t="s">
        <v>128</v>
      </c>
      <c r="R331" s="99" t="s">
        <v>46</v>
      </c>
      <c r="S331" s="127" t="s">
        <v>147</v>
      </c>
      <c r="T331" s="87">
        <v>45394</v>
      </c>
      <c r="U331" s="87">
        <f t="shared" si="93"/>
        <v>45401</v>
      </c>
      <c r="V331" s="87">
        <v>45412</v>
      </c>
      <c r="W331" s="87">
        <f t="shared" si="89"/>
        <v>45419</v>
      </c>
      <c r="X331" s="74"/>
      <c r="Y331" s="315" t="s">
        <v>79</v>
      </c>
      <c r="Z331" s="71" t="s">
        <v>1543</v>
      </c>
      <c r="AA331" s="151" t="s">
        <v>1544</v>
      </c>
      <c r="AB331" s="89" t="s">
        <v>49</v>
      </c>
      <c r="AC331" s="73">
        <f t="shared" si="94"/>
        <v>1</v>
      </c>
      <c r="AD331" s="73">
        <f t="shared" si="95"/>
        <v>0</v>
      </c>
      <c r="AE331" s="129" t="s">
        <v>138</v>
      </c>
      <c r="AF331" s="101" t="s">
        <v>939</v>
      </c>
    </row>
    <row r="332" s="21" customFormat="1" ht="15" customHeight="1" spans="1:32">
      <c r="A332" s="277">
        <v>36</v>
      </c>
      <c r="B332" s="272" t="s">
        <v>1546</v>
      </c>
      <c r="C332" s="60"/>
      <c r="D332" s="272" t="s">
        <v>1381</v>
      </c>
      <c r="E332" s="272" t="s">
        <v>1542</v>
      </c>
      <c r="F332" s="272" t="s">
        <v>1542</v>
      </c>
      <c r="G332" s="274">
        <v>1</v>
      </c>
      <c r="H332" s="275" t="s">
        <v>94</v>
      </c>
      <c r="I332" s="262" t="s">
        <v>38</v>
      </c>
      <c r="J332" s="262" t="s">
        <v>39</v>
      </c>
      <c r="K332" s="262" t="s">
        <v>937</v>
      </c>
      <c r="L332" s="263" t="s">
        <v>56</v>
      </c>
      <c r="M332" s="263" t="s">
        <v>42</v>
      </c>
      <c r="N332" s="145" t="s">
        <v>938</v>
      </c>
      <c r="O332" s="98" t="s">
        <v>44</v>
      </c>
      <c r="P332" s="84">
        <v>45412</v>
      </c>
      <c r="Q332" s="131" t="s">
        <v>128</v>
      </c>
      <c r="R332" s="99" t="s">
        <v>46</v>
      </c>
      <c r="S332" s="127" t="s">
        <v>147</v>
      </c>
      <c r="T332" s="87">
        <v>45394</v>
      </c>
      <c r="U332" s="87">
        <f t="shared" si="93"/>
        <v>45401</v>
      </c>
      <c r="V332" s="87">
        <v>45412</v>
      </c>
      <c r="W332" s="87">
        <f t="shared" si="89"/>
        <v>45419</v>
      </c>
      <c r="X332" s="74"/>
      <c r="Y332" s="315" t="s">
        <v>79</v>
      </c>
      <c r="Z332" s="71" t="s">
        <v>1543</v>
      </c>
      <c r="AA332" s="151" t="s">
        <v>1544</v>
      </c>
      <c r="AB332" s="89" t="s">
        <v>49</v>
      </c>
      <c r="AC332" s="73">
        <f t="shared" si="94"/>
        <v>1</v>
      </c>
      <c r="AD332" s="73">
        <f t="shared" si="95"/>
        <v>0</v>
      </c>
      <c r="AE332" s="129" t="s">
        <v>138</v>
      </c>
      <c r="AF332" s="101" t="s">
        <v>939</v>
      </c>
    </row>
    <row r="333" s="21" customFormat="1" ht="15" customHeight="1" spans="1:32">
      <c r="A333" s="277">
        <v>37</v>
      </c>
      <c r="B333" s="272" t="s">
        <v>1547</v>
      </c>
      <c r="C333" s="60"/>
      <c r="D333" s="272" t="s">
        <v>1381</v>
      </c>
      <c r="E333" s="272" t="s">
        <v>1542</v>
      </c>
      <c r="F333" s="272" t="s">
        <v>1542</v>
      </c>
      <c r="G333" s="274">
        <v>1</v>
      </c>
      <c r="H333" s="275" t="s">
        <v>94</v>
      </c>
      <c r="I333" s="262" t="s">
        <v>38</v>
      </c>
      <c r="J333" s="262" t="s">
        <v>39</v>
      </c>
      <c r="K333" s="262" t="s">
        <v>937</v>
      </c>
      <c r="L333" s="263" t="s">
        <v>56</v>
      </c>
      <c r="M333" s="263" t="s">
        <v>42</v>
      </c>
      <c r="N333" s="145" t="s">
        <v>938</v>
      </c>
      <c r="O333" s="98" t="s">
        <v>44</v>
      </c>
      <c r="P333" s="84">
        <v>45412</v>
      </c>
      <c r="Q333" s="131" t="s">
        <v>128</v>
      </c>
      <c r="R333" s="99" t="s">
        <v>46</v>
      </c>
      <c r="S333" s="127" t="s">
        <v>147</v>
      </c>
      <c r="T333" s="87">
        <v>45394</v>
      </c>
      <c r="U333" s="87">
        <f t="shared" si="93"/>
        <v>45401</v>
      </c>
      <c r="V333" s="87">
        <v>45412</v>
      </c>
      <c r="W333" s="87">
        <f t="shared" si="89"/>
        <v>45419</v>
      </c>
      <c r="X333" s="74"/>
      <c r="Y333" s="315" t="s">
        <v>79</v>
      </c>
      <c r="Z333" s="71" t="s">
        <v>1543</v>
      </c>
      <c r="AA333" s="151" t="s">
        <v>1544</v>
      </c>
      <c r="AB333" s="89" t="s">
        <v>49</v>
      </c>
      <c r="AC333" s="73">
        <f t="shared" si="94"/>
        <v>1</v>
      </c>
      <c r="AD333" s="73">
        <f t="shared" si="95"/>
        <v>0</v>
      </c>
      <c r="AE333" s="129" t="s">
        <v>138</v>
      </c>
      <c r="AF333" s="101" t="s">
        <v>939</v>
      </c>
    </row>
    <row r="334" s="21" customFormat="1" ht="15" customHeight="1" spans="1:32">
      <c r="A334" s="277">
        <v>38</v>
      </c>
      <c r="B334" s="272" t="s">
        <v>1548</v>
      </c>
      <c r="C334" s="60"/>
      <c r="D334" s="272" t="s">
        <v>1381</v>
      </c>
      <c r="E334" s="272" t="s">
        <v>1542</v>
      </c>
      <c r="F334" s="272" t="s">
        <v>1542</v>
      </c>
      <c r="G334" s="274">
        <v>1</v>
      </c>
      <c r="H334" s="275" t="s">
        <v>94</v>
      </c>
      <c r="I334" s="262" t="s">
        <v>38</v>
      </c>
      <c r="J334" s="262" t="s">
        <v>39</v>
      </c>
      <c r="K334" s="262" t="s">
        <v>937</v>
      </c>
      <c r="L334" s="263" t="s">
        <v>56</v>
      </c>
      <c r="M334" s="263" t="s">
        <v>42</v>
      </c>
      <c r="N334" s="145" t="s">
        <v>938</v>
      </c>
      <c r="O334" s="98" t="s">
        <v>44</v>
      </c>
      <c r="P334" s="84">
        <v>45412</v>
      </c>
      <c r="Q334" s="131" t="s">
        <v>128</v>
      </c>
      <c r="R334" s="99" t="s">
        <v>46</v>
      </c>
      <c r="S334" s="127" t="s">
        <v>147</v>
      </c>
      <c r="T334" s="87">
        <v>45394</v>
      </c>
      <c r="U334" s="87">
        <f t="shared" si="93"/>
        <v>45401</v>
      </c>
      <c r="V334" s="87">
        <v>45412</v>
      </c>
      <c r="W334" s="87">
        <f t="shared" si="89"/>
        <v>45419</v>
      </c>
      <c r="X334" s="74"/>
      <c r="Y334" s="315" t="s">
        <v>79</v>
      </c>
      <c r="Z334" s="71" t="s">
        <v>1543</v>
      </c>
      <c r="AA334" s="280" t="s">
        <v>1549</v>
      </c>
      <c r="AB334" s="89" t="s">
        <v>49</v>
      </c>
      <c r="AC334" s="73">
        <f t="shared" si="94"/>
        <v>1</v>
      </c>
      <c r="AD334" s="73">
        <f t="shared" si="95"/>
        <v>0</v>
      </c>
      <c r="AE334" s="129" t="s">
        <v>138</v>
      </c>
      <c r="AF334" s="101" t="s">
        <v>1550</v>
      </c>
    </row>
    <row r="335" s="21" customFormat="1" ht="15" customHeight="1" spans="1:32">
      <c r="A335" s="277">
        <v>39</v>
      </c>
      <c r="B335" s="272" t="s">
        <v>1551</v>
      </c>
      <c r="C335" s="60"/>
      <c r="D335" s="272" t="s">
        <v>1381</v>
      </c>
      <c r="E335" s="272" t="s">
        <v>1552</v>
      </c>
      <c r="F335" s="272" t="s">
        <v>1552</v>
      </c>
      <c r="G335" s="274">
        <v>1</v>
      </c>
      <c r="H335" s="275" t="s">
        <v>94</v>
      </c>
      <c r="I335" s="262" t="s">
        <v>38</v>
      </c>
      <c r="J335" s="262" t="s">
        <v>39</v>
      </c>
      <c r="K335" s="262" t="s">
        <v>937</v>
      </c>
      <c r="L335" s="263" t="s">
        <v>56</v>
      </c>
      <c r="M335" s="263" t="s">
        <v>42</v>
      </c>
      <c r="N335" s="145" t="s">
        <v>938</v>
      </c>
      <c r="O335" s="98" t="s">
        <v>44</v>
      </c>
      <c r="P335" s="84">
        <v>45412</v>
      </c>
      <c r="Q335" s="131" t="s">
        <v>128</v>
      </c>
      <c r="R335" s="99" t="s">
        <v>46</v>
      </c>
      <c r="S335" s="127" t="s">
        <v>147</v>
      </c>
      <c r="T335" s="87">
        <v>45394</v>
      </c>
      <c r="U335" s="87">
        <f t="shared" si="93"/>
        <v>45401</v>
      </c>
      <c r="V335" s="87">
        <v>45412</v>
      </c>
      <c r="W335" s="87">
        <f t="shared" si="89"/>
        <v>45419</v>
      </c>
      <c r="X335" s="74"/>
      <c r="Y335" s="315" t="s">
        <v>79</v>
      </c>
      <c r="Z335" s="71" t="s">
        <v>1553</v>
      </c>
      <c r="AA335" s="151" t="s">
        <v>1554</v>
      </c>
      <c r="AB335" s="89" t="s">
        <v>49</v>
      </c>
      <c r="AC335" s="73">
        <f t="shared" si="94"/>
        <v>1</v>
      </c>
      <c r="AD335" s="73">
        <f t="shared" si="95"/>
        <v>0</v>
      </c>
      <c r="AE335" s="129" t="s">
        <v>138</v>
      </c>
      <c r="AF335" s="101" t="s">
        <v>939</v>
      </c>
    </row>
    <row r="336" s="21" customFormat="1" ht="15" customHeight="1" spans="1:32">
      <c r="A336" s="277">
        <v>40</v>
      </c>
      <c r="B336" s="272" t="s">
        <v>1555</v>
      </c>
      <c r="C336" s="60"/>
      <c r="D336" s="272" t="s">
        <v>1381</v>
      </c>
      <c r="E336" s="272" t="s">
        <v>1552</v>
      </c>
      <c r="F336" s="272" t="s">
        <v>1552</v>
      </c>
      <c r="G336" s="274">
        <v>1</v>
      </c>
      <c r="H336" s="275" t="s">
        <v>94</v>
      </c>
      <c r="I336" s="262" t="s">
        <v>38</v>
      </c>
      <c r="J336" s="262" t="s">
        <v>39</v>
      </c>
      <c r="K336" s="262" t="s">
        <v>937</v>
      </c>
      <c r="L336" s="263" t="s">
        <v>56</v>
      </c>
      <c r="M336" s="263" t="s">
        <v>42</v>
      </c>
      <c r="N336" s="145" t="s">
        <v>938</v>
      </c>
      <c r="O336" s="98" t="s">
        <v>44</v>
      </c>
      <c r="P336" s="84">
        <v>45412</v>
      </c>
      <c r="Q336" s="131" t="s">
        <v>128</v>
      </c>
      <c r="R336" s="99" t="s">
        <v>46</v>
      </c>
      <c r="S336" s="127" t="s">
        <v>147</v>
      </c>
      <c r="T336" s="87">
        <v>45394</v>
      </c>
      <c r="U336" s="87">
        <f t="shared" si="93"/>
        <v>45401</v>
      </c>
      <c r="V336" s="87">
        <v>45412</v>
      </c>
      <c r="W336" s="87">
        <f t="shared" si="89"/>
        <v>45419</v>
      </c>
      <c r="X336" s="74"/>
      <c r="Y336" s="315" t="s">
        <v>79</v>
      </c>
      <c r="Z336" s="71" t="s">
        <v>1553</v>
      </c>
      <c r="AA336" s="151" t="s">
        <v>1556</v>
      </c>
      <c r="AB336" s="89" t="s">
        <v>49</v>
      </c>
      <c r="AC336" s="73">
        <f t="shared" si="94"/>
        <v>1</v>
      </c>
      <c r="AD336" s="73">
        <f t="shared" si="95"/>
        <v>0</v>
      </c>
      <c r="AE336" s="129" t="s">
        <v>138</v>
      </c>
      <c r="AF336" s="101" t="s">
        <v>939</v>
      </c>
    </row>
    <row r="337" s="21" customFormat="1" ht="15" customHeight="1" spans="1:32">
      <c r="A337" s="277">
        <v>41</v>
      </c>
      <c r="B337" s="272" t="s">
        <v>1557</v>
      </c>
      <c r="C337" s="60"/>
      <c r="D337" s="272" t="s">
        <v>1381</v>
      </c>
      <c r="E337" s="272" t="s">
        <v>1552</v>
      </c>
      <c r="F337" s="272" t="s">
        <v>1552</v>
      </c>
      <c r="G337" s="274">
        <v>1</v>
      </c>
      <c r="H337" s="275" t="s">
        <v>94</v>
      </c>
      <c r="I337" s="262" t="s">
        <v>38</v>
      </c>
      <c r="J337" s="262" t="s">
        <v>39</v>
      </c>
      <c r="K337" s="262" t="s">
        <v>937</v>
      </c>
      <c r="L337" s="263" t="s">
        <v>56</v>
      </c>
      <c r="M337" s="263" t="s">
        <v>42</v>
      </c>
      <c r="N337" s="145" t="s">
        <v>938</v>
      </c>
      <c r="O337" s="98" t="s">
        <v>44</v>
      </c>
      <c r="P337" s="84">
        <v>45412</v>
      </c>
      <c r="Q337" s="131" t="s">
        <v>128</v>
      </c>
      <c r="R337" s="99" t="s">
        <v>46</v>
      </c>
      <c r="S337" s="127" t="s">
        <v>147</v>
      </c>
      <c r="T337" s="87">
        <v>45394</v>
      </c>
      <c r="U337" s="87">
        <f t="shared" si="93"/>
        <v>45401</v>
      </c>
      <c r="V337" s="87">
        <v>45412</v>
      </c>
      <c r="W337" s="87">
        <f t="shared" si="89"/>
        <v>45419</v>
      </c>
      <c r="X337" s="74"/>
      <c r="Y337" s="315" t="s">
        <v>79</v>
      </c>
      <c r="Z337" s="71" t="s">
        <v>1553</v>
      </c>
      <c r="AA337" s="280" t="s">
        <v>1549</v>
      </c>
      <c r="AB337" s="89" t="s">
        <v>49</v>
      </c>
      <c r="AC337" s="73">
        <f t="shared" si="94"/>
        <v>1</v>
      </c>
      <c r="AD337" s="73">
        <f t="shared" si="95"/>
        <v>0</v>
      </c>
      <c r="AE337" s="129" t="s">
        <v>138</v>
      </c>
      <c r="AF337" s="101" t="s">
        <v>1550</v>
      </c>
    </row>
    <row r="338" s="21" customFormat="1" ht="15" customHeight="1" spans="1:32">
      <c r="A338" s="277"/>
      <c r="B338" s="253" t="s">
        <v>1373</v>
      </c>
      <c r="C338" s="60"/>
      <c r="D338" s="272" t="s">
        <v>1381</v>
      </c>
      <c r="E338" s="78" t="s">
        <v>1374</v>
      </c>
      <c r="F338" s="76" t="s">
        <v>1375</v>
      </c>
      <c r="G338" s="274">
        <v>1</v>
      </c>
      <c r="H338" s="275"/>
      <c r="I338" s="80" t="s">
        <v>38</v>
      </c>
      <c r="J338" s="80" t="s">
        <v>1313</v>
      </c>
      <c r="K338" s="254" t="s">
        <v>1376</v>
      </c>
      <c r="L338" s="123"/>
      <c r="M338" s="123" t="s">
        <v>1484</v>
      </c>
      <c r="N338" s="256" t="s">
        <v>1377</v>
      </c>
      <c r="O338" s="98"/>
      <c r="P338" s="84"/>
      <c r="Q338" s="131"/>
      <c r="R338" s="99"/>
      <c r="S338" s="127"/>
      <c r="T338" s="87"/>
      <c r="U338" s="87"/>
      <c r="V338" s="87"/>
      <c r="W338" s="87"/>
      <c r="X338" s="74"/>
      <c r="Y338" s="70"/>
      <c r="Z338" s="71"/>
      <c r="AA338" s="280"/>
      <c r="AB338" s="89"/>
      <c r="AC338" s="73">
        <v>1</v>
      </c>
      <c r="AD338" s="73">
        <v>0</v>
      </c>
      <c r="AE338" s="120" t="s">
        <v>1378</v>
      </c>
      <c r="AF338" s="120" t="s">
        <v>1379</v>
      </c>
    </row>
    <row r="339" s="21" customFormat="1" ht="15" customHeight="1" spans="1:32">
      <c r="A339" s="272" t="s">
        <v>1224</v>
      </c>
      <c r="B339" s="60"/>
      <c r="C339" s="60"/>
      <c r="D339" s="60"/>
      <c r="E339" s="60"/>
      <c r="F339" s="60"/>
      <c r="G339" s="60"/>
      <c r="H339" s="275" t="s">
        <v>94</v>
      </c>
      <c r="I339" s="60"/>
      <c r="J339" s="60"/>
      <c r="K339" s="60"/>
      <c r="L339" s="63"/>
      <c r="M339" s="63"/>
      <c r="N339" s="64"/>
      <c r="O339" s="259"/>
      <c r="P339" s="281"/>
      <c r="Q339" s="67"/>
      <c r="R339" s="99" t="s">
        <v>46</v>
      </c>
      <c r="S339" s="99"/>
      <c r="T339" s="87"/>
      <c r="U339" s="87"/>
      <c r="V339" s="87"/>
      <c r="W339" s="87"/>
      <c r="X339" s="74"/>
      <c r="Y339" s="70"/>
      <c r="Z339" s="74"/>
      <c r="AA339" s="151"/>
      <c r="AB339" s="89"/>
      <c r="AC339" s="73"/>
      <c r="AD339" s="73"/>
      <c r="AE339" s="74"/>
      <c r="AF339" s="74"/>
    </row>
    <row r="340" s="23" customFormat="1" ht="15" customHeight="1" spans="1:32">
      <c r="A340" s="147"/>
      <c r="B340" s="147"/>
      <c r="C340" s="147"/>
      <c r="D340" s="282" t="s">
        <v>1381</v>
      </c>
      <c r="E340" s="283" t="s">
        <v>1558</v>
      </c>
      <c r="F340" s="282" t="s">
        <v>1559</v>
      </c>
      <c r="G340" s="284">
        <v>57357.88</v>
      </c>
      <c r="H340" s="275" t="s">
        <v>1560</v>
      </c>
      <c r="I340" s="285" t="s">
        <v>1276</v>
      </c>
      <c r="J340" s="285" t="s">
        <v>39</v>
      </c>
      <c r="K340" s="147"/>
      <c r="L340" s="286" t="s">
        <v>82</v>
      </c>
      <c r="M340" s="286" t="s">
        <v>82</v>
      </c>
      <c r="N340" s="114"/>
      <c r="O340" s="213"/>
      <c r="P340" s="287"/>
      <c r="Q340" s="49" t="s">
        <v>1278</v>
      </c>
      <c r="R340" s="99" t="s">
        <v>1279</v>
      </c>
      <c r="S340" s="99"/>
      <c r="T340" s="87"/>
      <c r="U340" s="87"/>
      <c r="V340" s="87"/>
      <c r="W340" s="87">
        <v>45412</v>
      </c>
      <c r="X340" s="118"/>
      <c r="Y340" s="70" t="s">
        <v>1561</v>
      </c>
      <c r="Z340" s="118"/>
      <c r="AA340" s="118"/>
      <c r="AB340" s="89"/>
      <c r="AC340" s="73">
        <v>57357.88</v>
      </c>
      <c r="AD340" s="73">
        <f t="shared" ref="AD340:AD343" si="96">G340-AC340</f>
        <v>0</v>
      </c>
      <c r="AE340" s="118"/>
      <c r="AF340" s="118"/>
    </row>
    <row r="341" s="21" customFormat="1" ht="15" customHeight="1" spans="1:32">
      <c r="A341" s="272" t="s">
        <v>1281</v>
      </c>
      <c r="B341" s="60"/>
      <c r="C341" s="60"/>
      <c r="D341" s="60"/>
      <c r="E341" s="60"/>
      <c r="F341" s="60"/>
      <c r="G341" s="60"/>
      <c r="H341" s="275"/>
      <c r="I341" s="60"/>
      <c r="J341" s="60"/>
      <c r="K341" s="60"/>
      <c r="L341" s="63"/>
      <c r="M341" s="63"/>
      <c r="N341" s="64"/>
      <c r="O341" s="259"/>
      <c r="P341" s="281"/>
      <c r="Q341" s="67"/>
      <c r="R341" s="99" t="s">
        <v>46</v>
      </c>
      <c r="S341" s="99"/>
      <c r="T341" s="87"/>
      <c r="U341" s="87"/>
      <c r="V341" s="87"/>
      <c r="W341" s="87"/>
      <c r="X341" s="74"/>
      <c r="Y341" s="70"/>
      <c r="Z341" s="74"/>
      <c r="AA341" s="74"/>
      <c r="AB341" s="89"/>
      <c r="AC341" s="73">
        <v>0</v>
      </c>
      <c r="AD341" s="73">
        <f t="shared" si="96"/>
        <v>0</v>
      </c>
      <c r="AE341" s="74"/>
      <c r="AF341" s="74"/>
    </row>
    <row r="342" s="21" customFormat="1" ht="15" customHeight="1" spans="1:32">
      <c r="A342" s="277">
        <v>1</v>
      </c>
      <c r="B342" s="60"/>
      <c r="C342" s="60"/>
      <c r="D342" s="272" t="s">
        <v>1562</v>
      </c>
      <c r="E342" s="273" t="s">
        <v>1563</v>
      </c>
      <c r="F342" s="272" t="s">
        <v>1564</v>
      </c>
      <c r="G342" s="274">
        <v>173</v>
      </c>
      <c r="H342" s="81" t="s">
        <v>94</v>
      </c>
      <c r="I342" s="262" t="s">
        <v>38</v>
      </c>
      <c r="J342" s="262" t="s">
        <v>1313</v>
      </c>
      <c r="K342" s="262" t="s">
        <v>1565</v>
      </c>
      <c r="L342" s="63"/>
      <c r="M342" s="263" t="s">
        <v>42</v>
      </c>
      <c r="N342" s="145" t="s">
        <v>1566</v>
      </c>
      <c r="O342" s="98" t="s">
        <v>44</v>
      </c>
      <c r="P342" s="84"/>
      <c r="Q342" s="99" t="s">
        <v>128</v>
      </c>
      <c r="R342" s="85" t="s">
        <v>66</v>
      </c>
      <c r="S342" s="99" t="s">
        <v>67</v>
      </c>
      <c r="T342" s="102">
        <v>45555</v>
      </c>
      <c r="U342" s="87">
        <f t="shared" ref="U342:U345" si="97">T342+7</f>
        <v>45562</v>
      </c>
      <c r="V342" s="87">
        <f t="shared" ref="V342:V345" si="98">U342+14</f>
        <v>45576</v>
      </c>
      <c r="W342" s="87">
        <f t="shared" ref="W342:W345" si="99">V342+7</f>
        <v>45583</v>
      </c>
      <c r="X342" s="74"/>
      <c r="Y342" s="70" t="s">
        <v>1307</v>
      </c>
      <c r="Z342" s="74"/>
      <c r="AA342" s="151" t="s">
        <v>1567</v>
      </c>
      <c r="AB342" s="89"/>
      <c r="AC342" s="73">
        <v>173</v>
      </c>
      <c r="AD342" s="73">
        <f t="shared" si="96"/>
        <v>0</v>
      </c>
      <c r="AE342" s="101" t="s">
        <v>1568</v>
      </c>
      <c r="AF342" s="101" t="s">
        <v>1569</v>
      </c>
    </row>
    <row r="343" s="21" customFormat="1" ht="15" customHeight="1" spans="1:32">
      <c r="A343" s="277">
        <v>2</v>
      </c>
      <c r="B343" s="60"/>
      <c r="C343" s="60"/>
      <c r="D343" s="272" t="s">
        <v>1381</v>
      </c>
      <c r="E343" s="273" t="s">
        <v>1570</v>
      </c>
      <c r="F343" s="272" t="s">
        <v>1571</v>
      </c>
      <c r="G343" s="274">
        <v>148</v>
      </c>
      <c r="H343" s="81" t="s">
        <v>94</v>
      </c>
      <c r="I343" s="262" t="s">
        <v>38</v>
      </c>
      <c r="J343" s="262" t="s">
        <v>1313</v>
      </c>
      <c r="K343" s="262" t="s">
        <v>1572</v>
      </c>
      <c r="L343" s="123"/>
      <c r="M343" s="123" t="s">
        <v>1573</v>
      </c>
      <c r="N343" s="133" t="s">
        <v>1305</v>
      </c>
      <c r="O343" s="98"/>
      <c r="P343" s="84"/>
      <c r="Q343" s="99" t="s">
        <v>128</v>
      </c>
      <c r="R343" s="85" t="s">
        <v>66</v>
      </c>
      <c r="S343" s="99" t="s">
        <v>67</v>
      </c>
      <c r="T343" s="102">
        <v>45555</v>
      </c>
      <c r="U343" s="87">
        <f t="shared" si="97"/>
        <v>45562</v>
      </c>
      <c r="V343" s="87">
        <f t="shared" si="98"/>
        <v>45576</v>
      </c>
      <c r="W343" s="87">
        <f t="shared" si="99"/>
        <v>45583</v>
      </c>
      <c r="X343" s="74"/>
      <c r="Y343" s="70" t="s">
        <v>1307</v>
      </c>
      <c r="Z343" s="74"/>
      <c r="AA343" s="151" t="s">
        <v>1308</v>
      </c>
      <c r="AB343" s="89"/>
      <c r="AC343" s="73">
        <v>148</v>
      </c>
      <c r="AD343" s="73">
        <f t="shared" si="96"/>
        <v>0</v>
      </c>
      <c r="AE343" s="254" t="s">
        <v>1320</v>
      </c>
      <c r="AF343" s="254" t="s">
        <v>1574</v>
      </c>
    </row>
    <row r="344" s="21" customFormat="1" ht="15" customHeight="1" spans="1:32">
      <c r="A344" s="277">
        <v>3</v>
      </c>
      <c r="B344" s="59" t="s">
        <v>1281</v>
      </c>
      <c r="C344" s="60"/>
      <c r="D344" s="272" t="s">
        <v>1575</v>
      </c>
      <c r="E344" s="272" t="s">
        <v>1576</v>
      </c>
      <c r="F344" s="272" t="s">
        <v>1577</v>
      </c>
      <c r="G344" s="274">
        <v>80</v>
      </c>
      <c r="H344" s="81" t="s">
        <v>94</v>
      </c>
      <c r="I344" s="262" t="s">
        <v>38</v>
      </c>
      <c r="J344" s="262" t="s">
        <v>1313</v>
      </c>
      <c r="K344" s="262" t="s">
        <v>1360</v>
      </c>
      <c r="L344" s="63"/>
      <c r="M344" s="263" t="s">
        <v>42</v>
      </c>
      <c r="N344" s="133" t="s">
        <v>1362</v>
      </c>
      <c r="O344" s="98"/>
      <c r="P344" s="84"/>
      <c r="Q344" s="99" t="s">
        <v>128</v>
      </c>
      <c r="R344" s="85" t="s">
        <v>66</v>
      </c>
      <c r="S344" s="99" t="s">
        <v>67</v>
      </c>
      <c r="T344" s="102">
        <v>45524</v>
      </c>
      <c r="U344" s="87">
        <f t="shared" si="97"/>
        <v>45531</v>
      </c>
      <c r="V344" s="87">
        <f t="shared" si="98"/>
        <v>45545</v>
      </c>
      <c r="W344" s="87">
        <f t="shared" si="99"/>
        <v>45552</v>
      </c>
      <c r="X344" s="288"/>
      <c r="Y344" s="70" t="s">
        <v>225</v>
      </c>
      <c r="Z344" s="74"/>
      <c r="AA344" s="151" t="s">
        <v>1280</v>
      </c>
      <c r="AB344" s="89"/>
      <c r="AC344" s="73">
        <v>80</v>
      </c>
      <c r="AD344" s="73">
        <v>0</v>
      </c>
      <c r="AE344" s="101" t="s">
        <v>1363</v>
      </c>
      <c r="AF344" s="101" t="s">
        <v>1364</v>
      </c>
    </row>
    <row r="345" s="29" customFormat="1" ht="15" customHeight="1" spans="1:32">
      <c r="A345" s="289" t="s">
        <v>1578</v>
      </c>
      <c r="B345" s="254"/>
      <c r="C345" s="254"/>
      <c r="D345" s="289"/>
      <c r="E345" s="289" t="s">
        <v>1579</v>
      </c>
      <c r="F345" s="254"/>
      <c r="G345" s="290">
        <v>86</v>
      </c>
      <c r="H345" s="275" t="s">
        <v>94</v>
      </c>
      <c r="I345" s="254"/>
      <c r="J345" s="254"/>
      <c r="K345" s="254" t="s">
        <v>1376</v>
      </c>
      <c r="L345" s="123"/>
      <c r="M345" s="123" t="s">
        <v>1484</v>
      </c>
      <c r="N345" s="256" t="s">
        <v>1377</v>
      </c>
      <c r="O345" s="291"/>
      <c r="P345" s="292"/>
      <c r="Q345" s="99" t="s">
        <v>128</v>
      </c>
      <c r="R345" s="85" t="s">
        <v>66</v>
      </c>
      <c r="S345" s="99" t="s">
        <v>67</v>
      </c>
      <c r="T345" s="102">
        <v>45555</v>
      </c>
      <c r="U345" s="87">
        <f t="shared" si="97"/>
        <v>45562</v>
      </c>
      <c r="V345" s="87">
        <f t="shared" si="98"/>
        <v>45576</v>
      </c>
      <c r="W345" s="87">
        <f t="shared" si="99"/>
        <v>45583</v>
      </c>
      <c r="X345" s="254"/>
      <c r="Y345" s="70" t="s">
        <v>1580</v>
      </c>
      <c r="Z345" s="254"/>
      <c r="AA345" s="151" t="s">
        <v>1581</v>
      </c>
      <c r="AB345" s="89"/>
      <c r="AC345" s="73">
        <v>86</v>
      </c>
      <c r="AD345" s="73">
        <v>0</v>
      </c>
      <c r="AE345" s="254" t="s">
        <v>1378</v>
      </c>
      <c r="AF345" s="254" t="s">
        <v>1379</v>
      </c>
    </row>
    <row r="346" s="30" customFormat="1" ht="15" customHeight="1" spans="1:32">
      <c r="A346" s="254" t="s">
        <v>1582</v>
      </c>
      <c r="B346" s="254"/>
      <c r="C346" s="254"/>
      <c r="D346" s="293"/>
      <c r="E346" s="294" t="s">
        <v>1583</v>
      </c>
      <c r="F346" s="254"/>
      <c r="G346" s="254"/>
      <c r="H346" s="275"/>
      <c r="I346" s="254" t="s">
        <v>1584</v>
      </c>
      <c r="J346" s="254"/>
      <c r="K346" s="295" t="s">
        <v>1585</v>
      </c>
      <c r="L346" s="123"/>
      <c r="M346" s="123" t="s">
        <v>1586</v>
      </c>
      <c r="N346" s="296" t="s">
        <v>1587</v>
      </c>
      <c r="O346" s="297"/>
      <c r="P346" s="292"/>
      <c r="Q346" s="298" t="s">
        <v>1584</v>
      </c>
      <c r="R346" s="85" t="s">
        <v>66</v>
      </c>
      <c r="S346" s="99" t="s">
        <v>67</v>
      </c>
      <c r="T346" s="102">
        <v>45646</v>
      </c>
      <c r="U346" s="87"/>
      <c r="V346" s="87"/>
      <c r="W346" s="87">
        <v>45689</v>
      </c>
      <c r="X346" s="254"/>
      <c r="Y346" s="70" t="s">
        <v>82</v>
      </c>
      <c r="Z346" s="299"/>
      <c r="AA346" s="151"/>
      <c r="AB346" s="89"/>
      <c r="AC346" s="73">
        <v>0</v>
      </c>
      <c r="AD346" s="73">
        <f>G346-AC346</f>
        <v>0</v>
      </c>
      <c r="AE346" s="299"/>
      <c r="AF346" s="299"/>
    </row>
    <row r="347" s="30" customFormat="1" ht="15" customHeight="1" spans="1:32">
      <c r="A347" s="289" t="s">
        <v>1578</v>
      </c>
      <c r="B347" s="254"/>
      <c r="C347" s="254"/>
      <c r="D347" s="254"/>
      <c r="E347" s="300" t="s">
        <v>1329</v>
      </c>
      <c r="F347" s="254" t="s">
        <v>1588</v>
      </c>
      <c r="G347" s="290">
        <v>1</v>
      </c>
      <c r="H347" s="275" t="s">
        <v>94</v>
      </c>
      <c r="I347" s="80" t="s">
        <v>38</v>
      </c>
      <c r="J347" s="80" t="s">
        <v>39</v>
      </c>
      <c r="K347" s="254" t="s">
        <v>1349</v>
      </c>
      <c r="L347" s="123"/>
      <c r="M347" s="123" t="s">
        <v>1337</v>
      </c>
      <c r="N347" s="301" t="s">
        <v>1350</v>
      </c>
      <c r="O347" s="302" t="s">
        <v>1589</v>
      </c>
      <c r="P347" s="292"/>
      <c r="Q347" s="99" t="s">
        <v>128</v>
      </c>
      <c r="R347" s="85" t="s">
        <v>66</v>
      </c>
      <c r="S347" s="99" t="s">
        <v>67</v>
      </c>
      <c r="T347" s="102">
        <v>45524</v>
      </c>
      <c r="U347" s="87">
        <f>T347+7</f>
        <v>45531</v>
      </c>
      <c r="V347" s="87">
        <f>U347+14</f>
        <v>45545</v>
      </c>
      <c r="W347" s="87">
        <f>V347+7</f>
        <v>45552</v>
      </c>
      <c r="X347" s="254"/>
      <c r="Y347" s="70" t="s">
        <v>225</v>
      </c>
      <c r="Z347" s="299"/>
      <c r="AA347" s="151" t="s">
        <v>1319</v>
      </c>
      <c r="AB347" s="89"/>
      <c r="AC347" s="73">
        <f t="shared" ref="AC347:AC352" si="100">G347</f>
        <v>1</v>
      </c>
      <c r="AD347" s="73">
        <f>G347-AC347</f>
        <v>0</v>
      </c>
      <c r="AE347" s="101" t="s">
        <v>1327</v>
      </c>
      <c r="AF347" s="90" t="s">
        <v>1328</v>
      </c>
    </row>
    <row r="348" s="30" customFormat="1" ht="15" customHeight="1" spans="1:32">
      <c r="A348" s="289" t="s">
        <v>1578</v>
      </c>
      <c r="B348" s="254"/>
      <c r="C348" s="254"/>
      <c r="D348" s="254"/>
      <c r="E348" s="300" t="s">
        <v>1347</v>
      </c>
      <c r="F348" s="254" t="s">
        <v>1590</v>
      </c>
      <c r="G348" s="290">
        <v>1</v>
      </c>
      <c r="H348" s="275" t="s">
        <v>94</v>
      </c>
      <c r="I348" s="80" t="s">
        <v>38</v>
      </c>
      <c r="J348" s="80" t="s">
        <v>39</v>
      </c>
      <c r="K348" s="254" t="s">
        <v>1349</v>
      </c>
      <c r="L348" s="123"/>
      <c r="M348" s="123" t="s">
        <v>1337</v>
      </c>
      <c r="N348" s="301" t="s">
        <v>1350</v>
      </c>
      <c r="O348" s="302" t="s">
        <v>1589</v>
      </c>
      <c r="P348" s="292"/>
      <c r="Q348" s="99" t="s">
        <v>128</v>
      </c>
      <c r="R348" s="85" t="s">
        <v>66</v>
      </c>
      <c r="S348" s="99" t="s">
        <v>67</v>
      </c>
      <c r="T348" s="102">
        <v>45524</v>
      </c>
      <c r="U348" s="87">
        <f>T348+7</f>
        <v>45531</v>
      </c>
      <c r="V348" s="87">
        <f>U348+14</f>
        <v>45545</v>
      </c>
      <c r="W348" s="87">
        <f>V348+7</f>
        <v>45552</v>
      </c>
      <c r="X348" s="254"/>
      <c r="Y348" s="70" t="s">
        <v>225</v>
      </c>
      <c r="Z348" s="299"/>
      <c r="AA348" s="151" t="s">
        <v>1319</v>
      </c>
      <c r="AB348" s="89"/>
      <c r="AC348" s="73">
        <f t="shared" si="100"/>
        <v>1</v>
      </c>
      <c r="AD348" s="73">
        <f>G348-AC348</f>
        <v>0</v>
      </c>
      <c r="AE348" s="101" t="s">
        <v>1327</v>
      </c>
      <c r="AF348" s="90" t="s">
        <v>1328</v>
      </c>
    </row>
    <row r="349" s="22" customFormat="1" ht="16" customHeight="1" spans="1:32">
      <c r="A349" s="303" t="s">
        <v>1591</v>
      </c>
      <c r="B349" s="304" t="s">
        <v>1592</v>
      </c>
      <c r="C349" s="252"/>
      <c r="D349" s="252"/>
      <c r="E349" s="303" t="s">
        <v>1593</v>
      </c>
      <c r="F349" s="303" t="s">
        <v>1594</v>
      </c>
      <c r="G349" s="303">
        <v>2914.517</v>
      </c>
      <c r="H349" s="275" t="s">
        <v>1237</v>
      </c>
      <c r="I349" s="303" t="s">
        <v>1595</v>
      </c>
      <c r="J349" s="303" t="s">
        <v>39</v>
      </c>
      <c r="K349" s="120" t="s">
        <v>1596</v>
      </c>
      <c r="L349" s="255"/>
      <c r="M349" s="124">
        <v>45427</v>
      </c>
      <c r="N349" s="305" t="s">
        <v>1597</v>
      </c>
      <c r="O349" s="47" t="s">
        <v>44</v>
      </c>
      <c r="P349" s="255"/>
      <c r="Q349" s="85" t="s">
        <v>128</v>
      </c>
      <c r="R349" s="85" t="s">
        <v>46</v>
      </c>
      <c r="S349" s="99" t="s">
        <v>1598</v>
      </c>
      <c r="T349" s="102">
        <v>45490</v>
      </c>
      <c r="U349" s="87">
        <v>45525</v>
      </c>
      <c r="V349" s="87">
        <f>U349+7</f>
        <v>45532</v>
      </c>
      <c r="W349" s="87">
        <f>V349+3</f>
        <v>45535</v>
      </c>
      <c r="X349" s="306"/>
      <c r="Y349" s="88" t="s">
        <v>1599</v>
      </c>
      <c r="Z349" s="71" t="s">
        <v>1600</v>
      </c>
      <c r="AA349" s="151" t="s">
        <v>1601</v>
      </c>
      <c r="AB349" s="89"/>
      <c r="AC349" s="73">
        <f>1289.605+1409.25+215.662</f>
        <v>2914.517</v>
      </c>
      <c r="AD349" s="73">
        <f>G349-AC349</f>
        <v>0</v>
      </c>
      <c r="AE349" s="90" t="s">
        <v>1602</v>
      </c>
      <c r="AF349" s="90" t="s">
        <v>1603</v>
      </c>
    </row>
    <row r="350" s="22" customFormat="1" ht="16" customHeight="1" spans="1:32">
      <c r="A350" s="303" t="s">
        <v>1591</v>
      </c>
      <c r="B350" s="304" t="s">
        <v>1604</v>
      </c>
      <c r="C350" s="252"/>
      <c r="D350" s="252"/>
      <c r="E350" s="303" t="s">
        <v>1593</v>
      </c>
      <c r="F350" s="303" t="s">
        <v>1605</v>
      </c>
      <c r="G350" s="303">
        <v>2385.417</v>
      </c>
      <c r="H350" s="275" t="s">
        <v>1237</v>
      </c>
      <c r="I350" s="303" t="s">
        <v>1595</v>
      </c>
      <c r="J350" s="303" t="s">
        <v>39</v>
      </c>
      <c r="K350" s="120" t="s">
        <v>1596</v>
      </c>
      <c r="L350" s="63"/>
      <c r="M350" s="124">
        <v>45427</v>
      </c>
      <c r="N350" s="305" t="s">
        <v>1597</v>
      </c>
      <c r="O350" s="47" t="s">
        <v>44</v>
      </c>
      <c r="P350" s="66"/>
      <c r="Q350" s="85" t="s">
        <v>128</v>
      </c>
      <c r="R350" s="85" t="s">
        <v>46</v>
      </c>
      <c r="S350" s="99" t="s">
        <v>1598</v>
      </c>
      <c r="T350" s="102">
        <v>45490</v>
      </c>
      <c r="U350" s="87">
        <v>45525</v>
      </c>
      <c r="V350" s="87">
        <f>U350+7</f>
        <v>45532</v>
      </c>
      <c r="W350" s="87">
        <f>V350+3</f>
        <v>45535</v>
      </c>
      <c r="X350" s="252"/>
      <c r="Y350" s="88" t="s">
        <v>1599</v>
      </c>
      <c r="Z350" s="71" t="s">
        <v>1600</v>
      </c>
      <c r="AA350" s="151" t="s">
        <v>1601</v>
      </c>
      <c r="AB350" s="89"/>
      <c r="AC350" s="73">
        <f>944.48+1440.937+0</f>
        <v>2385.417</v>
      </c>
      <c r="AD350" s="73">
        <f>G350-AC350</f>
        <v>0</v>
      </c>
      <c r="AE350" s="90" t="s">
        <v>1602</v>
      </c>
      <c r="AF350" s="90" t="s">
        <v>1603</v>
      </c>
    </row>
    <row r="351" s="21" customFormat="1" ht="16" spans="1:32">
      <c r="A351" s="303" t="s">
        <v>1591</v>
      </c>
      <c r="B351" s="303" t="s">
        <v>1606</v>
      </c>
      <c r="C351" s="74"/>
      <c r="D351" s="74"/>
      <c r="E351" s="303" t="s">
        <v>1607</v>
      </c>
      <c r="F351" s="303" t="s">
        <v>1608</v>
      </c>
      <c r="G351" s="307">
        <v>18.672</v>
      </c>
      <c r="H351" s="275" t="s">
        <v>1237</v>
      </c>
      <c r="I351" s="303" t="s">
        <v>1595</v>
      </c>
      <c r="J351" s="303" t="s">
        <v>39</v>
      </c>
      <c r="K351" s="303" t="s">
        <v>1609</v>
      </c>
      <c r="L351" s="63"/>
      <c r="M351" s="308">
        <v>45427</v>
      </c>
      <c r="N351" s="305" t="s">
        <v>1597</v>
      </c>
      <c r="O351" s="65"/>
      <c r="P351" s="66"/>
      <c r="Q351" s="131" t="s">
        <v>128</v>
      </c>
      <c r="R351" s="85" t="s">
        <v>46</v>
      </c>
      <c r="S351" s="99" t="s">
        <v>47</v>
      </c>
      <c r="T351" s="87">
        <v>45361</v>
      </c>
      <c r="U351" s="87">
        <v>45378</v>
      </c>
      <c r="V351" s="87">
        <v>45388</v>
      </c>
      <c r="W351" s="87">
        <f>V351+7</f>
        <v>45395</v>
      </c>
      <c r="X351" s="74"/>
      <c r="Y351" s="70" t="s">
        <v>125</v>
      </c>
      <c r="Z351" s="74"/>
      <c r="AA351" s="151" t="s">
        <v>1601</v>
      </c>
      <c r="AB351" s="54" t="s">
        <v>253</v>
      </c>
      <c r="AC351" s="73" t="s">
        <v>1610</v>
      </c>
      <c r="AD351" s="73">
        <v>0</v>
      </c>
      <c r="AE351" s="101" t="s">
        <v>254</v>
      </c>
      <c r="AF351" s="101" t="s">
        <v>1611</v>
      </c>
    </row>
    <row r="352" s="25" customFormat="1" ht="21" customHeight="1" spans="1:32">
      <c r="A352" s="303"/>
      <c r="B352" s="120"/>
      <c r="C352" s="120"/>
      <c r="D352" s="120"/>
      <c r="E352" s="121" t="s">
        <v>1612</v>
      </c>
      <c r="F352" s="303" t="s">
        <v>1613</v>
      </c>
      <c r="G352" s="309">
        <v>548</v>
      </c>
      <c r="H352" s="220" t="s">
        <v>1614</v>
      </c>
      <c r="I352" s="80" t="s">
        <v>38</v>
      </c>
      <c r="J352" s="80" t="s">
        <v>39</v>
      </c>
      <c r="K352" s="120" t="s">
        <v>1336</v>
      </c>
      <c r="L352" s="310"/>
      <c r="M352" s="311"/>
      <c r="N352" s="240" t="s">
        <v>1325</v>
      </c>
      <c r="O352" s="89"/>
      <c r="P352" s="312"/>
      <c r="Q352" s="73" t="s">
        <v>128</v>
      </c>
      <c r="R352" s="85" t="s">
        <v>66</v>
      </c>
      <c r="S352" s="85" t="s">
        <v>67</v>
      </c>
      <c r="T352" s="102">
        <v>45524</v>
      </c>
      <c r="U352" s="87">
        <f>T352+7</f>
        <v>45531</v>
      </c>
      <c r="V352" s="87">
        <f>U352+14</f>
        <v>45545</v>
      </c>
      <c r="W352" s="87">
        <f>V352+7</f>
        <v>45552</v>
      </c>
      <c r="X352" s="90"/>
      <c r="Y352" s="88" t="s">
        <v>225</v>
      </c>
      <c r="Z352" s="90"/>
      <c r="AA352" s="244" t="s">
        <v>1340</v>
      </c>
      <c r="AB352" s="72"/>
      <c r="AC352" s="73">
        <f t="shared" si="100"/>
        <v>548</v>
      </c>
      <c r="AD352" s="73">
        <f>G352-AC352</f>
        <v>0</v>
      </c>
      <c r="AE352" s="90" t="s">
        <v>1327</v>
      </c>
      <c r="AF352" s="90" t="s">
        <v>1328</v>
      </c>
    </row>
    <row r="355" spans="29:29">
      <c r="AC355" s="313"/>
    </row>
  </sheetData>
  <autoFilter xmlns:etc="http://www.wps.cn/officeDocument/2017/etCustomData" ref="A1:AF352" etc:filterBottomFollowUsedRange="0">
    <extLst/>
  </autoFilter>
  <mergeCells count="20">
    <mergeCell ref="B81:C81"/>
    <mergeCell ref="A296:B296"/>
    <mergeCell ref="A341:B341"/>
    <mergeCell ref="G272:G273"/>
    <mergeCell ref="G275:G277"/>
    <mergeCell ref="G279:G280"/>
    <mergeCell ref="G286:G287"/>
    <mergeCell ref="H272:H273"/>
    <mergeCell ref="H278:H280"/>
    <mergeCell ref="H286:H287"/>
    <mergeCell ref="AB16:AB24"/>
    <mergeCell ref="AB37:AB40"/>
    <mergeCell ref="AB202:AB204"/>
    <mergeCell ref="AB205:AB206"/>
    <mergeCell ref="AC271:AC273"/>
    <mergeCell ref="AC278:AC280"/>
    <mergeCell ref="AC286:AC287"/>
    <mergeCell ref="AD271:AD273"/>
    <mergeCell ref="AD278:AD280"/>
    <mergeCell ref="AD286:AD287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R6" sqref="R6:R77"/>
    </sheetView>
  </sheetViews>
  <sheetFormatPr defaultColWidth="8.25" defaultRowHeight="14"/>
  <cols>
    <col min="1" max="1" width="8.08333333333333" style="3" customWidth="1"/>
    <col min="2" max="2" width="11.5833333333333" style="5" customWidth="1"/>
    <col min="3" max="3" width="16.6666666666667" style="3" customWidth="1"/>
    <col min="4" max="5" width="21.3333333333333" style="3" customWidth="1"/>
    <col min="6" max="6" width="15" style="3" customWidth="1"/>
    <col min="7" max="7" width="8.25" style="3"/>
    <col min="8" max="8" width="16.75" style="3" customWidth="1"/>
    <col min="9" max="9" width="8.41666666666667" style="3"/>
    <col min="10" max="16384" width="8.25" style="3"/>
  </cols>
  <sheetData>
    <row r="1" s="3" customFormat="1" spans="1:11">
      <c r="A1" s="6" t="s">
        <v>1615</v>
      </c>
      <c r="B1" s="7" t="s">
        <v>1616</v>
      </c>
      <c r="C1" s="6" t="s">
        <v>1617</v>
      </c>
      <c r="D1" s="6" t="s">
        <v>1618</v>
      </c>
      <c r="E1" s="6" t="s">
        <v>1619</v>
      </c>
      <c r="F1" s="6" t="s">
        <v>1620</v>
      </c>
      <c r="G1" s="6" t="s">
        <v>1621</v>
      </c>
      <c r="H1" s="6" t="s">
        <v>23</v>
      </c>
    </row>
    <row r="2" s="3" customFormat="1" spans="1:11">
      <c r="A2" s="8" t="s">
        <v>1622</v>
      </c>
      <c r="B2" s="9">
        <f t="shared" ref="B2:B20" si="0">C2-7</f>
        <v>45405</v>
      </c>
      <c r="C2" s="10">
        <v>45412</v>
      </c>
      <c r="D2" s="10">
        <v>45431</v>
      </c>
      <c r="E2" s="10">
        <f>D2+3</f>
        <v>45434</v>
      </c>
      <c r="F2" s="8">
        <v>15</v>
      </c>
      <c r="G2" s="8"/>
      <c r="H2" s="8" t="s">
        <v>1623</v>
      </c>
      <c r="I2" s="3" t="s">
        <v>1624</v>
      </c>
      <c r="J2" s="3" t="s">
        <v>1237</v>
      </c>
      <c r="K2" s="3" t="s">
        <v>1625</v>
      </c>
    </row>
    <row r="3" s="3" customFormat="1" spans="1:11">
      <c r="A3" s="8" t="s">
        <v>1626</v>
      </c>
      <c r="B3" s="9">
        <f t="shared" si="0"/>
        <v>45414</v>
      </c>
      <c r="C3" s="10">
        <v>45421</v>
      </c>
      <c r="D3" s="10">
        <v>45438</v>
      </c>
      <c r="E3" s="10">
        <f>D3+3</f>
        <v>45441</v>
      </c>
      <c r="F3" s="8">
        <v>12</v>
      </c>
      <c r="G3" s="8"/>
      <c r="H3" s="8" t="s">
        <v>1623</v>
      </c>
      <c r="I3" s="3">
        <v>131.036</v>
      </c>
      <c r="J3" s="3" t="s">
        <v>1237</v>
      </c>
      <c r="K3" s="3" t="s">
        <v>1625</v>
      </c>
    </row>
    <row r="4" s="3" customFormat="1" spans="1:11">
      <c r="A4" s="8" t="s">
        <v>1627</v>
      </c>
      <c r="B4" s="9">
        <f t="shared" si="0"/>
        <v>45432</v>
      </c>
      <c r="C4" s="11">
        <v>45439</v>
      </c>
      <c r="D4" s="10">
        <v>45460</v>
      </c>
      <c r="E4" s="10">
        <f>D4+3</f>
        <v>45463</v>
      </c>
      <c r="F4" s="8">
        <v>6</v>
      </c>
      <c r="G4" s="8"/>
      <c r="H4" s="8" t="s">
        <v>1623</v>
      </c>
      <c r="I4" s="3">
        <v>78.98</v>
      </c>
      <c r="J4" s="3" t="s">
        <v>1237</v>
      </c>
      <c r="K4" s="3" t="s">
        <v>1628</v>
      </c>
    </row>
    <row r="5" s="4" customFormat="1" spans="1:11">
      <c r="A5" s="8" t="s">
        <v>1629</v>
      </c>
      <c r="B5" s="9">
        <f t="shared" si="0"/>
        <v>45444</v>
      </c>
      <c r="C5" s="10">
        <v>45451</v>
      </c>
      <c r="D5" s="10">
        <v>45482</v>
      </c>
      <c r="E5" s="10">
        <f>D5+3</f>
        <v>45485</v>
      </c>
      <c r="F5" s="8">
        <v>14</v>
      </c>
      <c r="G5" s="8"/>
      <c r="H5" s="8" t="s">
        <v>1623</v>
      </c>
      <c r="I5" s="3">
        <v>209.785</v>
      </c>
      <c r="J5" s="3" t="s">
        <v>1237</v>
      </c>
      <c r="K5" s="3" t="s">
        <v>1628</v>
      </c>
    </row>
    <row r="6" s="4" customFormat="1" spans="1:11">
      <c r="A6" s="8" t="s">
        <v>1630</v>
      </c>
      <c r="B6" s="9">
        <f t="shared" si="0"/>
        <v>45449</v>
      </c>
      <c r="C6" s="10">
        <v>45456</v>
      </c>
      <c r="D6" s="10">
        <v>45493</v>
      </c>
      <c r="E6" s="10">
        <f>D6+3</f>
        <v>45496</v>
      </c>
      <c r="F6" s="8">
        <v>15</v>
      </c>
      <c r="G6" s="12"/>
      <c r="H6" s="8" t="s">
        <v>1623</v>
      </c>
      <c r="I6" s="3">
        <v>212.492</v>
      </c>
      <c r="J6" s="3" t="s">
        <v>1237</v>
      </c>
      <c r="K6" s="3" t="s">
        <v>1631</v>
      </c>
    </row>
    <row r="7" s="3" customFormat="1" spans="1:11">
      <c r="A7" s="8" t="s">
        <v>1632</v>
      </c>
      <c r="B7" s="9">
        <v>45481</v>
      </c>
      <c r="C7" s="13">
        <v>45491</v>
      </c>
      <c r="D7" s="14" t="s">
        <v>1033</v>
      </c>
      <c r="E7" s="14" t="s">
        <v>1633</v>
      </c>
      <c r="F7" s="8">
        <v>15</v>
      </c>
      <c r="G7" s="8"/>
      <c r="H7" s="15" t="s">
        <v>1634</v>
      </c>
      <c r="I7" s="3">
        <v>210</v>
      </c>
      <c r="J7" s="3" t="s">
        <v>1237</v>
      </c>
      <c r="K7" s="3" t="s">
        <v>1635</v>
      </c>
    </row>
    <row r="8" s="3" customFormat="1" spans="1:11">
      <c r="A8" s="8" t="s">
        <v>1636</v>
      </c>
      <c r="B8" s="9">
        <f t="shared" si="0"/>
        <v>45488</v>
      </c>
      <c r="C8" s="13">
        <v>45495</v>
      </c>
      <c r="D8" s="14" t="s">
        <v>1033</v>
      </c>
      <c r="E8" s="14" t="s">
        <v>1633</v>
      </c>
      <c r="F8" s="8">
        <v>10</v>
      </c>
      <c r="G8" s="8"/>
      <c r="H8" s="15" t="s">
        <v>1634</v>
      </c>
      <c r="I8" s="3">
        <v>132.6</v>
      </c>
      <c r="J8" s="3" t="s">
        <v>1237</v>
      </c>
      <c r="K8" s="3" t="s">
        <v>1637</v>
      </c>
    </row>
    <row r="9" s="3" customFormat="1" spans="1:11">
      <c r="A9" s="8" t="s">
        <v>1638</v>
      </c>
      <c r="B9" s="9">
        <f t="shared" si="0"/>
        <v>45496</v>
      </c>
      <c r="C9" s="13">
        <v>45503</v>
      </c>
      <c r="D9" s="14" t="s">
        <v>1639</v>
      </c>
      <c r="E9" s="14" t="s">
        <v>1640</v>
      </c>
      <c r="F9" s="8">
        <v>10</v>
      </c>
      <c r="G9" s="8"/>
      <c r="H9" s="15" t="s">
        <v>1634</v>
      </c>
      <c r="I9" s="3">
        <v>105.575</v>
      </c>
      <c r="J9" s="3" t="s">
        <v>1237</v>
      </c>
      <c r="K9" s="3" t="s">
        <v>1641</v>
      </c>
    </row>
    <row r="10" s="3" customFormat="1" spans="1:11">
      <c r="A10" s="8" t="s">
        <v>1642</v>
      </c>
      <c r="B10" s="16">
        <v>45525</v>
      </c>
      <c r="C10" s="16">
        <f t="shared" ref="C10:C16" si="1">B10+7</f>
        <v>45532</v>
      </c>
      <c r="D10" s="17">
        <f t="shared" ref="D10:D16" si="2">C10+18</f>
        <v>45550</v>
      </c>
      <c r="E10" s="17">
        <f t="shared" ref="E10:E16" si="3">D10+3</f>
        <v>45553</v>
      </c>
      <c r="F10" s="15">
        <v>39</v>
      </c>
      <c r="G10" s="8"/>
      <c r="H10" s="15" t="s">
        <v>1643</v>
      </c>
      <c r="K10" s="3" t="s">
        <v>1644</v>
      </c>
    </row>
    <row r="11" s="3" customFormat="1" spans="1:11">
      <c r="A11" s="8" t="s">
        <v>1645</v>
      </c>
      <c r="B11" s="16">
        <v>45547</v>
      </c>
      <c r="C11" s="16">
        <f t="shared" si="1"/>
        <v>45554</v>
      </c>
      <c r="D11" s="17">
        <f t="shared" si="2"/>
        <v>45572</v>
      </c>
      <c r="E11" s="17">
        <f t="shared" si="3"/>
        <v>45575</v>
      </c>
      <c r="F11" s="15">
        <v>25</v>
      </c>
      <c r="G11" s="8"/>
      <c r="H11" s="8"/>
      <c r="K11" s="3" t="s">
        <v>1646</v>
      </c>
    </row>
    <row r="12" s="3" customFormat="1" spans="1:11">
      <c r="A12" s="8" t="s">
        <v>1647</v>
      </c>
      <c r="B12" s="16">
        <f t="shared" ref="B12:B15" si="4">B11+14</f>
        <v>45561</v>
      </c>
      <c r="C12" s="16">
        <f t="shared" si="1"/>
        <v>45568</v>
      </c>
      <c r="D12" s="17">
        <f t="shared" si="2"/>
        <v>45586</v>
      </c>
      <c r="E12" s="17">
        <f t="shared" si="3"/>
        <v>45589</v>
      </c>
      <c r="F12" s="15">
        <v>25</v>
      </c>
      <c r="G12" s="8"/>
      <c r="H12" s="8"/>
      <c r="K12" s="3" t="s">
        <v>1646</v>
      </c>
    </row>
    <row r="13" s="3" customFormat="1" spans="1:11">
      <c r="A13" s="8" t="s">
        <v>1648</v>
      </c>
      <c r="B13" s="16">
        <f t="shared" si="4"/>
        <v>45575</v>
      </c>
      <c r="C13" s="16">
        <f t="shared" si="1"/>
        <v>45582</v>
      </c>
      <c r="D13" s="17">
        <f t="shared" si="2"/>
        <v>45600</v>
      </c>
      <c r="E13" s="17">
        <f t="shared" si="3"/>
        <v>45603</v>
      </c>
      <c r="F13" s="15">
        <v>30</v>
      </c>
      <c r="G13" s="8"/>
      <c r="H13" s="8"/>
      <c r="K13" s="3" t="s">
        <v>1646</v>
      </c>
    </row>
    <row r="14" s="3" customFormat="1" spans="1:11">
      <c r="A14" s="8" t="s">
        <v>1649</v>
      </c>
      <c r="B14" s="16">
        <f t="shared" si="4"/>
        <v>45589</v>
      </c>
      <c r="C14" s="16">
        <f t="shared" si="1"/>
        <v>45596</v>
      </c>
      <c r="D14" s="17">
        <f t="shared" si="2"/>
        <v>45614</v>
      </c>
      <c r="E14" s="17">
        <f t="shared" si="3"/>
        <v>45617</v>
      </c>
      <c r="F14" s="15">
        <v>30</v>
      </c>
      <c r="G14" s="8"/>
      <c r="H14" s="8"/>
      <c r="K14" s="3" t="s">
        <v>1646</v>
      </c>
    </row>
    <row r="15" s="3" customFormat="1" spans="1:11">
      <c r="A15" s="8" t="s">
        <v>1650</v>
      </c>
      <c r="B15" s="16">
        <f t="shared" si="4"/>
        <v>45603</v>
      </c>
      <c r="C15" s="16">
        <f t="shared" si="1"/>
        <v>45610</v>
      </c>
      <c r="D15" s="17">
        <f t="shared" si="2"/>
        <v>45628</v>
      </c>
      <c r="E15" s="17">
        <f t="shared" si="3"/>
        <v>45631</v>
      </c>
      <c r="F15" s="15">
        <v>30</v>
      </c>
      <c r="G15" s="8"/>
      <c r="H15" s="8"/>
      <c r="K15" s="3" t="s">
        <v>1646</v>
      </c>
    </row>
    <row r="16" s="3" customFormat="1" spans="1:11">
      <c r="A16" s="8" t="s">
        <v>1651</v>
      </c>
      <c r="B16" s="16">
        <f>B15+7</f>
        <v>45610</v>
      </c>
      <c r="C16" s="16">
        <f t="shared" si="1"/>
        <v>45617</v>
      </c>
      <c r="D16" s="17">
        <f t="shared" si="2"/>
        <v>45635</v>
      </c>
      <c r="E16" s="17">
        <f t="shared" si="3"/>
        <v>45638</v>
      </c>
      <c r="F16" s="15">
        <v>25</v>
      </c>
      <c r="G16" s="8"/>
      <c r="H16" s="8"/>
      <c r="K16" s="3" t="s">
        <v>1646</v>
      </c>
    </row>
    <row r="17" s="3" customFormat="1" spans="1:8">
      <c r="A17" s="18" t="s">
        <v>1652</v>
      </c>
      <c r="B17" s="19"/>
      <c r="C17" s="18"/>
      <c r="D17" s="18"/>
      <c r="E17" s="18"/>
      <c r="F17" s="18"/>
      <c r="G17" s="18"/>
      <c r="H17" s="18"/>
    </row>
  </sheetData>
  <mergeCells count="1">
    <mergeCell ref="A17:H1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R6" sqref="R6:R77"/>
    </sheetView>
  </sheetViews>
  <sheetFormatPr defaultColWidth="8.66666666666667" defaultRowHeight="14" outlineLevelRow="5" outlineLevelCol="1"/>
  <cols>
    <col min="1" max="1" width="4.91666666666667" customWidth="1"/>
    <col min="2" max="2" width="12.25" style="1" customWidth="1"/>
  </cols>
  <sheetData>
    <row r="1" spans="1:2">
      <c r="A1" t="s">
        <v>125</v>
      </c>
      <c r="B1" s="2" t="s">
        <v>1653</v>
      </c>
    </row>
    <row r="2" spans="1:2">
      <c r="A2" t="s">
        <v>1654</v>
      </c>
      <c r="B2" s="2" t="s">
        <v>1655</v>
      </c>
    </row>
    <row r="3" spans="1:2">
      <c r="A3" t="s">
        <v>1656</v>
      </c>
      <c r="B3" s="2" t="s">
        <v>1657</v>
      </c>
    </row>
    <row r="4" spans="1:2">
      <c r="A4" t="s">
        <v>929</v>
      </c>
      <c r="B4" s="2" t="s">
        <v>1658</v>
      </c>
    </row>
    <row r="5" spans="1:2">
      <c r="A5" t="s">
        <v>48</v>
      </c>
      <c r="B5" s="2" t="s">
        <v>1659</v>
      </c>
    </row>
    <row r="6" spans="1:2">
      <c r="A6" t="s">
        <v>88</v>
      </c>
      <c r="B6" s="1" t="s">
        <v>1660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甲供设备材料清单</vt:lpstr>
      <vt:lpstr>乙供钢结构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P - List of Owner Procured Items (Free Issued) (Rev7).xlsx</dc:title>
  <dc:creator>Yuxun Yuan</dc:creator>
  <cp:lastModifiedBy>Stephanie</cp:lastModifiedBy>
  <dcterms:created xsi:type="dcterms:W3CDTF">2023-11-09T17:36:00Z</dcterms:created>
  <cp:lastPrinted>2024-01-31T15:04:00Z</cp:lastPrinted>
  <dcterms:modified xsi:type="dcterms:W3CDTF">2026-04-17T23:43:47Z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2023-11-11T06:06:27Z</vt:filetime>
  </property>
  <property fmtid="{D5CDD505-2E9C-101B-9397-08002B2CF9AE}" pid="4" name="ICV">
    <vt:lpwstr>643830972E5C4BB1BB08B2FE63B9D835</vt:lpwstr>
  </property>
  <property fmtid="{D5CDD505-2E9C-101B-9397-08002B2CF9AE}" pid="5" name="KSOProductBuildVer">
    <vt:lpwstr>2052-12.1.0.25865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